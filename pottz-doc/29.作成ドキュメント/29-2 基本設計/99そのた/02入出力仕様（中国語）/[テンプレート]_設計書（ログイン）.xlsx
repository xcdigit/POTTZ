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5300" tabRatio="926" activeTab="9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イベント仕様!$A$1:$BE$33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補足!$A$1:$BE$675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画面!$A$1:$BE$33</definedName>
    <definedName name="_xlnm.Print_Area" localSheetId="5">画面項目定義!$A$1:$CZ$35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44525"/>
</workbook>
</file>

<file path=xl/sharedStrings.xml><?xml version="1.0" encoding="utf-8"?>
<sst xmlns="http://schemas.openxmlformats.org/spreadsheetml/2006/main" count="900" uniqueCount="286">
  <si>
    <t>Biz-X　POTTS</t>
  </si>
  <si>
    <t>システム</t>
  </si>
  <si>
    <t>001_ログイン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</si>
  <si>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</si>
  <si>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</si>
  <si>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</si>
  <si>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</si>
  <si>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</si>
  <si>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</si>
  <si>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</si>
  <si>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</si>
  <si>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</si>
  <si>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</si>
  <si>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</si>
  <si>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</si>
  <si>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</si>
  <si>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</si>
  <si>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</si>
  <si>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</si>
  <si>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</si>
  <si>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初版作成</t>
  </si>
  <si>
    <t>穆政道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</si>
  <si>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</si>
  <si>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</si>
  <si>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</si>
  <si>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</si>
  <si>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</si>
  <si>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</si>
  <si>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</si>
  <si>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</si>
  <si>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</si>
  <si>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</si>
  <si>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</si>
  <si>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</si>
  <si>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</si>
  <si>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</si>
  <si>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</si>
  <si>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</si>
  <si>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</si>
  <si>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</si>
  <si>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</si>
  <si>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</si>
  <si>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</si>
  <si>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</si>
  <si>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</si>
  <si>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</si>
  <si>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</si>
  <si>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</si>
  <si>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</si>
  <si>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</si>
  <si>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</si>
  <si>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</si>
  <si>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</si>
  <si>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</si>
  <si>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ログイン</t>
  </si>
  <si>
    <t>ユーザーID</t>
  </si>
  <si>
    <t>テキスト</t>
  </si>
  <si>
    <t>英数</t>
  </si>
  <si>
    <t>I</t>
  </si>
  <si>
    <t>○</t>
  </si>
  <si>
    <t>左</t>
  </si>
  <si>
    <t>OFF</t>
  </si>
  <si>
    <t>なし</t>
  </si>
  <si>
    <t>ログインのユーザーID</t>
  </si>
  <si>
    <t>パスワード</t>
  </si>
  <si>
    <t>PW</t>
  </si>
  <si>
    <t>ログインのパスワード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</si>
  <si>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</si>
  <si>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</si>
  <si>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</si>
  <si>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</si>
  <si>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</si>
  <si>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</si>
  <si>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</si>
  <si>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</si>
  <si>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</si>
  <si>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</si>
  <si>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</si>
  <si>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</si>
  <si>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</si>
  <si>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</si>
  <si>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■メニュー表示について</t>
  </si>
  <si>
    <t>・メニューマスタデータ</t>
  </si>
  <si>
    <t>右側のデータを例にとり、メニューのデータを作成します。</t>
  </si>
  <si>
    <t>メニューID</t>
  </si>
  <si>
    <t>親メニュー</t>
  </si>
  <si>
    <t>メニュー_名称</t>
  </si>
  <si>
    <t>メニュー_説明</t>
  </si>
  <si>
    <t>親メニューは空のデータはルートメニューであり、</t>
  </si>
  <si>
    <t>出荷</t>
  </si>
  <si>
    <t>空でないのはサバメニューである。</t>
  </si>
  <si>
    <t>出荷指示照会</t>
  </si>
  <si>
    <t>|__</t>
  </si>
  <si>
    <t>出荷指示入力</t>
  </si>
  <si>
    <t>出荷指示削除</t>
  </si>
  <si>
    <t>マスタデータ</t>
  </si>
  <si>
    <t>商品マスタ</t>
  </si>
  <si>
    <t>設定</t>
  </si>
  <si>
    <t>権限マスタ</t>
  </si>
  <si>
    <t>ロールマスタ</t>
  </si>
  <si>
    <r>
      <rPr>
        <sz val="10"/>
        <color theme="1"/>
        <rFont val="微软雅黑"/>
        <charset val="134"/>
      </rPr>
      <t>・</t>
    </r>
    <r>
      <rPr>
        <sz val="10"/>
        <color theme="1"/>
        <rFont val="等线"/>
        <charset val="134"/>
        <scheme val="minor"/>
      </rPr>
      <t>ロールマスタデータ</t>
    </r>
  </si>
  <si>
    <t>ロールID</t>
  </si>
  <si>
    <t>ロール_名称</t>
  </si>
  <si>
    <t>ロール_説明</t>
  </si>
  <si>
    <t>各ロールを定義する。</t>
  </si>
  <si>
    <t>運用会社管理</t>
  </si>
  <si>
    <t>システムの管理者</t>
  </si>
  <si>
    <t>会社管理</t>
  </si>
  <si>
    <r>
      <rPr>
        <sz val="10"/>
        <color theme="1"/>
        <rFont val="微软雅黑"/>
        <charset val="134"/>
      </rPr>
      <t>それぞ</t>
    </r>
    <r>
      <rPr>
        <sz val="10"/>
        <color theme="1"/>
        <rFont val="等线"/>
        <charset val="134"/>
        <scheme val="minor"/>
      </rPr>
      <t>会社の管理者</t>
    </r>
  </si>
  <si>
    <t>一般ユーザー</t>
  </si>
  <si>
    <t>それぞ会社の一般ユーザー</t>
  </si>
  <si>
    <r>
      <rPr>
        <sz val="10"/>
        <color theme="1"/>
        <rFont val="微软雅黑"/>
        <charset val="134"/>
      </rPr>
      <t>・権限マスタ</t>
    </r>
    <r>
      <rPr>
        <sz val="10"/>
        <color theme="1"/>
        <rFont val="等线"/>
        <charset val="134"/>
        <scheme val="minor"/>
      </rPr>
      <t>データ</t>
    </r>
  </si>
  <si>
    <t>各ロールのmenuへのメニュー権を定義しました</t>
  </si>
  <si>
    <t>権限ID</t>
  </si>
  <si>
    <t>ロール_ID</t>
  </si>
  <si>
    <t>メニュー_ID</t>
  </si>
  <si>
    <t>権限</t>
  </si>
  <si>
    <t xml:space="preserve">CRUDWM </t>
  </si>
  <si>
    <t xml:space="preserve"> W(download) M(confirm)</t>
  </si>
  <si>
    <r>
      <rPr>
        <sz val="10"/>
        <color theme="1"/>
        <rFont val="微软雅黑"/>
        <charset val="134"/>
      </rPr>
      <t>・ユーザーマスタ</t>
    </r>
    <r>
      <rPr>
        <sz val="10"/>
        <color theme="1"/>
        <rFont val="等线"/>
        <charset val="134"/>
        <scheme val="minor"/>
      </rPr>
      <t>データ</t>
    </r>
  </si>
  <si>
    <t>ユーザーのコード</t>
  </si>
  <si>
    <t>ユーザー_名称</t>
  </si>
  <si>
    <t>ユーザーとロールをユーザーマスタで関連付ける</t>
  </si>
  <si>
    <r>
      <rPr>
        <sz val="11"/>
        <color theme="1"/>
        <rFont val="等线"/>
        <charset val="134"/>
        <scheme val="minor"/>
      </rPr>
      <t>master@gmail.com</t>
    </r>
  </si>
  <si>
    <r>
      <rPr>
        <sz val="11"/>
        <color theme="1"/>
        <rFont val="等线"/>
        <charset val="134"/>
        <scheme val="minor"/>
      </rPr>
      <t>system@gmail.com</t>
    </r>
  </si>
  <si>
    <t>会社の管理者</t>
  </si>
  <si>
    <r>
      <rPr>
        <sz val="11"/>
        <color theme="1"/>
        <rFont val="等线"/>
        <charset val="134"/>
        <scheme val="minor"/>
      </rPr>
      <t>user1@gmail.com</t>
    </r>
  </si>
  <si>
    <t>・</t>
  </si>
  <si>
    <t>ログインの担当者のユーザーのコードに基づいてロール_IDを決定し、</t>
  </si>
  <si>
    <t>ロール_IDによってメニューに対応する権限を決定する。R権限を持つ場合、対応するメニューが表示されます。</t>
  </si>
  <si>
    <t>上記データより、</t>
  </si>
  <si>
    <t>システムの管理者対応メニュー：</t>
  </si>
  <si>
    <t>会社の管理者対応メニュー：</t>
  </si>
  <si>
    <t>一般ユーザー対応メニュー：</t>
  </si>
  <si>
    <t>権限マスタデータを変更の場合、メニューも変更する</t>
  </si>
  <si>
    <t xml:space="preserve">CUDWM </t>
  </si>
  <si>
    <t>■全てデータ</t>
  </si>
  <si>
    <t>ホーム</t>
  </si>
  <si>
    <t>出荷指示データ取込（CSV）</t>
  </si>
  <si>
    <t>出荷指示データ取込（API）</t>
  </si>
  <si>
    <t>引当処理</t>
  </si>
  <si>
    <t>引当修正</t>
  </si>
  <si>
    <t>欠品明細照会</t>
  </si>
  <si>
    <t>欠品伝票照会</t>
  </si>
  <si>
    <t>ピッキングリスト（トータル）</t>
  </si>
  <si>
    <t>ピッキングリスト（シングル）</t>
  </si>
  <si>
    <t>出庫入力</t>
  </si>
  <si>
    <t>出庫削除</t>
  </si>
  <si>
    <t>出庫照会</t>
  </si>
  <si>
    <t>出荷検品</t>
  </si>
  <si>
    <t>出荷一括検品</t>
  </si>
  <si>
    <t>納品書</t>
  </si>
  <si>
    <t>梱包</t>
  </si>
  <si>
    <t>出荷ラベル</t>
  </si>
  <si>
    <t>送り状データ取込（CSV）</t>
  </si>
  <si>
    <t>送り状データ取込（API）</t>
  </si>
  <si>
    <t>送り状データ出力（CSV）</t>
  </si>
  <si>
    <t>送り状データ出力（API）</t>
  </si>
  <si>
    <t>出荷確定</t>
  </si>
  <si>
    <t>出荷確定取消</t>
  </si>
  <si>
    <t>出荷確定照会</t>
  </si>
  <si>
    <t>出荷確定データ出力（CSV）</t>
  </si>
  <si>
    <t>出荷確定データ出力（API）</t>
  </si>
  <si>
    <t>出荷状況照会（取引先用）</t>
  </si>
  <si>
    <t>入荷</t>
  </si>
  <si>
    <t>入荷予定データ取込（CSV）</t>
  </si>
  <si>
    <t>入荷予定データ取込（API）</t>
  </si>
  <si>
    <t>入荷予定照会</t>
  </si>
  <si>
    <t>入荷予定入力</t>
  </si>
  <si>
    <t>入荷予定削除</t>
  </si>
  <si>
    <t>入荷検品</t>
  </si>
  <si>
    <t>入荷一括検品</t>
  </si>
  <si>
    <t>入庫入力</t>
  </si>
  <si>
    <t>入庫削除</t>
  </si>
  <si>
    <t>入庫照会</t>
  </si>
  <si>
    <t>入庫ラベル</t>
  </si>
  <si>
    <t>入荷確定</t>
  </si>
  <si>
    <t>入荷確定取消</t>
  </si>
  <si>
    <t>入荷確定照会</t>
  </si>
  <si>
    <t>入荷確定データ出力（CSV）</t>
  </si>
  <si>
    <t>入荷確定データ出力（API）</t>
  </si>
  <si>
    <t>入荷状況照会（取引先用）</t>
  </si>
  <si>
    <t>在庫</t>
  </si>
  <si>
    <t>在庫データ取込（CSV）</t>
  </si>
  <si>
    <t>在庫データ取込（API）</t>
  </si>
  <si>
    <t>在庫照会</t>
  </si>
  <si>
    <t>在庫照会（取引先用）</t>
  </si>
  <si>
    <t>在庫照会（取引先用）API</t>
  </si>
  <si>
    <t>受払照会</t>
  </si>
  <si>
    <t>商品構成指示入力</t>
  </si>
  <si>
    <t>商品構成指示書</t>
  </si>
  <si>
    <t>商品構成完了入力</t>
  </si>
  <si>
    <t>返品入力</t>
  </si>
  <si>
    <t>返品削除</t>
  </si>
  <si>
    <t>返品照会</t>
  </si>
  <si>
    <t>在庫移動（出庫）</t>
  </si>
  <si>
    <t>在庫移動（入庫）</t>
  </si>
  <si>
    <t>在庫移動指示書</t>
  </si>
  <si>
    <t>在庫調整</t>
  </si>
  <si>
    <t>荷姿変更</t>
  </si>
  <si>
    <t>在庫移動照会</t>
  </si>
  <si>
    <t>在庫調整照会</t>
  </si>
  <si>
    <t>荷姿変更照会</t>
  </si>
  <si>
    <t>棚卸</t>
  </si>
  <si>
    <t>棚卸開始処理</t>
  </si>
  <si>
    <t>棚卸記入表</t>
  </si>
  <si>
    <t>実棚明細入力</t>
  </si>
  <si>
    <t>実棚明細削除</t>
  </si>
  <si>
    <t>棚卸照会</t>
  </si>
  <si>
    <t>棚卸確定処理</t>
  </si>
  <si>
    <t>棚卸確定取消</t>
  </si>
  <si>
    <t>棚卸データ出力（CSV）</t>
  </si>
  <si>
    <t>棚卸データ出力（API）</t>
  </si>
  <si>
    <t>棚卸仕訳データ出力（CSV）</t>
  </si>
  <si>
    <t>棚卸仕訳データ出力（API）</t>
  </si>
  <si>
    <t>分析</t>
  </si>
  <si>
    <t>ABC分析</t>
  </si>
  <si>
    <t>在庫回転率</t>
  </si>
  <si>
    <t>発注点割れ</t>
  </si>
  <si>
    <t>欠品</t>
  </si>
  <si>
    <t>返品</t>
  </si>
  <si>
    <t>商品追跡照会</t>
  </si>
  <si>
    <t>担当者別ピッキング実績</t>
  </si>
  <si>
    <t>出荷状況照会</t>
  </si>
  <si>
    <t>入荷状況照会</t>
  </si>
  <si>
    <t>棚卸状況照会</t>
  </si>
  <si>
    <t>商品別予定推移</t>
  </si>
  <si>
    <t>リスト</t>
  </si>
  <si>
    <t>商品ラベル</t>
  </si>
  <si>
    <t>ロケーションラベル</t>
  </si>
  <si>
    <t>箱ラベル</t>
  </si>
  <si>
    <t>会社マスタ</t>
  </si>
  <si>
    <t>組織マスタ</t>
  </si>
  <si>
    <t>従業員マスタ</t>
  </si>
  <si>
    <t>告知マスタ</t>
  </si>
  <si>
    <t>得意先マスタ</t>
  </si>
  <si>
    <t>納入先マスタ</t>
  </si>
  <si>
    <t>仕入先マスタ</t>
  </si>
  <si>
    <t>荷主マスタ</t>
  </si>
  <si>
    <t>配送業者マスタ</t>
  </si>
  <si>
    <t>商品単価マスタ</t>
  </si>
  <si>
    <t>得意先商品マスタ</t>
  </si>
  <si>
    <t>仕入先別商品マスタ</t>
  </si>
  <si>
    <t>得意先納入先別商品単価マスタ</t>
  </si>
  <si>
    <t>仕入先商品単価マスタ</t>
  </si>
  <si>
    <t>商品荷姿マスタ</t>
  </si>
  <si>
    <t>商品構成マスタ</t>
  </si>
  <si>
    <t>セット出荷マスタ</t>
  </si>
  <si>
    <t>倉庫マスタ</t>
  </si>
  <si>
    <t>ロケーションマスタ</t>
  </si>
  <si>
    <t>在庫情報マスタ</t>
  </si>
  <si>
    <t>カレンダーマスタ</t>
  </si>
  <si>
    <t>帳票紐付け</t>
  </si>
  <si>
    <t>メニューマスタ</t>
  </si>
  <si>
    <t>多言語マスタ</t>
  </si>
  <si>
    <t>マスタ編集</t>
  </si>
  <si>
    <t>帳票編集</t>
  </si>
  <si>
    <t>画面編集</t>
  </si>
  <si>
    <t>アイコン編集</t>
  </si>
  <si>
    <t>ログイン情報</t>
  </si>
  <si>
    <t>リポジトリ</t>
  </si>
  <si>
    <t>メッセージマスタ</t>
  </si>
  <si>
    <t>汎用分類マスタ</t>
  </si>
  <si>
    <t>汎用詳細マスタ</t>
  </si>
  <si>
    <t>採番マスタ</t>
  </si>
  <si>
    <t>システムマスタ</t>
  </si>
  <si>
    <t>パスワード変更</t>
  </si>
  <si>
    <t>月次締処理</t>
  </si>
  <si>
    <t>データ繰越処理</t>
  </si>
  <si>
    <t>バックアップ</t>
  </si>
  <si>
    <t>リストア</t>
  </si>
  <si>
    <t>月次評価単価</t>
  </si>
  <si>
    <t>ヘルプ</t>
  </si>
  <si>
    <t>設定ガイド</t>
  </si>
  <si>
    <t>基本設定</t>
  </si>
  <si>
    <t>言語設定</t>
  </si>
  <si>
    <t>お支払い</t>
  </si>
  <si>
    <t>運営管理</t>
  </si>
  <si>
    <t>法人管理</t>
  </si>
  <si>
    <t>ライセンス管理</t>
  </si>
  <si>
    <t>メッセージ管理</t>
  </si>
  <si>
    <t>申込機能</t>
  </si>
  <si>
    <t>解約機能</t>
  </si>
  <si>
    <r>
      <rPr>
        <sz val="10"/>
        <color theme="1"/>
        <rFont val="微软雅黑"/>
        <charset val="128"/>
      </rPr>
      <t>・</t>
    </r>
    <r>
      <rPr>
        <sz val="10"/>
        <color theme="1"/>
        <rFont val="等线"/>
        <charset val="134"/>
        <scheme val="minor"/>
      </rPr>
      <t>権限マスタデータ</t>
    </r>
  </si>
  <si>
    <t>ロール名称</t>
  </si>
  <si>
    <t>メニュー名称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</si>
</sst>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sz val="10"/>
      <color theme="1"/>
      <name val="微软雅黑"/>
      <charset val="134"/>
    </font>
    <font>
      <sz val="10"/>
      <color theme="8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color theme="1"/>
      <name val="微软雅黑"/>
      <charset val="128"/>
    </font>
    <font>
      <sz val="10"/>
      <color theme="1"/>
      <name val="等线"/>
      <charset val="128"/>
      <scheme val="minor"/>
    </font>
    <font>
      <i/>
      <sz val="10"/>
      <color theme="1"/>
      <name val="等线"/>
      <charset val="134"/>
      <scheme val="minor"/>
    </font>
    <font>
      <sz val="10"/>
      <color rgb="FF000000"/>
      <name val="等线"/>
      <charset val="134"/>
    </font>
    <font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z val="10"/>
      <color theme="1"/>
      <name val="Yu Gothic"/>
      <charset val="128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6" borderId="2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29" applyNumberFormat="0" applyAlignment="0" applyProtection="0">
      <alignment vertical="center"/>
    </xf>
    <xf numFmtId="0" fontId="28" fillId="8" borderId="30" applyNumberFormat="0" applyAlignment="0" applyProtection="0">
      <alignment vertical="center"/>
    </xf>
    <xf numFmtId="0" fontId="29" fillId="8" borderId="29" applyNumberFormat="0" applyAlignment="0" applyProtection="0">
      <alignment vertical="center"/>
    </xf>
    <xf numFmtId="0" fontId="30" fillId="9" borderId="31" applyNumberFormat="0" applyAlignment="0" applyProtection="0">
      <alignment vertical="center"/>
    </xf>
    <xf numFmtId="0" fontId="31" fillId="0" borderId="32" applyNumberFormat="0" applyFill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0" xfId="0" applyFont="1" applyFill="1">
      <alignment vertical="center"/>
    </xf>
    <xf numFmtId="0" fontId="1" fillId="4" borderId="7" xfId="0" applyFont="1" applyFill="1" applyBorder="1" applyAlignment="1">
      <alignment horizontal="center" vertical="center"/>
    </xf>
    <xf numFmtId="0" fontId="4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5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center"/>
    </xf>
    <xf numFmtId="0" fontId="0" fillId="0" borderId="7" xfId="0" applyBorder="1">
      <alignment vertical="center"/>
    </xf>
    <xf numFmtId="0" fontId="1" fillId="3" borderId="7" xfId="0" applyFont="1" applyFill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6" fillId="2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/>
    </xf>
    <xf numFmtId="0" fontId="9" fillId="3" borderId="0" xfId="0" applyFont="1" applyFill="1">
      <alignment vertical="center"/>
    </xf>
    <xf numFmtId="0" fontId="10" fillId="5" borderId="7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0" fillId="5" borderId="7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1" fillId="3" borderId="0" xfId="0" applyFont="1" applyFill="1">
      <alignment vertical="center"/>
    </xf>
    <xf numFmtId="0" fontId="1" fillId="0" borderId="7" xfId="0" applyFont="1" applyBorder="1">
      <alignment vertical="center"/>
    </xf>
    <xf numFmtId="0" fontId="12" fillId="4" borderId="7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4" borderId="7" xfId="0" applyFont="1" applyFill="1" applyBorder="1">
      <alignment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2" fillId="0" borderId="20" xfId="0" applyFont="1" applyBorder="1">
      <alignment vertical="center"/>
    </xf>
    <xf numFmtId="0" fontId="12" fillId="0" borderId="21" xfId="0" applyFont="1" applyBorder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12" fillId="0" borderId="22" xfId="0" applyFont="1" applyBorder="1">
      <alignment vertical="center"/>
    </xf>
    <xf numFmtId="0" fontId="12" fillId="4" borderId="7" xfId="0" applyFont="1" applyFill="1" applyBorder="1" applyAlignment="1">
      <alignment horizontal="center" vertical="center" shrinkToFit="1"/>
    </xf>
    <xf numFmtId="0" fontId="12" fillId="0" borderId="7" xfId="0" applyFont="1" applyBorder="1" applyAlignment="1">
      <alignment vertical="center" shrinkToFit="1"/>
    </xf>
    <xf numFmtId="0" fontId="12" fillId="4" borderId="20" xfId="0" applyFont="1" applyFill="1" applyBorder="1" applyAlignment="1">
      <alignment horizontal="center" vertical="center" shrinkToFit="1"/>
    </xf>
    <xf numFmtId="0" fontId="12" fillId="4" borderId="21" xfId="0" applyFont="1" applyFill="1" applyBorder="1" applyAlignment="1">
      <alignment horizontal="center" vertical="center" shrinkToFit="1"/>
    </xf>
    <xf numFmtId="0" fontId="12" fillId="0" borderId="20" xfId="0" applyFont="1" applyBorder="1" applyAlignment="1">
      <alignment vertical="center" shrinkToFit="1"/>
    </xf>
    <xf numFmtId="0" fontId="12" fillId="0" borderId="21" xfId="0" applyFont="1" applyBorder="1" applyAlignment="1">
      <alignment vertical="center" shrinkToFit="1"/>
    </xf>
    <xf numFmtId="0" fontId="12" fillId="4" borderId="22" xfId="0" applyFont="1" applyFill="1" applyBorder="1" applyAlignment="1">
      <alignment horizontal="center" vertical="center" shrinkToFit="1"/>
    </xf>
    <xf numFmtId="0" fontId="12" fillId="0" borderId="22" xfId="0" applyFont="1" applyBorder="1" applyAlignment="1">
      <alignment vertical="center" shrinkToFit="1"/>
    </xf>
    <xf numFmtId="0" fontId="12" fillId="4" borderId="20" xfId="0" applyFont="1" applyFill="1" applyBorder="1">
      <alignment vertical="center"/>
    </xf>
    <xf numFmtId="0" fontId="12" fillId="4" borderId="21" xfId="0" applyFont="1" applyFill="1" applyBorder="1" applyAlignment="1">
      <alignment vertical="center" shrinkToFit="1"/>
    </xf>
    <xf numFmtId="0" fontId="13" fillId="0" borderId="7" xfId="0" applyFont="1" applyBorder="1">
      <alignment vertical="center"/>
    </xf>
    <xf numFmtId="0" fontId="12" fillId="4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4" borderId="21" xfId="0" applyFont="1" applyFill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vertical="center" wrapText="1"/>
    </xf>
    <xf numFmtId="0" fontId="12" fillId="4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14" fillId="0" borderId="7" xfId="0" applyFont="1" applyBorder="1" applyAlignment="1">
      <alignment vertical="center" wrapText="1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35</xdr:col>
      <xdr:colOff>38100</xdr:colOff>
      <xdr:row>29</xdr:row>
      <xdr:rowOff>148408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050" y="1169670"/>
          <a:ext cx="5003800" cy="3836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419100</xdr:colOff>
      <xdr:row>14</xdr:row>
      <xdr:rowOff>133350</xdr:rowOff>
    </xdr:from>
    <xdr:to>
      <xdr:col>39</xdr:col>
      <xdr:colOff>114300</xdr:colOff>
      <xdr:row>16</xdr:row>
      <xdr:rowOff>104775</xdr:rowOff>
    </xdr:to>
    <xdr:sp>
      <xdr:nvSpPr>
        <xdr:cNvPr id="4" name="箭头: 燕尾形 3"/>
        <xdr:cNvSpPr/>
      </xdr:nvSpPr>
      <xdr:spPr>
        <a:xfrm>
          <a:off x="7930515" y="2567940"/>
          <a:ext cx="630555" cy="352425"/>
        </a:xfrm>
        <a:prstGeom prst="notch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0</xdr:colOff>
      <xdr:row>94</xdr:row>
      <xdr:rowOff>104775</xdr:rowOff>
    </xdr:from>
    <xdr:to>
      <xdr:col>27</xdr:col>
      <xdr:colOff>409575</xdr:colOff>
      <xdr:row>97</xdr:row>
      <xdr:rowOff>9525</xdr:rowOff>
    </xdr:to>
    <xdr:sp>
      <xdr:nvSpPr>
        <xdr:cNvPr id="5" name="箭头: 燕尾形 4"/>
        <xdr:cNvSpPr/>
      </xdr:nvSpPr>
      <xdr:spPr>
        <a:xfrm>
          <a:off x="3779520" y="17415510"/>
          <a:ext cx="695325" cy="407670"/>
        </a:xfrm>
        <a:prstGeom prst="notch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00"/>
      <c r="C3" s="101"/>
      <c r="D3" s="101"/>
      <c r="E3" s="101"/>
      <c r="F3" s="101"/>
      <c r="G3" s="101"/>
      <c r="H3" s="101"/>
      <c r="I3" s="101"/>
      <c r="J3" s="101"/>
      <c r="K3" s="101"/>
      <c r="L3" s="109"/>
    </row>
    <row r="4" spans="2:12">
      <c r="B4" s="102"/>
      <c r="C4" s="103" t="s">
        <v>0</v>
      </c>
      <c r="D4" s="103"/>
      <c r="E4" s="103"/>
      <c r="F4" s="103"/>
      <c r="G4" s="103"/>
      <c r="H4" s="103"/>
      <c r="I4" s="103"/>
      <c r="J4" s="103"/>
      <c r="K4" s="103"/>
      <c r="L4" s="110"/>
    </row>
    <row r="5" spans="2:12">
      <c r="B5" s="102"/>
      <c r="C5" s="103"/>
      <c r="D5" s="103"/>
      <c r="E5" s="103"/>
      <c r="F5" s="103"/>
      <c r="G5" s="103"/>
      <c r="H5" s="103"/>
      <c r="I5" s="103"/>
      <c r="J5" s="103"/>
      <c r="K5" s="103"/>
      <c r="L5" s="110"/>
    </row>
    <row r="6" spans="2:12"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10"/>
    </row>
    <row r="7" spans="2:12">
      <c r="B7" s="102"/>
      <c r="L7" s="110"/>
    </row>
    <row r="8" spans="2:12">
      <c r="B8" s="102"/>
      <c r="L8" s="110"/>
    </row>
    <row r="9" spans="2:12">
      <c r="B9" s="102"/>
      <c r="C9" s="104" t="s">
        <v>1</v>
      </c>
      <c r="D9" s="104"/>
      <c r="E9" s="104"/>
      <c r="F9" s="104"/>
      <c r="G9" s="104"/>
      <c r="H9" s="104"/>
      <c r="I9" s="104"/>
      <c r="J9" s="104"/>
      <c r="K9" s="104"/>
      <c r="L9" s="110"/>
    </row>
    <row r="10" spans="2:12">
      <c r="B10" s="102"/>
      <c r="C10" s="104"/>
      <c r="D10" s="104"/>
      <c r="E10" s="104"/>
      <c r="F10" s="104"/>
      <c r="G10" s="104"/>
      <c r="H10" s="104"/>
      <c r="I10" s="104"/>
      <c r="J10" s="104"/>
      <c r="K10" s="104"/>
      <c r="L10" s="110"/>
    </row>
    <row r="11" spans="2:12">
      <c r="B11" s="102"/>
      <c r="C11" s="104" t="s">
        <v>2</v>
      </c>
      <c r="D11" s="104"/>
      <c r="E11" s="104"/>
      <c r="F11" s="104"/>
      <c r="G11" s="104"/>
      <c r="H11" s="104"/>
      <c r="I11" s="104"/>
      <c r="J11" s="104"/>
      <c r="K11" s="104"/>
      <c r="L11" s="110"/>
    </row>
    <row r="12" spans="2:12">
      <c r="B12" s="102"/>
      <c r="C12" s="104"/>
      <c r="D12" s="104"/>
      <c r="E12" s="104"/>
      <c r="F12" s="104"/>
      <c r="G12" s="104"/>
      <c r="H12" s="104"/>
      <c r="I12" s="104"/>
      <c r="J12" s="104"/>
      <c r="K12" s="104"/>
      <c r="L12" s="110"/>
    </row>
    <row r="13" spans="2:12">
      <c r="B13" s="102"/>
      <c r="L13" s="110"/>
    </row>
    <row r="14" spans="2:12">
      <c r="B14" s="102"/>
      <c r="C14" s="105" t="s">
        <v>3</v>
      </c>
      <c r="D14" s="105"/>
      <c r="E14" s="105"/>
      <c r="F14" s="105"/>
      <c r="G14" s="105"/>
      <c r="H14" s="105"/>
      <c r="I14" s="105"/>
      <c r="J14" s="105"/>
      <c r="K14" s="105"/>
      <c r="L14" s="110"/>
    </row>
    <row r="15" spans="2:12">
      <c r="B15" s="102"/>
      <c r="C15" s="105"/>
      <c r="D15" s="105"/>
      <c r="E15" s="105"/>
      <c r="F15" s="105"/>
      <c r="G15" s="105"/>
      <c r="H15" s="105"/>
      <c r="I15" s="105"/>
      <c r="J15" s="105"/>
      <c r="K15" s="105"/>
      <c r="L15" s="110"/>
    </row>
    <row r="16" spans="2:12">
      <c r="B16" s="106"/>
      <c r="C16" s="107"/>
      <c r="D16" s="107"/>
      <c r="E16" s="107"/>
      <c r="F16" s="107"/>
      <c r="G16" s="107"/>
      <c r="H16" s="107"/>
      <c r="I16" s="107"/>
      <c r="J16" s="107"/>
      <c r="K16" s="107"/>
      <c r="L16" s="111"/>
    </row>
    <row r="19" spans="3:11">
      <c r="C19" s="108" t="s">
        <v>4</v>
      </c>
      <c r="D19" s="108"/>
      <c r="E19" s="108"/>
      <c r="F19" s="108"/>
      <c r="H19" s="108" t="s">
        <v>5</v>
      </c>
      <c r="I19" s="108"/>
      <c r="J19" s="108"/>
      <c r="K19" s="108"/>
    </row>
    <row r="20" spans="3:11">
      <c r="C20" s="108"/>
      <c r="D20" s="108"/>
      <c r="E20" s="108"/>
      <c r="F20" s="108"/>
      <c r="H20" s="108"/>
      <c r="I20" s="108"/>
      <c r="J20" s="108"/>
      <c r="K20" s="108"/>
    </row>
    <row r="21" spans="3:11">
      <c r="C21" s="108" t="s">
        <v>6</v>
      </c>
      <c r="D21" s="108"/>
      <c r="E21" s="108" t="s">
        <v>7</v>
      </c>
      <c r="F21" s="108"/>
      <c r="H21" s="108" t="s">
        <v>6</v>
      </c>
      <c r="I21" s="108"/>
      <c r="J21" s="108" t="s">
        <v>7</v>
      </c>
      <c r="K21" s="108"/>
    </row>
    <row r="22" spans="3:11">
      <c r="C22" s="108"/>
      <c r="D22" s="108"/>
      <c r="E22" s="108"/>
      <c r="F22" s="108"/>
      <c r="H22" s="108"/>
      <c r="I22" s="108"/>
      <c r="J22" s="108"/>
      <c r="K22" s="108"/>
    </row>
    <row r="23" spans="3:11">
      <c r="C23" s="108"/>
      <c r="D23" s="108"/>
      <c r="E23" s="108"/>
      <c r="F23" s="108"/>
      <c r="H23" s="108"/>
      <c r="I23" s="108"/>
      <c r="J23" s="108"/>
      <c r="K23" s="108"/>
    </row>
    <row r="24" spans="3:11">
      <c r="C24" s="108"/>
      <c r="D24" s="108"/>
      <c r="E24" s="108"/>
      <c r="F24" s="108"/>
      <c r="H24" s="108"/>
      <c r="I24" s="108"/>
      <c r="J24" s="108"/>
      <c r="K24" s="108"/>
    </row>
    <row r="25" spans="3:11">
      <c r="C25" s="108"/>
      <c r="D25" s="108"/>
      <c r="E25" s="108"/>
      <c r="F25" s="108"/>
      <c r="H25" s="108"/>
      <c r="I25" s="108"/>
      <c r="J25" s="108"/>
      <c r="K25" s="108"/>
    </row>
  </sheetData>
  <sheetProtection formatCells="0" insertHyperlinks="0" autoFilter="0"/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4"/>
      <c r="T1" s="15" t="s">
        <v>8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 t="s">
        <v>9</v>
      </c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 t="s">
        <v>10</v>
      </c>
      <c r="AS1" s="15"/>
      <c r="AT1" s="15"/>
      <c r="AU1" s="15"/>
      <c r="AV1" s="15"/>
      <c r="AW1" s="15"/>
      <c r="AX1" s="15"/>
      <c r="AY1" s="15" t="s">
        <v>11</v>
      </c>
      <c r="AZ1" s="15"/>
      <c r="BA1" s="15"/>
      <c r="BB1" s="15"/>
      <c r="BC1" s="15"/>
      <c r="BD1" s="15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6"/>
      <c r="T2" s="17" t="str">
        <f>表紙!C4</f>
        <v>Biz-X　POTTS</v>
      </c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31"/>
      <c r="AS2" s="32"/>
      <c r="AT2" s="32"/>
      <c r="AU2" s="32"/>
      <c r="AV2" s="32"/>
      <c r="AW2" s="32"/>
      <c r="AX2" s="35"/>
      <c r="AY2" s="31"/>
      <c r="AZ2" s="32"/>
      <c r="BA2" s="32"/>
      <c r="BB2" s="32"/>
      <c r="BC2" s="32"/>
      <c r="BD2" s="32"/>
      <c r="BE2" s="3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9"/>
      <c r="T3" s="15" t="s">
        <v>13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 t="s">
        <v>14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 t="s">
        <v>15</v>
      </c>
      <c r="AS3" s="15"/>
      <c r="AT3" s="15"/>
      <c r="AU3" s="15"/>
      <c r="AV3" s="15"/>
      <c r="AW3" s="15"/>
      <c r="AX3" s="15"/>
      <c r="AY3" s="15" t="s">
        <v>16</v>
      </c>
      <c r="AZ3" s="15"/>
      <c r="BA3" s="15"/>
      <c r="BB3" s="15"/>
      <c r="BC3" s="15"/>
      <c r="BD3" s="15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0"/>
      <c r="T4" s="21" t="str">
        <f>表紙!C9</f>
        <v>システム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tr">
        <f>表紙!C11</f>
        <v>001_ログイン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33"/>
      <c r="AS4" s="34"/>
      <c r="AT4" s="34"/>
      <c r="AU4" s="34"/>
      <c r="AV4" s="34"/>
      <c r="AW4" s="34"/>
      <c r="AX4" s="36"/>
      <c r="AY4" s="33"/>
      <c r="AZ4" s="34"/>
      <c r="BA4" s="34"/>
      <c r="BB4" s="34"/>
      <c r="BC4" s="34"/>
      <c r="BD4" s="34"/>
      <c r="BE4" s="36"/>
    </row>
    <row r="6" spans="2:56">
      <c r="B6" s="96" t="s">
        <v>17</v>
      </c>
      <c r="C6" s="96"/>
      <c r="D6" s="96"/>
      <c r="E6" s="96" t="s">
        <v>18</v>
      </c>
      <c r="F6" s="96"/>
      <c r="G6" s="96"/>
      <c r="H6" s="96"/>
      <c r="I6" s="96"/>
      <c r="J6" s="96"/>
      <c r="K6" s="96" t="s">
        <v>19</v>
      </c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 t="s">
        <v>7</v>
      </c>
      <c r="AY6" s="96"/>
      <c r="AZ6" s="96"/>
      <c r="BA6" s="96"/>
      <c r="BB6" s="96"/>
      <c r="BC6" s="96"/>
      <c r="BD6" s="96"/>
    </row>
    <row r="7" ht="16.2" spans="2:56">
      <c r="B7" s="96">
        <v>1</v>
      </c>
      <c r="C7" s="96"/>
      <c r="D7" s="96"/>
      <c r="E7" s="98">
        <v>45139</v>
      </c>
      <c r="F7" s="52"/>
      <c r="G7" s="52"/>
      <c r="H7" s="52"/>
      <c r="I7" s="52"/>
      <c r="J7" s="52"/>
      <c r="K7" s="99" t="s">
        <v>20</v>
      </c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52" t="s">
        <v>21</v>
      </c>
      <c r="AY7" s="52"/>
      <c r="AZ7" s="52"/>
      <c r="BA7" s="52"/>
      <c r="BB7" s="52"/>
      <c r="BC7" s="52"/>
      <c r="BD7" s="52"/>
    </row>
    <row r="8" spans="2:56">
      <c r="B8" s="96"/>
      <c r="C8" s="96"/>
      <c r="D8" s="96"/>
      <c r="E8" s="52"/>
      <c r="F8" s="52"/>
      <c r="G8" s="52"/>
      <c r="H8" s="52"/>
      <c r="I8" s="52"/>
      <c r="J8" s="5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52"/>
      <c r="AY8" s="52"/>
      <c r="AZ8" s="52"/>
      <c r="BA8" s="52"/>
      <c r="BB8" s="52"/>
      <c r="BC8" s="52"/>
      <c r="BD8" s="52"/>
    </row>
    <row r="9" spans="2:56">
      <c r="B9" s="96"/>
      <c r="C9" s="96"/>
      <c r="D9" s="96"/>
      <c r="E9" s="52"/>
      <c r="F9" s="52"/>
      <c r="G9" s="52"/>
      <c r="H9" s="52"/>
      <c r="I9" s="52"/>
      <c r="J9" s="5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52"/>
      <c r="AY9" s="52"/>
      <c r="AZ9" s="52"/>
      <c r="BA9" s="52"/>
      <c r="BB9" s="52"/>
      <c r="BC9" s="52"/>
      <c r="BD9" s="52"/>
    </row>
    <row r="10" spans="2:56">
      <c r="B10" s="96"/>
      <c r="C10" s="96"/>
      <c r="D10" s="96"/>
      <c r="E10" s="52"/>
      <c r="F10" s="52"/>
      <c r="G10" s="52"/>
      <c r="H10" s="52"/>
      <c r="I10" s="52"/>
      <c r="J10" s="5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52"/>
      <c r="AY10" s="52"/>
      <c r="AZ10" s="52"/>
      <c r="BA10" s="52"/>
      <c r="BB10" s="52"/>
      <c r="BC10" s="52"/>
      <c r="BD10" s="52"/>
    </row>
    <row r="11" spans="2:56">
      <c r="B11" s="96"/>
      <c r="C11" s="96"/>
      <c r="D11" s="96"/>
      <c r="E11" s="52"/>
      <c r="F11" s="52"/>
      <c r="G11" s="52"/>
      <c r="H11" s="52"/>
      <c r="I11" s="52"/>
      <c r="J11" s="5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52"/>
      <c r="AY11" s="52"/>
      <c r="AZ11" s="52"/>
      <c r="BA11" s="52"/>
      <c r="BB11" s="52"/>
      <c r="BC11" s="52"/>
      <c r="BD11" s="52"/>
    </row>
    <row r="12" spans="2:56">
      <c r="B12" s="96"/>
      <c r="C12" s="96"/>
      <c r="D12" s="96"/>
      <c r="E12" s="52"/>
      <c r="F12" s="52"/>
      <c r="G12" s="52"/>
      <c r="H12" s="52"/>
      <c r="I12" s="52"/>
      <c r="J12" s="5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52"/>
      <c r="AY12" s="52"/>
      <c r="AZ12" s="52"/>
      <c r="BA12" s="52"/>
      <c r="BB12" s="52"/>
      <c r="BC12" s="52"/>
      <c r="BD12" s="52"/>
    </row>
    <row r="13" spans="2:56">
      <c r="B13" s="96"/>
      <c r="C13" s="96"/>
      <c r="D13" s="96"/>
      <c r="E13" s="52"/>
      <c r="F13" s="52"/>
      <c r="G13" s="52"/>
      <c r="H13" s="52"/>
      <c r="I13" s="52"/>
      <c r="J13" s="5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52"/>
      <c r="AY13" s="52"/>
      <c r="AZ13" s="52"/>
      <c r="BA13" s="52"/>
      <c r="BB13" s="52"/>
      <c r="BC13" s="52"/>
      <c r="BD13" s="52"/>
    </row>
    <row r="14" spans="2:56">
      <c r="B14" s="96"/>
      <c r="C14" s="96"/>
      <c r="D14" s="96"/>
      <c r="E14" s="52"/>
      <c r="F14" s="52"/>
      <c r="G14" s="52"/>
      <c r="H14" s="52"/>
      <c r="I14" s="52"/>
      <c r="J14" s="5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52"/>
      <c r="AY14" s="52"/>
      <c r="AZ14" s="52"/>
      <c r="BA14" s="52"/>
      <c r="BB14" s="52"/>
      <c r="BC14" s="52"/>
      <c r="BD14" s="52"/>
    </row>
    <row r="15" spans="2:56">
      <c r="B15" s="96"/>
      <c r="C15" s="96"/>
      <c r="D15" s="96"/>
      <c r="E15" s="52"/>
      <c r="F15" s="52"/>
      <c r="G15" s="52"/>
      <c r="H15" s="52"/>
      <c r="I15" s="52"/>
      <c r="J15" s="5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52"/>
      <c r="AY15" s="52"/>
      <c r="AZ15" s="52"/>
      <c r="BA15" s="52"/>
      <c r="BB15" s="52"/>
      <c r="BC15" s="52"/>
      <c r="BD15" s="52"/>
    </row>
    <row r="16" spans="2:56">
      <c r="B16" s="96"/>
      <c r="C16" s="96"/>
      <c r="D16" s="96"/>
      <c r="E16" s="52"/>
      <c r="F16" s="52"/>
      <c r="G16" s="52"/>
      <c r="H16" s="52"/>
      <c r="I16" s="52"/>
      <c r="J16" s="5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52"/>
      <c r="AY16" s="52"/>
      <c r="AZ16" s="52"/>
      <c r="BA16" s="52"/>
      <c r="BB16" s="52"/>
      <c r="BC16" s="52"/>
      <c r="BD16" s="52"/>
    </row>
    <row r="17" spans="2:56">
      <c r="B17" s="96"/>
      <c r="C17" s="96"/>
      <c r="D17" s="96"/>
      <c r="E17" s="52"/>
      <c r="F17" s="52"/>
      <c r="G17" s="52"/>
      <c r="H17" s="52"/>
      <c r="I17" s="52"/>
      <c r="J17" s="5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52"/>
      <c r="AY17" s="52"/>
      <c r="AZ17" s="52"/>
      <c r="BA17" s="52"/>
      <c r="BB17" s="52"/>
      <c r="BC17" s="52"/>
      <c r="BD17" s="52"/>
    </row>
    <row r="18" spans="2:56">
      <c r="B18" s="96"/>
      <c r="C18" s="96"/>
      <c r="D18" s="96"/>
      <c r="E18" s="52"/>
      <c r="F18" s="52"/>
      <c r="G18" s="52"/>
      <c r="H18" s="52"/>
      <c r="I18" s="52"/>
      <c r="J18" s="5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52"/>
      <c r="AY18" s="52"/>
      <c r="AZ18" s="52"/>
      <c r="BA18" s="52"/>
      <c r="BB18" s="52"/>
      <c r="BC18" s="52"/>
      <c r="BD18" s="52"/>
    </row>
    <row r="19" spans="2:56">
      <c r="B19" s="96"/>
      <c r="C19" s="96"/>
      <c r="D19" s="96"/>
      <c r="E19" s="52"/>
      <c r="F19" s="52"/>
      <c r="G19" s="52"/>
      <c r="H19" s="52"/>
      <c r="I19" s="52"/>
      <c r="J19" s="5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52"/>
      <c r="AY19" s="52"/>
      <c r="AZ19" s="52"/>
      <c r="BA19" s="52"/>
      <c r="BB19" s="52"/>
      <c r="BC19" s="52"/>
      <c r="BD19" s="52"/>
    </row>
    <row r="20" spans="2:56">
      <c r="B20" s="96"/>
      <c r="C20" s="96"/>
      <c r="D20" s="96"/>
      <c r="E20" s="52"/>
      <c r="F20" s="52"/>
      <c r="G20" s="52"/>
      <c r="H20" s="52"/>
      <c r="I20" s="52"/>
      <c r="J20" s="5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52"/>
      <c r="AY20" s="52"/>
      <c r="AZ20" s="52"/>
      <c r="BA20" s="52"/>
      <c r="BB20" s="52"/>
      <c r="BC20" s="52"/>
      <c r="BD20" s="52"/>
    </row>
    <row r="21" spans="2:56">
      <c r="B21" s="96"/>
      <c r="C21" s="96"/>
      <c r="D21" s="96"/>
      <c r="E21" s="52"/>
      <c r="F21" s="52"/>
      <c r="G21" s="52"/>
      <c r="H21" s="52"/>
      <c r="I21" s="52"/>
      <c r="J21" s="5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52"/>
      <c r="AY21" s="52"/>
      <c r="AZ21" s="52"/>
      <c r="BA21" s="52"/>
      <c r="BB21" s="52"/>
      <c r="BC21" s="52"/>
      <c r="BD21" s="52"/>
    </row>
    <row r="22" spans="2:56">
      <c r="B22" s="96"/>
      <c r="C22" s="96"/>
      <c r="D22" s="96"/>
      <c r="E22" s="52"/>
      <c r="F22" s="52"/>
      <c r="G22" s="52"/>
      <c r="H22" s="52"/>
      <c r="I22" s="52"/>
      <c r="J22" s="5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52"/>
      <c r="AY22" s="52"/>
      <c r="AZ22" s="52"/>
      <c r="BA22" s="52"/>
      <c r="BB22" s="52"/>
      <c r="BC22" s="52"/>
      <c r="BD22" s="52"/>
    </row>
    <row r="23" spans="2:56">
      <c r="B23" s="96"/>
      <c r="C23" s="96"/>
      <c r="D23" s="96"/>
      <c r="E23" s="52"/>
      <c r="F23" s="52"/>
      <c r="G23" s="52"/>
      <c r="H23" s="52"/>
      <c r="I23" s="52"/>
      <c r="J23" s="5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52"/>
      <c r="AY23" s="52"/>
      <c r="AZ23" s="52"/>
      <c r="BA23" s="52"/>
      <c r="BB23" s="52"/>
      <c r="BC23" s="52"/>
      <c r="BD23" s="52"/>
    </row>
    <row r="24" spans="2:56">
      <c r="B24" s="96"/>
      <c r="C24" s="96"/>
      <c r="D24" s="96"/>
      <c r="E24" s="52"/>
      <c r="F24" s="52"/>
      <c r="G24" s="52"/>
      <c r="H24" s="52"/>
      <c r="I24" s="52"/>
      <c r="J24" s="5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52"/>
      <c r="AY24" s="52"/>
      <c r="AZ24" s="52"/>
      <c r="BA24" s="52"/>
      <c r="BB24" s="52"/>
      <c r="BC24" s="52"/>
      <c r="BD24" s="52"/>
    </row>
    <row r="25" spans="2:56">
      <c r="B25" s="96"/>
      <c r="C25" s="96"/>
      <c r="D25" s="96"/>
      <c r="E25" s="52"/>
      <c r="F25" s="52"/>
      <c r="G25" s="52"/>
      <c r="H25" s="52"/>
      <c r="I25" s="52"/>
      <c r="J25" s="5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52"/>
      <c r="AY25" s="52"/>
      <c r="AZ25" s="52"/>
      <c r="BA25" s="52"/>
      <c r="BB25" s="52"/>
      <c r="BC25" s="52"/>
      <c r="BD25" s="52"/>
    </row>
    <row r="26" spans="2:56">
      <c r="B26" s="96"/>
      <c r="C26" s="96"/>
      <c r="D26" s="96"/>
      <c r="E26" s="52"/>
      <c r="F26" s="52"/>
      <c r="G26" s="52"/>
      <c r="H26" s="52"/>
      <c r="I26" s="52"/>
      <c r="J26" s="5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52"/>
      <c r="AY26" s="52"/>
      <c r="AZ26" s="52"/>
      <c r="BA26" s="52"/>
      <c r="BB26" s="52"/>
      <c r="BC26" s="52"/>
      <c r="BD26" s="52"/>
    </row>
    <row r="27" spans="2:56">
      <c r="B27" s="96"/>
      <c r="C27" s="96"/>
      <c r="D27" s="96"/>
      <c r="E27" s="52"/>
      <c r="F27" s="52"/>
      <c r="G27" s="52"/>
      <c r="H27" s="52"/>
      <c r="I27" s="52"/>
      <c r="J27" s="5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52"/>
      <c r="AY27" s="52"/>
      <c r="AZ27" s="52"/>
      <c r="BA27" s="52"/>
      <c r="BB27" s="52"/>
      <c r="BC27" s="52"/>
      <c r="BD27" s="52"/>
    </row>
    <row r="28" spans="2:56">
      <c r="B28" s="96"/>
      <c r="C28" s="96"/>
      <c r="D28" s="96"/>
      <c r="E28" s="52"/>
      <c r="F28" s="52"/>
      <c r="G28" s="52"/>
      <c r="H28" s="52"/>
      <c r="I28" s="52"/>
      <c r="J28" s="5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52"/>
      <c r="AY28" s="52"/>
      <c r="AZ28" s="52"/>
      <c r="BA28" s="52"/>
      <c r="BB28" s="52"/>
      <c r="BC28" s="52"/>
      <c r="BD28" s="52"/>
    </row>
    <row r="29" spans="2:56">
      <c r="B29" s="96"/>
      <c r="C29" s="96"/>
      <c r="D29" s="96"/>
      <c r="E29" s="52"/>
      <c r="F29" s="52"/>
      <c r="G29" s="52"/>
      <c r="H29" s="52"/>
      <c r="I29" s="52"/>
      <c r="J29" s="5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52"/>
      <c r="AY29" s="52"/>
      <c r="AZ29" s="52"/>
      <c r="BA29" s="52"/>
      <c r="BB29" s="52"/>
      <c r="BC29" s="52"/>
      <c r="BD29" s="52"/>
    </row>
  </sheetData>
  <sheetProtection formatCells="0" insertHyperlinks="0" autoFilter="0"/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4"/>
      <c r="T1" s="15" t="s">
        <v>8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 t="s">
        <v>9</v>
      </c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 t="s">
        <v>10</v>
      </c>
      <c r="AS1" s="15"/>
      <c r="AT1" s="15"/>
      <c r="AU1" s="15"/>
      <c r="AV1" s="15"/>
      <c r="AW1" s="15"/>
      <c r="AX1" s="15"/>
      <c r="AY1" s="15" t="s">
        <v>11</v>
      </c>
      <c r="AZ1" s="15"/>
      <c r="BA1" s="15"/>
      <c r="BB1" s="15"/>
      <c r="BC1" s="15"/>
      <c r="BD1" s="15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6"/>
      <c r="T2" s="17" t="str">
        <f>表紙!C4</f>
        <v>Biz-X　POTTS</v>
      </c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31"/>
      <c r="AS2" s="32"/>
      <c r="AT2" s="32"/>
      <c r="AU2" s="32"/>
      <c r="AV2" s="32"/>
      <c r="AW2" s="32"/>
      <c r="AX2" s="35"/>
      <c r="AY2" s="31"/>
      <c r="AZ2" s="32"/>
      <c r="BA2" s="32"/>
      <c r="BB2" s="32"/>
      <c r="BC2" s="32"/>
      <c r="BD2" s="32"/>
      <c r="BE2" s="35"/>
    </row>
    <row r="3" ht="11.25" customHeight="1" spans="1:57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9"/>
      <c r="T3" s="15" t="s">
        <v>13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 t="s">
        <v>14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 t="s">
        <v>15</v>
      </c>
      <c r="AS3" s="15"/>
      <c r="AT3" s="15"/>
      <c r="AU3" s="15"/>
      <c r="AV3" s="15"/>
      <c r="AW3" s="15"/>
      <c r="AX3" s="15"/>
      <c r="AY3" s="15" t="s">
        <v>16</v>
      </c>
      <c r="AZ3" s="15"/>
      <c r="BA3" s="15"/>
      <c r="BB3" s="15"/>
      <c r="BC3" s="15"/>
      <c r="BD3" s="15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0"/>
      <c r="T4" s="21" t="str">
        <f>表紙!C9</f>
        <v>システム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tr">
        <f>表紙!C11</f>
        <v>001_ログイン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33"/>
      <c r="AS4" s="34"/>
      <c r="AT4" s="34"/>
      <c r="AU4" s="34"/>
      <c r="AV4" s="34"/>
      <c r="AW4" s="34"/>
      <c r="AX4" s="36"/>
      <c r="AY4" s="33"/>
      <c r="AZ4" s="34"/>
      <c r="BA4" s="34"/>
      <c r="BB4" s="34"/>
      <c r="BC4" s="34"/>
      <c r="BD4" s="34"/>
      <c r="BE4" s="36"/>
    </row>
    <row r="6" spans="2:56">
      <c r="B6" s="11" t="s">
        <v>23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 t="s">
        <v>17</v>
      </c>
      <c r="AB6" s="11"/>
      <c r="AC6" s="11" t="s">
        <v>24</v>
      </c>
      <c r="AD6" s="11"/>
      <c r="AE6" s="11"/>
      <c r="AF6" s="11"/>
      <c r="AG6" s="11"/>
      <c r="AH6" s="11"/>
      <c r="AI6" s="11"/>
      <c r="AJ6" s="11"/>
      <c r="AK6" s="11"/>
      <c r="AL6" s="11" t="s">
        <v>25</v>
      </c>
      <c r="AM6" s="11"/>
      <c r="AN6" s="11"/>
      <c r="AO6" s="11"/>
      <c r="AP6" s="11"/>
      <c r="AQ6" s="11"/>
      <c r="AR6" s="11"/>
      <c r="AS6" s="11"/>
      <c r="AT6" s="11"/>
      <c r="AU6" s="11" t="s">
        <v>26</v>
      </c>
      <c r="AV6" s="11"/>
      <c r="AW6" s="11" t="s">
        <v>27</v>
      </c>
      <c r="AX6" s="11"/>
      <c r="AY6" s="11" t="s">
        <v>28</v>
      </c>
      <c r="AZ6" s="11"/>
      <c r="BA6" s="11" t="s">
        <v>29</v>
      </c>
      <c r="BB6" s="11"/>
      <c r="BC6" s="11" t="s">
        <v>30</v>
      </c>
      <c r="BD6" s="11"/>
    </row>
    <row r="7" spans="2:56">
      <c r="B7" s="90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5"/>
      <c r="AA7" s="96">
        <v>1</v>
      </c>
      <c r="AB7" s="96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96"/>
      <c r="AV7" s="96"/>
      <c r="AW7" s="96"/>
      <c r="AX7" s="96"/>
      <c r="AY7" s="96"/>
      <c r="AZ7" s="96"/>
      <c r="BA7" s="96"/>
      <c r="BB7" s="96"/>
      <c r="BC7" s="96"/>
      <c r="BD7" s="96"/>
    </row>
    <row r="8" spans="2:56">
      <c r="B8" s="92"/>
      <c r="Z8" s="97"/>
      <c r="AA8" s="96">
        <v>2</v>
      </c>
      <c r="AB8" s="96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96"/>
      <c r="AV8" s="96"/>
      <c r="AW8" s="96"/>
      <c r="AX8" s="96"/>
      <c r="AY8" s="96"/>
      <c r="AZ8" s="96"/>
      <c r="BA8" s="96"/>
      <c r="BB8" s="96"/>
      <c r="BC8" s="96"/>
      <c r="BD8" s="96"/>
    </row>
    <row r="9" spans="2:56">
      <c r="B9" s="92"/>
      <c r="Z9" s="97"/>
      <c r="AA9" s="96">
        <v>3</v>
      </c>
      <c r="AB9" s="96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96"/>
      <c r="AV9" s="96"/>
      <c r="AW9" s="96"/>
      <c r="AX9" s="96"/>
      <c r="AY9" s="96"/>
      <c r="AZ9" s="96"/>
      <c r="BA9" s="96"/>
      <c r="BB9" s="96"/>
      <c r="BC9" s="96"/>
      <c r="BD9" s="96"/>
    </row>
    <row r="10" spans="2:56">
      <c r="B10" s="92"/>
      <c r="Z10" s="97"/>
      <c r="AA10" s="96">
        <v>4</v>
      </c>
      <c r="AB10" s="96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96"/>
      <c r="AV10" s="96"/>
      <c r="AW10" s="96"/>
      <c r="AX10" s="96"/>
      <c r="AY10" s="96"/>
      <c r="AZ10" s="96"/>
      <c r="BA10" s="96"/>
      <c r="BB10" s="96"/>
      <c r="BC10" s="96"/>
      <c r="BD10" s="96"/>
    </row>
    <row r="11" spans="2:56">
      <c r="B11" s="92"/>
      <c r="Z11" s="97"/>
      <c r="AA11" s="96">
        <v>5</v>
      </c>
      <c r="AB11" s="96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96"/>
      <c r="AV11" s="96"/>
      <c r="AW11" s="96"/>
      <c r="AX11" s="96"/>
      <c r="AY11" s="96"/>
      <c r="AZ11" s="96"/>
      <c r="BA11" s="96"/>
      <c r="BB11" s="96"/>
      <c r="BC11" s="96"/>
      <c r="BD11" s="96"/>
    </row>
    <row r="12" spans="2:56">
      <c r="B12" s="92"/>
      <c r="Z12" s="97"/>
      <c r="AA12" s="96">
        <v>6</v>
      </c>
      <c r="AB12" s="96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96"/>
      <c r="AV12" s="96"/>
      <c r="AW12" s="96"/>
      <c r="AX12" s="96"/>
      <c r="AY12" s="96"/>
      <c r="AZ12" s="96"/>
      <c r="BA12" s="96"/>
      <c r="BB12" s="96"/>
      <c r="BC12" s="96"/>
      <c r="BD12" s="96"/>
    </row>
    <row r="13" spans="2:56">
      <c r="B13" s="92"/>
      <c r="Z13" s="97"/>
      <c r="AA13" s="96">
        <v>7</v>
      </c>
      <c r="AB13" s="96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96"/>
      <c r="AV13" s="96"/>
      <c r="AW13" s="96"/>
      <c r="AX13" s="96"/>
      <c r="AY13" s="96"/>
      <c r="AZ13" s="96"/>
      <c r="BA13" s="96"/>
      <c r="BB13" s="96"/>
      <c r="BC13" s="96"/>
      <c r="BD13" s="96"/>
    </row>
    <row r="14" spans="2:56">
      <c r="B14" s="92"/>
      <c r="Z14" s="97"/>
      <c r="AA14" s="96">
        <v>8</v>
      </c>
      <c r="AB14" s="96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96"/>
      <c r="AV14" s="96"/>
      <c r="AW14" s="96"/>
      <c r="AX14" s="96"/>
      <c r="AY14" s="96"/>
      <c r="AZ14" s="96"/>
      <c r="BA14" s="96"/>
      <c r="BB14" s="96"/>
      <c r="BC14" s="96"/>
      <c r="BD14" s="96"/>
    </row>
    <row r="15" spans="2:56">
      <c r="B15" s="92"/>
      <c r="Z15" s="97"/>
      <c r="AA15" s="96">
        <v>9</v>
      </c>
      <c r="AB15" s="96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96"/>
      <c r="AV15" s="96"/>
      <c r="AW15" s="96"/>
      <c r="AX15" s="96"/>
      <c r="AY15" s="96"/>
      <c r="AZ15" s="96"/>
      <c r="BA15" s="96"/>
      <c r="BB15" s="96"/>
      <c r="BC15" s="96"/>
      <c r="BD15" s="96"/>
    </row>
    <row r="16" spans="2:56">
      <c r="B16" s="92"/>
      <c r="Z16" s="97"/>
      <c r="AA16" s="96">
        <v>10</v>
      </c>
      <c r="AB16" s="96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96"/>
      <c r="AV16" s="96"/>
      <c r="AW16" s="96"/>
      <c r="AX16" s="96"/>
      <c r="AY16" s="96"/>
      <c r="AZ16" s="96"/>
      <c r="BA16" s="96"/>
      <c r="BB16" s="96"/>
      <c r="BC16" s="96"/>
      <c r="BD16" s="96"/>
    </row>
    <row r="17" spans="2:56">
      <c r="B17" s="92"/>
      <c r="Z17" s="97"/>
      <c r="AA17" s="96">
        <v>11</v>
      </c>
      <c r="AB17" s="96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96"/>
      <c r="AV17" s="96"/>
      <c r="AW17" s="96"/>
      <c r="AX17" s="96"/>
      <c r="AY17" s="96"/>
      <c r="AZ17" s="96"/>
      <c r="BA17" s="96"/>
      <c r="BB17" s="96"/>
      <c r="BC17" s="96"/>
      <c r="BD17" s="96"/>
    </row>
    <row r="18" spans="2:56">
      <c r="B18" s="92"/>
      <c r="Z18" s="97"/>
      <c r="AA18" s="96">
        <v>12</v>
      </c>
      <c r="AB18" s="96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96"/>
      <c r="AV18" s="96"/>
      <c r="AW18" s="96"/>
      <c r="AX18" s="96"/>
      <c r="AY18" s="96"/>
      <c r="AZ18" s="96"/>
      <c r="BA18" s="96"/>
      <c r="BB18" s="96"/>
      <c r="BC18" s="96"/>
      <c r="BD18" s="96"/>
    </row>
    <row r="19" spans="2:56">
      <c r="B19" s="92"/>
      <c r="Z19" s="97"/>
      <c r="AA19" s="96">
        <v>13</v>
      </c>
      <c r="AB19" s="96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96"/>
      <c r="AV19" s="96"/>
      <c r="AW19" s="96"/>
      <c r="AX19" s="96"/>
      <c r="AY19" s="96"/>
      <c r="AZ19" s="96"/>
      <c r="BA19" s="96"/>
      <c r="BB19" s="96"/>
      <c r="BC19" s="96"/>
      <c r="BD19" s="96"/>
    </row>
    <row r="20" spans="2:56">
      <c r="B20" s="92"/>
      <c r="Z20" s="97"/>
      <c r="AA20" s="96">
        <v>14</v>
      </c>
      <c r="AB20" s="96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96"/>
      <c r="AV20" s="96"/>
      <c r="AW20" s="96"/>
      <c r="AX20" s="96"/>
      <c r="AY20" s="96"/>
      <c r="AZ20" s="96"/>
      <c r="BA20" s="96"/>
      <c r="BB20" s="96"/>
      <c r="BC20" s="96"/>
      <c r="BD20" s="96"/>
    </row>
    <row r="21" spans="2:56">
      <c r="B21" s="92"/>
      <c r="Z21" s="97"/>
      <c r="AA21" s="96">
        <v>15</v>
      </c>
      <c r="AB21" s="96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96"/>
      <c r="AV21" s="96"/>
      <c r="AW21" s="96"/>
      <c r="AX21" s="96"/>
      <c r="AY21" s="96"/>
      <c r="AZ21" s="96"/>
      <c r="BA21" s="96"/>
      <c r="BB21" s="96"/>
      <c r="BC21" s="96"/>
      <c r="BD21" s="96"/>
    </row>
    <row r="22" spans="2:56">
      <c r="B22" s="92"/>
      <c r="Z22" s="97"/>
      <c r="AA22" s="57" t="s">
        <v>31</v>
      </c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61"/>
    </row>
    <row r="23" spans="2:56">
      <c r="B23" s="92"/>
      <c r="Z23" s="97"/>
      <c r="AA23" s="92"/>
      <c r="BD23" s="97"/>
    </row>
    <row r="24" spans="2:56">
      <c r="B24" s="92"/>
      <c r="Z24" s="97"/>
      <c r="AA24" s="92"/>
      <c r="BD24" s="97"/>
    </row>
    <row r="25" spans="2:56">
      <c r="B25" s="92"/>
      <c r="Z25" s="97"/>
      <c r="AA25" s="92"/>
      <c r="BD25" s="97"/>
    </row>
    <row r="26" spans="2:56">
      <c r="B26" s="92"/>
      <c r="Z26" s="97"/>
      <c r="AA26" s="92"/>
      <c r="BD26" s="97"/>
    </row>
    <row r="27" spans="2:56">
      <c r="B27" s="92"/>
      <c r="Z27" s="97"/>
      <c r="AA27" s="92"/>
      <c r="BD27" s="97"/>
    </row>
    <row r="28" spans="2:56">
      <c r="B28" s="92"/>
      <c r="Z28" s="97"/>
      <c r="AA28" s="92"/>
      <c r="BD28" s="97"/>
    </row>
    <row r="29" spans="2:56">
      <c r="B29" s="93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21"/>
      <c r="AA29" s="93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21"/>
    </row>
  </sheetData>
  <sheetProtection formatCells="0" insertHyperlinks="0" autoFilter="0"/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4"/>
      <c r="T1" s="15" t="s">
        <v>8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 t="s">
        <v>9</v>
      </c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 t="s">
        <v>10</v>
      </c>
      <c r="AS1" s="15"/>
      <c r="AT1" s="15"/>
      <c r="AU1" s="15"/>
      <c r="AV1" s="15"/>
      <c r="AW1" s="15"/>
      <c r="AX1" s="15"/>
      <c r="AY1" s="15" t="s">
        <v>11</v>
      </c>
      <c r="AZ1" s="15"/>
      <c r="BA1" s="15"/>
      <c r="BB1" s="15"/>
      <c r="BC1" s="15"/>
      <c r="BD1" s="15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6"/>
      <c r="T2" s="17" t="str">
        <f>表紙!C4</f>
        <v>Biz-X　POTTS</v>
      </c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31"/>
      <c r="AS2" s="32"/>
      <c r="AT2" s="32"/>
      <c r="AU2" s="32"/>
      <c r="AV2" s="32"/>
      <c r="AW2" s="32"/>
      <c r="AX2" s="35"/>
      <c r="AY2" s="31"/>
      <c r="AZ2" s="32"/>
      <c r="BA2" s="32"/>
      <c r="BB2" s="32"/>
      <c r="BC2" s="32"/>
      <c r="BD2" s="32"/>
      <c r="BE2" s="3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9"/>
      <c r="T3" s="15" t="s">
        <v>13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 t="s">
        <v>14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 t="s">
        <v>15</v>
      </c>
      <c r="AS3" s="15"/>
      <c r="AT3" s="15"/>
      <c r="AU3" s="15"/>
      <c r="AV3" s="15"/>
      <c r="AW3" s="15"/>
      <c r="AX3" s="15"/>
      <c r="AY3" s="15" t="s">
        <v>16</v>
      </c>
      <c r="AZ3" s="15"/>
      <c r="BA3" s="15"/>
      <c r="BB3" s="15"/>
      <c r="BC3" s="15"/>
      <c r="BD3" s="15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0"/>
      <c r="T4" s="21" t="str">
        <f>表紙!C9</f>
        <v>システム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tr">
        <f>表紙!C11</f>
        <v>001_ログイン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33"/>
      <c r="AS4" s="34"/>
      <c r="AT4" s="34"/>
      <c r="AU4" s="34"/>
      <c r="AV4" s="34"/>
      <c r="AW4" s="34"/>
      <c r="AX4" s="36"/>
      <c r="AY4" s="33"/>
      <c r="AZ4" s="34"/>
      <c r="BA4" s="34"/>
      <c r="BB4" s="34"/>
      <c r="BC4" s="34"/>
      <c r="BD4" s="34"/>
      <c r="BE4" s="36"/>
    </row>
    <row r="6" spans="2:56">
      <c r="B6" s="57" t="s">
        <v>32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61"/>
    </row>
  </sheetData>
  <sheetProtection formatCells="0" insertHyperlinks="0" autoFilter="0"/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4"/>
      <c r="T1" s="15" t="s">
        <v>8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 t="s">
        <v>9</v>
      </c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 t="s">
        <v>10</v>
      </c>
      <c r="AS1" s="15"/>
      <c r="AT1" s="15"/>
      <c r="AU1" s="15"/>
      <c r="AV1" s="15"/>
      <c r="AW1" s="15"/>
      <c r="AX1" s="15"/>
      <c r="AY1" s="15" t="s">
        <v>11</v>
      </c>
      <c r="AZ1" s="15"/>
      <c r="BA1" s="15"/>
      <c r="BB1" s="15"/>
      <c r="BC1" s="15"/>
      <c r="BD1" s="15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6"/>
      <c r="T2" s="17" t="str">
        <f>表紙!C4</f>
        <v>Biz-X　POTTS</v>
      </c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31"/>
      <c r="AS2" s="32"/>
      <c r="AT2" s="32"/>
      <c r="AU2" s="32"/>
      <c r="AV2" s="32"/>
      <c r="AW2" s="32"/>
      <c r="AX2" s="35"/>
      <c r="AY2" s="31"/>
      <c r="AZ2" s="32"/>
      <c r="BA2" s="32"/>
      <c r="BB2" s="32"/>
      <c r="BC2" s="32"/>
      <c r="BD2" s="32"/>
      <c r="BE2" s="3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9"/>
      <c r="T3" s="15" t="s">
        <v>13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 t="s">
        <v>14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 t="s">
        <v>15</v>
      </c>
      <c r="AS3" s="15"/>
      <c r="AT3" s="15"/>
      <c r="AU3" s="15"/>
      <c r="AV3" s="15"/>
      <c r="AW3" s="15"/>
      <c r="AX3" s="15"/>
      <c r="AY3" s="15" t="s">
        <v>16</v>
      </c>
      <c r="AZ3" s="15"/>
      <c r="BA3" s="15"/>
      <c r="BB3" s="15"/>
      <c r="BC3" s="15"/>
      <c r="BD3" s="15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0"/>
      <c r="T4" s="21" t="str">
        <f>表紙!C9</f>
        <v>システム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tr">
        <f>表紙!C11</f>
        <v>001_ログイン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33"/>
      <c r="AS4" s="34"/>
      <c r="AT4" s="34"/>
      <c r="AU4" s="34"/>
      <c r="AV4" s="34"/>
      <c r="AW4" s="34"/>
      <c r="AX4" s="36"/>
      <c r="AY4" s="33"/>
      <c r="AZ4" s="34"/>
      <c r="BA4" s="34"/>
      <c r="BB4" s="34"/>
      <c r="BC4" s="34"/>
      <c r="BD4" s="34"/>
      <c r="BE4" s="36"/>
    </row>
    <row r="6" spans="2:56">
      <c r="B6" s="57" t="s">
        <v>33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61"/>
    </row>
  </sheetData>
  <sheetProtection formatCells="0" insertHyperlinks="0" autoFilter="0"/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4"/>
      <c r="T1" s="15" t="s">
        <v>8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 t="s">
        <v>9</v>
      </c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 t="s">
        <v>10</v>
      </c>
      <c r="AS1" s="15"/>
      <c r="AT1" s="15"/>
      <c r="AU1" s="15"/>
      <c r="AV1" s="15"/>
      <c r="AW1" s="15"/>
      <c r="AX1" s="15"/>
      <c r="AY1" s="15" t="s">
        <v>11</v>
      </c>
      <c r="AZ1" s="15"/>
      <c r="BA1" s="15"/>
      <c r="BB1" s="15"/>
      <c r="BC1" s="15"/>
      <c r="BD1" s="15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6"/>
      <c r="T2" s="17" t="str">
        <f>表紙!C4</f>
        <v>Biz-X　POTTS</v>
      </c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31"/>
      <c r="AS2" s="32"/>
      <c r="AT2" s="32"/>
      <c r="AU2" s="32"/>
      <c r="AV2" s="32"/>
      <c r="AW2" s="32"/>
      <c r="AX2" s="35"/>
      <c r="AY2" s="31"/>
      <c r="AZ2" s="32"/>
      <c r="BA2" s="32"/>
      <c r="BB2" s="32"/>
      <c r="BC2" s="32"/>
      <c r="BD2" s="32"/>
      <c r="BE2" s="3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9"/>
      <c r="T3" s="15" t="s">
        <v>13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 t="s">
        <v>14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 t="s">
        <v>15</v>
      </c>
      <c r="AS3" s="15"/>
      <c r="AT3" s="15"/>
      <c r="AU3" s="15"/>
      <c r="AV3" s="15"/>
      <c r="AW3" s="15"/>
      <c r="AX3" s="15"/>
      <c r="AY3" s="15" t="s">
        <v>16</v>
      </c>
      <c r="AZ3" s="15"/>
      <c r="BA3" s="15"/>
      <c r="BB3" s="15"/>
      <c r="BC3" s="15"/>
      <c r="BD3" s="15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0"/>
      <c r="T4" s="21" t="str">
        <f>表紙!C9</f>
        <v>システム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tr">
        <f>表紙!C11</f>
        <v>001_ログイン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33"/>
      <c r="AS4" s="34"/>
      <c r="AT4" s="34"/>
      <c r="AU4" s="34"/>
      <c r="AV4" s="34"/>
      <c r="AW4" s="34"/>
      <c r="AX4" s="36"/>
      <c r="AY4" s="33"/>
      <c r="AZ4" s="34"/>
      <c r="BA4" s="34"/>
      <c r="BB4" s="34"/>
      <c r="BC4" s="34"/>
      <c r="BD4" s="34"/>
      <c r="BE4" s="36"/>
    </row>
    <row r="6" ht="18.75" customHeight="1" spans="1:104">
      <c r="A6" s="53" t="s">
        <v>17</v>
      </c>
      <c r="B6" s="53"/>
      <c r="C6" s="53" t="s">
        <v>35</v>
      </c>
      <c r="D6" s="53"/>
      <c r="E6" s="53"/>
      <c r="F6" s="53"/>
      <c r="G6" s="53"/>
      <c r="H6" s="53"/>
      <c r="I6" s="53"/>
      <c r="J6" s="53"/>
      <c r="K6" s="53"/>
      <c r="L6" s="53" t="s">
        <v>25</v>
      </c>
      <c r="M6" s="53"/>
      <c r="N6" s="53"/>
      <c r="O6" s="53"/>
      <c r="P6" s="53"/>
      <c r="Q6" s="53"/>
      <c r="R6" s="53"/>
      <c r="S6" s="53"/>
      <c r="T6" s="70" t="s">
        <v>36</v>
      </c>
      <c r="U6" s="70"/>
      <c r="V6" s="70"/>
      <c r="W6" s="70"/>
      <c r="X6" s="53" t="s">
        <v>37</v>
      </c>
      <c r="Y6" s="53"/>
      <c r="Z6" s="53"/>
      <c r="AA6" s="53"/>
      <c r="AB6" s="81" t="s">
        <v>38</v>
      </c>
      <c r="AC6" s="81"/>
      <c r="AD6" s="81" t="s">
        <v>39</v>
      </c>
      <c r="AE6" s="81"/>
      <c r="AF6" s="53" t="s">
        <v>26</v>
      </c>
      <c r="AG6" s="53"/>
      <c r="AH6" s="53" t="s">
        <v>40</v>
      </c>
      <c r="AI6" s="53"/>
      <c r="AJ6" s="53" t="s">
        <v>41</v>
      </c>
      <c r="AK6" s="53"/>
      <c r="AL6" s="53" t="s">
        <v>42</v>
      </c>
      <c r="AM6" s="53"/>
      <c r="AN6" s="53" t="s">
        <v>43</v>
      </c>
      <c r="AO6" s="53"/>
      <c r="AP6" s="53" t="s">
        <v>44</v>
      </c>
      <c r="AQ6" s="53"/>
      <c r="AR6" s="53" t="s">
        <v>45</v>
      </c>
      <c r="AS6" s="53"/>
      <c r="AT6" s="53" t="s">
        <v>46</v>
      </c>
      <c r="AU6" s="53"/>
      <c r="AV6" s="53" t="s">
        <v>47</v>
      </c>
      <c r="AW6" s="53"/>
      <c r="AX6" s="53"/>
      <c r="AY6" s="53"/>
      <c r="AZ6" s="11" t="s">
        <v>48</v>
      </c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61" t="s">
        <v>49</v>
      </c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 t="s">
        <v>50</v>
      </c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</row>
    <row r="7" ht="33" customHeight="1" spans="1:104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70"/>
      <c r="U7" s="70"/>
      <c r="V7" s="70"/>
      <c r="W7" s="70"/>
      <c r="X7" s="53"/>
      <c r="Y7" s="53"/>
      <c r="Z7" s="53"/>
      <c r="AA7" s="53"/>
      <c r="AB7" s="81"/>
      <c r="AC7" s="81"/>
      <c r="AD7" s="81"/>
      <c r="AE7" s="81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61" t="s">
        <v>51</v>
      </c>
      <c r="BL7" s="11"/>
      <c r="BM7" s="11"/>
      <c r="BN7" s="11"/>
      <c r="BO7" s="11"/>
      <c r="BP7" s="11"/>
      <c r="BQ7" s="11"/>
      <c r="BR7" s="11"/>
      <c r="BS7" s="11"/>
      <c r="BT7" s="57" t="s">
        <v>52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61"/>
      <c r="CF7" s="87" t="s">
        <v>53</v>
      </c>
      <c r="CG7" s="11"/>
      <c r="CH7" s="11"/>
      <c r="CI7" s="11"/>
      <c r="CJ7" s="11"/>
      <c r="CK7" s="11"/>
      <c r="CL7" s="11"/>
      <c r="CM7" s="11"/>
      <c r="CN7" s="11"/>
      <c r="CO7" s="57" t="s">
        <v>52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61"/>
    </row>
    <row r="8" spans="1:104">
      <c r="A8" s="54"/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71"/>
      <c r="U8" s="71"/>
      <c r="V8" s="71"/>
      <c r="W8" s="71"/>
      <c r="X8" s="55"/>
      <c r="Y8" s="55"/>
      <c r="Z8" s="55"/>
      <c r="AA8" s="55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74"/>
      <c r="AW8" s="75"/>
      <c r="AX8" s="75"/>
      <c r="AY8" s="77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4"/>
      <c r="BL8" s="84"/>
      <c r="BM8" s="84"/>
      <c r="BN8" s="84"/>
      <c r="BO8" s="84"/>
      <c r="BP8" s="84"/>
      <c r="BQ8" s="84"/>
      <c r="BR8" s="84"/>
      <c r="BS8" s="84"/>
      <c r="BT8" s="85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8"/>
      <c r="CF8" s="84"/>
      <c r="CG8" s="84"/>
      <c r="CH8" s="84"/>
      <c r="CI8" s="84"/>
      <c r="CJ8" s="84"/>
      <c r="CK8" s="84"/>
      <c r="CL8" s="84"/>
      <c r="CM8" s="84"/>
      <c r="CN8" s="84"/>
      <c r="CO8" s="85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8"/>
    </row>
    <row r="9" ht="16.5" customHeight="1" spans="1:104">
      <c r="A9" s="54"/>
      <c r="B9" s="54"/>
      <c r="C9" s="78" t="s">
        <v>54</v>
      </c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79"/>
      <c r="CY9" s="79"/>
      <c r="CZ9" s="89"/>
    </row>
    <row r="10" spans="1:104">
      <c r="A10" s="54"/>
      <c r="B10" s="54"/>
      <c r="C10" s="80" t="s">
        <v>55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71" t="s">
        <v>56</v>
      </c>
      <c r="U10" s="71"/>
      <c r="V10" s="71"/>
      <c r="W10" s="71"/>
      <c r="X10" s="55" t="s">
        <v>57</v>
      </c>
      <c r="Y10" s="55"/>
      <c r="Z10" s="55"/>
      <c r="AA10" s="55"/>
      <c r="AB10" s="54"/>
      <c r="AC10" s="54"/>
      <c r="AD10" s="54"/>
      <c r="AE10" s="54"/>
      <c r="AF10" s="54" t="s">
        <v>58</v>
      </c>
      <c r="AG10" s="54"/>
      <c r="AH10" s="54">
        <v>1</v>
      </c>
      <c r="AI10" s="54"/>
      <c r="AJ10" s="54" t="s">
        <v>59</v>
      </c>
      <c r="AK10" s="54"/>
      <c r="AL10" s="54" t="s">
        <v>59</v>
      </c>
      <c r="AM10" s="54"/>
      <c r="AN10" s="54" t="s">
        <v>60</v>
      </c>
      <c r="AO10" s="54"/>
      <c r="AP10" s="54" t="s">
        <v>61</v>
      </c>
      <c r="AQ10" s="54"/>
      <c r="AR10" s="54" t="s">
        <v>59</v>
      </c>
      <c r="AS10" s="54"/>
      <c r="AT10" s="54" t="s">
        <v>59</v>
      </c>
      <c r="AU10" s="54"/>
      <c r="AV10" s="74" t="s">
        <v>62</v>
      </c>
      <c r="AW10" s="75"/>
      <c r="AX10" s="75"/>
      <c r="AY10" s="77"/>
      <c r="AZ10" s="82" t="s">
        <v>63</v>
      </c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4"/>
      <c r="BL10" s="84"/>
      <c r="BM10" s="84"/>
      <c r="BN10" s="84"/>
      <c r="BO10" s="84"/>
      <c r="BP10" s="84"/>
      <c r="BQ10" s="84"/>
      <c r="BR10" s="84"/>
      <c r="BS10" s="84"/>
      <c r="BT10" s="85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8"/>
      <c r="CF10" s="84"/>
      <c r="CG10" s="84"/>
      <c r="CH10" s="84"/>
      <c r="CI10" s="84"/>
      <c r="CJ10" s="84"/>
      <c r="CK10" s="84"/>
      <c r="CL10" s="84"/>
      <c r="CM10" s="84"/>
      <c r="CN10" s="84"/>
      <c r="CO10" s="85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8"/>
    </row>
    <row r="11" spans="1:104">
      <c r="A11" s="54"/>
      <c r="B11" s="54"/>
      <c r="C11" s="80" t="s">
        <v>64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71" t="s">
        <v>56</v>
      </c>
      <c r="U11" s="71"/>
      <c r="V11" s="71"/>
      <c r="W11" s="71"/>
      <c r="X11" s="80" t="s">
        <v>65</v>
      </c>
      <c r="Y11" s="55"/>
      <c r="Z11" s="55"/>
      <c r="AA11" s="55"/>
      <c r="AB11" s="54"/>
      <c r="AC11" s="54"/>
      <c r="AD11" s="54"/>
      <c r="AE11" s="54"/>
      <c r="AF11" s="54" t="s">
        <v>58</v>
      </c>
      <c r="AG11" s="54"/>
      <c r="AH11" s="54">
        <v>2</v>
      </c>
      <c r="AI11" s="54"/>
      <c r="AJ11" s="54" t="s">
        <v>59</v>
      </c>
      <c r="AK11" s="54"/>
      <c r="AL11" s="54" t="s">
        <v>59</v>
      </c>
      <c r="AM11" s="54"/>
      <c r="AN11" s="54" t="s">
        <v>60</v>
      </c>
      <c r="AO11" s="54"/>
      <c r="AP11" s="54" t="s">
        <v>61</v>
      </c>
      <c r="AQ11" s="54"/>
      <c r="AR11" s="54" t="s">
        <v>59</v>
      </c>
      <c r="AS11" s="54"/>
      <c r="AT11" s="54" t="s">
        <v>59</v>
      </c>
      <c r="AU11" s="54"/>
      <c r="AV11" s="74" t="s">
        <v>62</v>
      </c>
      <c r="AW11" s="75"/>
      <c r="AX11" s="75"/>
      <c r="AY11" s="77"/>
      <c r="AZ11" s="82" t="s">
        <v>66</v>
      </c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4"/>
      <c r="BL11" s="84"/>
      <c r="BM11" s="84"/>
      <c r="BN11" s="84"/>
      <c r="BO11" s="84"/>
      <c r="BP11" s="84"/>
      <c r="BQ11" s="84"/>
      <c r="BR11" s="84"/>
      <c r="BS11" s="84"/>
      <c r="BT11" s="85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8"/>
      <c r="CF11" s="84"/>
      <c r="CG11" s="84"/>
      <c r="CH11" s="84"/>
      <c r="CI11" s="84"/>
      <c r="CJ11" s="84"/>
      <c r="CK11" s="84"/>
      <c r="CL11" s="84"/>
      <c r="CM11" s="84"/>
      <c r="CN11" s="84"/>
      <c r="CO11" s="85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8"/>
    </row>
    <row r="12" spans="1:104">
      <c r="A12" s="54"/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71"/>
      <c r="U12" s="71"/>
      <c r="V12" s="71"/>
      <c r="W12" s="71"/>
      <c r="X12" s="55"/>
      <c r="Y12" s="55"/>
      <c r="Z12" s="55"/>
      <c r="AA12" s="55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74"/>
      <c r="AW12" s="75"/>
      <c r="AX12" s="75"/>
      <c r="AY12" s="77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4"/>
      <c r="BL12" s="84"/>
      <c r="BM12" s="84"/>
      <c r="BN12" s="84"/>
      <c r="BO12" s="84"/>
      <c r="BP12" s="84"/>
      <c r="BQ12" s="84"/>
      <c r="BR12" s="84"/>
      <c r="BS12" s="84"/>
      <c r="BT12" s="85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8"/>
      <c r="CF12" s="84"/>
      <c r="CG12" s="84"/>
      <c r="CH12" s="84"/>
      <c r="CI12" s="84"/>
      <c r="CJ12" s="84"/>
      <c r="CK12" s="84"/>
      <c r="CL12" s="84"/>
      <c r="CM12" s="84"/>
      <c r="CN12" s="84"/>
      <c r="CO12" s="85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88"/>
    </row>
    <row r="13" spans="1:104">
      <c r="A13" s="54"/>
      <c r="B13" s="54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71"/>
      <c r="U13" s="71"/>
      <c r="V13" s="71"/>
      <c r="W13" s="71"/>
      <c r="X13" s="55"/>
      <c r="Y13" s="55"/>
      <c r="Z13" s="55"/>
      <c r="AA13" s="55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74"/>
      <c r="AW13" s="75"/>
      <c r="AX13" s="75"/>
      <c r="AY13" s="77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4"/>
      <c r="BL13" s="84"/>
      <c r="BM13" s="84"/>
      <c r="BN13" s="84"/>
      <c r="BO13" s="84"/>
      <c r="BP13" s="84"/>
      <c r="BQ13" s="84"/>
      <c r="BR13" s="84"/>
      <c r="BS13" s="84"/>
      <c r="BT13" s="85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8"/>
      <c r="CF13" s="84"/>
      <c r="CG13" s="84"/>
      <c r="CH13" s="84"/>
      <c r="CI13" s="84"/>
      <c r="CJ13" s="84"/>
      <c r="CK13" s="84"/>
      <c r="CL13" s="84"/>
      <c r="CM13" s="84"/>
      <c r="CN13" s="84"/>
      <c r="CO13" s="85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8"/>
    </row>
    <row r="14" spans="1:104">
      <c r="A14" s="54"/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71"/>
      <c r="U14" s="71"/>
      <c r="V14" s="71"/>
      <c r="W14" s="71"/>
      <c r="X14" s="55"/>
      <c r="Y14" s="55"/>
      <c r="Z14" s="55"/>
      <c r="AA14" s="55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74"/>
      <c r="AW14" s="75"/>
      <c r="AX14" s="75"/>
      <c r="AY14" s="77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4"/>
      <c r="BL14" s="84"/>
      <c r="BM14" s="84"/>
      <c r="BN14" s="84"/>
      <c r="BO14" s="84"/>
      <c r="BP14" s="84"/>
      <c r="BQ14" s="84"/>
      <c r="BR14" s="84"/>
      <c r="BS14" s="84"/>
      <c r="BT14" s="85"/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8"/>
      <c r="CF14" s="84"/>
      <c r="CG14" s="84"/>
      <c r="CH14" s="84"/>
      <c r="CI14" s="84"/>
      <c r="CJ14" s="84"/>
      <c r="CK14" s="84"/>
      <c r="CL14" s="84"/>
      <c r="CM14" s="84"/>
      <c r="CN14" s="84"/>
      <c r="CO14" s="85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8"/>
    </row>
    <row r="15" spans="1:104">
      <c r="A15" s="54"/>
      <c r="B15" s="54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71"/>
      <c r="U15" s="71"/>
      <c r="V15" s="71"/>
      <c r="W15" s="71"/>
      <c r="X15" s="55"/>
      <c r="Y15" s="55"/>
      <c r="Z15" s="55"/>
      <c r="AA15" s="55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74"/>
      <c r="AW15" s="75"/>
      <c r="AX15" s="75"/>
      <c r="AY15" s="77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4"/>
      <c r="BL15" s="84"/>
      <c r="BM15" s="84"/>
      <c r="BN15" s="84"/>
      <c r="BO15" s="84"/>
      <c r="BP15" s="84"/>
      <c r="BQ15" s="84"/>
      <c r="BR15" s="84"/>
      <c r="BS15" s="84"/>
      <c r="BT15" s="85"/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8"/>
      <c r="CF15" s="84"/>
      <c r="CG15" s="84"/>
      <c r="CH15" s="84"/>
      <c r="CI15" s="84"/>
      <c r="CJ15" s="84"/>
      <c r="CK15" s="84"/>
      <c r="CL15" s="84"/>
      <c r="CM15" s="84"/>
      <c r="CN15" s="84"/>
      <c r="CO15" s="85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8"/>
    </row>
    <row r="16" spans="1:104">
      <c r="A16" s="54"/>
      <c r="B16" s="54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71"/>
      <c r="U16" s="71"/>
      <c r="V16" s="71"/>
      <c r="W16" s="71"/>
      <c r="X16" s="55"/>
      <c r="Y16" s="55"/>
      <c r="Z16" s="55"/>
      <c r="AA16" s="55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74"/>
      <c r="AW16" s="75"/>
      <c r="AX16" s="75"/>
      <c r="AY16" s="77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4"/>
      <c r="BL16" s="84"/>
      <c r="BM16" s="84"/>
      <c r="BN16" s="84"/>
      <c r="BO16" s="84"/>
      <c r="BP16" s="84"/>
      <c r="BQ16" s="84"/>
      <c r="BR16" s="84"/>
      <c r="BS16" s="84"/>
      <c r="BT16" s="85"/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8"/>
      <c r="CF16" s="84"/>
      <c r="CG16" s="84"/>
      <c r="CH16" s="84"/>
      <c r="CI16" s="84"/>
      <c r="CJ16" s="84"/>
      <c r="CK16" s="84"/>
      <c r="CL16" s="84"/>
      <c r="CM16" s="84"/>
      <c r="CN16" s="84"/>
      <c r="CO16" s="85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8"/>
    </row>
    <row r="17" spans="1:104">
      <c r="A17" s="54"/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71"/>
      <c r="U17" s="71"/>
      <c r="V17" s="71"/>
      <c r="W17" s="71"/>
      <c r="X17" s="55"/>
      <c r="Y17" s="55"/>
      <c r="Z17" s="55"/>
      <c r="AA17" s="55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74"/>
      <c r="AW17" s="75"/>
      <c r="AX17" s="75"/>
      <c r="AY17" s="77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4"/>
      <c r="BL17" s="84"/>
      <c r="BM17" s="84"/>
      <c r="BN17" s="84"/>
      <c r="BO17" s="84"/>
      <c r="BP17" s="84"/>
      <c r="BQ17" s="84"/>
      <c r="BR17" s="84"/>
      <c r="BS17" s="84"/>
      <c r="BT17" s="85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8"/>
      <c r="CF17" s="84"/>
      <c r="CG17" s="84"/>
      <c r="CH17" s="84"/>
      <c r="CI17" s="84"/>
      <c r="CJ17" s="84"/>
      <c r="CK17" s="84"/>
      <c r="CL17" s="84"/>
      <c r="CM17" s="84"/>
      <c r="CN17" s="84"/>
      <c r="CO17" s="85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8"/>
    </row>
    <row r="18" spans="1:104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71"/>
      <c r="U18" s="71"/>
      <c r="V18" s="71"/>
      <c r="W18" s="71"/>
      <c r="X18" s="55"/>
      <c r="Y18" s="55"/>
      <c r="Z18" s="55"/>
      <c r="AA18" s="55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74"/>
      <c r="AW18" s="75"/>
      <c r="AX18" s="75"/>
      <c r="AY18" s="77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4"/>
      <c r="BL18" s="84"/>
      <c r="BM18" s="84"/>
      <c r="BN18" s="84"/>
      <c r="BO18" s="84"/>
      <c r="BP18" s="84"/>
      <c r="BQ18" s="84"/>
      <c r="BR18" s="84"/>
      <c r="BS18" s="84"/>
      <c r="BT18" s="85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8"/>
      <c r="CF18" s="84"/>
      <c r="CG18" s="84"/>
      <c r="CH18" s="84"/>
      <c r="CI18" s="84"/>
      <c r="CJ18" s="84"/>
      <c r="CK18" s="84"/>
      <c r="CL18" s="84"/>
      <c r="CM18" s="84"/>
      <c r="CN18" s="84"/>
      <c r="CO18" s="85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8"/>
    </row>
    <row r="19" spans="1:104">
      <c r="A19" s="54"/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71"/>
      <c r="U19" s="71"/>
      <c r="V19" s="71"/>
      <c r="W19" s="71"/>
      <c r="X19" s="55"/>
      <c r="Y19" s="55"/>
      <c r="Z19" s="55"/>
      <c r="AA19" s="55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74"/>
      <c r="AW19" s="75"/>
      <c r="AX19" s="75"/>
      <c r="AY19" s="77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4"/>
      <c r="BL19" s="84"/>
      <c r="BM19" s="84"/>
      <c r="BN19" s="84"/>
      <c r="BO19" s="84"/>
      <c r="BP19" s="84"/>
      <c r="BQ19" s="84"/>
      <c r="BR19" s="84"/>
      <c r="BS19" s="84"/>
      <c r="BT19" s="85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8"/>
      <c r="CF19" s="84"/>
      <c r="CG19" s="84"/>
      <c r="CH19" s="84"/>
      <c r="CI19" s="84"/>
      <c r="CJ19" s="84"/>
      <c r="CK19" s="84"/>
      <c r="CL19" s="84"/>
      <c r="CM19" s="84"/>
      <c r="CN19" s="84"/>
      <c r="CO19" s="85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8"/>
    </row>
    <row r="20" spans="1:104">
      <c r="A20" s="54"/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71"/>
      <c r="U20" s="71"/>
      <c r="V20" s="71"/>
      <c r="W20" s="71"/>
      <c r="X20" s="55"/>
      <c r="Y20" s="55"/>
      <c r="Z20" s="55"/>
      <c r="AA20" s="55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74"/>
      <c r="AW20" s="75"/>
      <c r="AX20" s="75"/>
      <c r="AY20" s="77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4"/>
      <c r="BL20" s="84"/>
      <c r="BM20" s="84"/>
      <c r="BN20" s="84"/>
      <c r="BO20" s="84"/>
      <c r="BP20" s="84"/>
      <c r="BQ20" s="84"/>
      <c r="BR20" s="84"/>
      <c r="BS20" s="84"/>
      <c r="BT20" s="85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8"/>
      <c r="CF20" s="84"/>
      <c r="CG20" s="84"/>
      <c r="CH20" s="84"/>
      <c r="CI20" s="84"/>
      <c r="CJ20" s="84"/>
      <c r="CK20" s="84"/>
      <c r="CL20" s="84"/>
      <c r="CM20" s="84"/>
      <c r="CN20" s="84"/>
      <c r="CO20" s="85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8"/>
    </row>
    <row r="21" spans="1:104">
      <c r="A21" s="54"/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71"/>
      <c r="U21" s="71"/>
      <c r="V21" s="71"/>
      <c r="W21" s="71"/>
      <c r="X21" s="55"/>
      <c r="Y21" s="55"/>
      <c r="Z21" s="55"/>
      <c r="AA21" s="55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74"/>
      <c r="AW21" s="75"/>
      <c r="AX21" s="75"/>
      <c r="AY21" s="77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4"/>
      <c r="BL21" s="84"/>
      <c r="BM21" s="84"/>
      <c r="BN21" s="84"/>
      <c r="BO21" s="84"/>
      <c r="BP21" s="84"/>
      <c r="BQ21" s="84"/>
      <c r="BR21" s="84"/>
      <c r="BS21" s="84"/>
      <c r="BT21" s="85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8"/>
      <c r="CF21" s="84"/>
      <c r="CG21" s="84"/>
      <c r="CH21" s="84"/>
      <c r="CI21" s="84"/>
      <c r="CJ21" s="84"/>
      <c r="CK21" s="84"/>
      <c r="CL21" s="84"/>
      <c r="CM21" s="84"/>
      <c r="CN21" s="84"/>
      <c r="CO21" s="85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8"/>
    </row>
    <row r="22" spans="1:104">
      <c r="A22" s="54"/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71"/>
      <c r="U22" s="71"/>
      <c r="V22" s="71"/>
      <c r="W22" s="71"/>
      <c r="X22" s="55"/>
      <c r="Y22" s="55"/>
      <c r="Z22" s="55"/>
      <c r="AA22" s="55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74"/>
      <c r="AW22" s="75"/>
      <c r="AX22" s="75"/>
      <c r="AY22" s="77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4"/>
      <c r="BL22" s="84"/>
      <c r="BM22" s="84"/>
      <c r="BN22" s="84"/>
      <c r="BO22" s="84"/>
      <c r="BP22" s="84"/>
      <c r="BQ22" s="84"/>
      <c r="BR22" s="84"/>
      <c r="BS22" s="84"/>
      <c r="BT22" s="85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8"/>
      <c r="CF22" s="84"/>
      <c r="CG22" s="84"/>
      <c r="CH22" s="84"/>
      <c r="CI22" s="84"/>
      <c r="CJ22" s="84"/>
      <c r="CK22" s="84"/>
      <c r="CL22" s="84"/>
      <c r="CM22" s="84"/>
      <c r="CN22" s="84"/>
      <c r="CO22" s="85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8"/>
    </row>
    <row r="23" spans="1:104">
      <c r="A23" s="54"/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71"/>
      <c r="U23" s="71"/>
      <c r="V23" s="71"/>
      <c r="W23" s="71"/>
      <c r="X23" s="55"/>
      <c r="Y23" s="55"/>
      <c r="Z23" s="55"/>
      <c r="AA23" s="55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74"/>
      <c r="AW23" s="75"/>
      <c r="AX23" s="75"/>
      <c r="AY23" s="77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4"/>
      <c r="BL23" s="84"/>
      <c r="BM23" s="84"/>
      <c r="BN23" s="84"/>
      <c r="BO23" s="84"/>
      <c r="BP23" s="84"/>
      <c r="BQ23" s="84"/>
      <c r="BR23" s="84"/>
      <c r="BS23" s="84"/>
      <c r="BT23" s="85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8"/>
      <c r="CF23" s="84"/>
      <c r="CG23" s="84"/>
      <c r="CH23" s="84"/>
      <c r="CI23" s="84"/>
      <c r="CJ23" s="84"/>
      <c r="CK23" s="84"/>
      <c r="CL23" s="84"/>
      <c r="CM23" s="84"/>
      <c r="CN23" s="84"/>
      <c r="CO23" s="85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8"/>
    </row>
    <row r="24" spans="1:104">
      <c r="A24" s="54"/>
      <c r="B24" s="54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71"/>
      <c r="U24" s="71"/>
      <c r="V24" s="71"/>
      <c r="W24" s="71"/>
      <c r="X24" s="55"/>
      <c r="Y24" s="55"/>
      <c r="Z24" s="55"/>
      <c r="AA24" s="55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74"/>
      <c r="AW24" s="75"/>
      <c r="AX24" s="75"/>
      <c r="AY24" s="77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4"/>
      <c r="BL24" s="84"/>
      <c r="BM24" s="84"/>
      <c r="BN24" s="84"/>
      <c r="BO24" s="84"/>
      <c r="BP24" s="84"/>
      <c r="BQ24" s="84"/>
      <c r="BR24" s="84"/>
      <c r="BS24" s="84"/>
      <c r="BT24" s="85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8"/>
      <c r="CF24" s="84"/>
      <c r="CG24" s="84"/>
      <c r="CH24" s="84"/>
      <c r="CI24" s="84"/>
      <c r="CJ24" s="84"/>
      <c r="CK24" s="84"/>
      <c r="CL24" s="84"/>
      <c r="CM24" s="84"/>
      <c r="CN24" s="84"/>
      <c r="CO24" s="85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8"/>
    </row>
    <row r="25" spans="1:104">
      <c r="A25" s="54"/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71"/>
      <c r="U25" s="71"/>
      <c r="V25" s="71"/>
      <c r="W25" s="71"/>
      <c r="X25" s="55"/>
      <c r="Y25" s="55"/>
      <c r="Z25" s="55"/>
      <c r="AA25" s="55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74"/>
      <c r="AW25" s="75"/>
      <c r="AX25" s="75"/>
      <c r="AY25" s="77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4"/>
      <c r="BL25" s="84"/>
      <c r="BM25" s="84"/>
      <c r="BN25" s="84"/>
      <c r="BO25" s="84"/>
      <c r="BP25" s="84"/>
      <c r="BQ25" s="84"/>
      <c r="BR25" s="84"/>
      <c r="BS25" s="84"/>
      <c r="BT25" s="85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8"/>
      <c r="CF25" s="84"/>
      <c r="CG25" s="84"/>
      <c r="CH25" s="84"/>
      <c r="CI25" s="84"/>
      <c r="CJ25" s="84"/>
      <c r="CK25" s="84"/>
      <c r="CL25" s="84"/>
      <c r="CM25" s="84"/>
      <c r="CN25" s="84"/>
      <c r="CO25" s="85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8"/>
    </row>
    <row r="26" spans="1:104">
      <c r="A26" s="54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71"/>
      <c r="U26" s="71"/>
      <c r="V26" s="71"/>
      <c r="W26" s="71"/>
      <c r="X26" s="55"/>
      <c r="Y26" s="55"/>
      <c r="Z26" s="55"/>
      <c r="AA26" s="55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74"/>
      <c r="AW26" s="75"/>
      <c r="AX26" s="75"/>
      <c r="AY26" s="77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4"/>
      <c r="BL26" s="84"/>
      <c r="BM26" s="84"/>
      <c r="BN26" s="84"/>
      <c r="BO26" s="84"/>
      <c r="BP26" s="84"/>
      <c r="BQ26" s="84"/>
      <c r="BR26" s="84"/>
      <c r="BS26" s="84"/>
      <c r="BT26" s="85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8"/>
      <c r="CF26" s="84"/>
      <c r="CG26" s="84"/>
      <c r="CH26" s="84"/>
      <c r="CI26" s="84"/>
      <c r="CJ26" s="84"/>
      <c r="CK26" s="84"/>
      <c r="CL26" s="84"/>
      <c r="CM26" s="84"/>
      <c r="CN26" s="84"/>
      <c r="CO26" s="85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8"/>
    </row>
    <row r="27" spans="1:104">
      <c r="A27" s="54"/>
      <c r="B27" s="54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71"/>
      <c r="U27" s="71"/>
      <c r="V27" s="71"/>
      <c r="W27" s="71"/>
      <c r="X27" s="55"/>
      <c r="Y27" s="55"/>
      <c r="Z27" s="55"/>
      <c r="AA27" s="55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74"/>
      <c r="AW27" s="75"/>
      <c r="AX27" s="75"/>
      <c r="AY27" s="77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4"/>
      <c r="BL27" s="84"/>
      <c r="BM27" s="84"/>
      <c r="BN27" s="84"/>
      <c r="BO27" s="84"/>
      <c r="BP27" s="84"/>
      <c r="BQ27" s="84"/>
      <c r="BR27" s="84"/>
      <c r="BS27" s="84"/>
      <c r="BT27" s="85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8"/>
      <c r="CF27" s="84"/>
      <c r="CG27" s="84"/>
      <c r="CH27" s="84"/>
      <c r="CI27" s="84"/>
      <c r="CJ27" s="84"/>
      <c r="CK27" s="84"/>
      <c r="CL27" s="84"/>
      <c r="CM27" s="84"/>
      <c r="CN27" s="84"/>
      <c r="CO27" s="85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8"/>
    </row>
    <row r="28" spans="1:104">
      <c r="A28" s="54"/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71"/>
      <c r="U28" s="71"/>
      <c r="V28" s="71"/>
      <c r="W28" s="71"/>
      <c r="X28" s="55"/>
      <c r="Y28" s="55"/>
      <c r="Z28" s="55"/>
      <c r="AA28" s="55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74"/>
      <c r="AW28" s="75"/>
      <c r="AX28" s="75"/>
      <c r="AY28" s="77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4"/>
      <c r="BL28" s="84"/>
      <c r="BM28" s="84"/>
      <c r="BN28" s="84"/>
      <c r="BO28" s="84"/>
      <c r="BP28" s="84"/>
      <c r="BQ28" s="84"/>
      <c r="BR28" s="84"/>
      <c r="BS28" s="84"/>
      <c r="BT28" s="85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8"/>
      <c r="CF28" s="84"/>
      <c r="CG28" s="84"/>
      <c r="CH28" s="84"/>
      <c r="CI28" s="84"/>
      <c r="CJ28" s="84"/>
      <c r="CK28" s="84"/>
      <c r="CL28" s="84"/>
      <c r="CM28" s="84"/>
      <c r="CN28" s="84"/>
      <c r="CO28" s="85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88"/>
    </row>
    <row r="29" spans="1:104">
      <c r="A29" s="54"/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71"/>
      <c r="U29" s="71"/>
      <c r="V29" s="71"/>
      <c r="W29" s="71"/>
      <c r="X29" s="55"/>
      <c r="Y29" s="55"/>
      <c r="Z29" s="55"/>
      <c r="AA29" s="55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74"/>
      <c r="AW29" s="75"/>
      <c r="AX29" s="75"/>
      <c r="AY29" s="77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4"/>
      <c r="BL29" s="84"/>
      <c r="BM29" s="84"/>
      <c r="BN29" s="84"/>
      <c r="BO29" s="84"/>
      <c r="BP29" s="84"/>
      <c r="BQ29" s="84"/>
      <c r="BR29" s="84"/>
      <c r="BS29" s="84"/>
      <c r="BT29" s="85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8"/>
      <c r="CF29" s="84"/>
      <c r="CG29" s="84"/>
      <c r="CH29" s="84"/>
      <c r="CI29" s="84"/>
      <c r="CJ29" s="84"/>
      <c r="CK29" s="84"/>
      <c r="CL29" s="84"/>
      <c r="CM29" s="84"/>
      <c r="CN29" s="84"/>
      <c r="CO29" s="85"/>
      <c r="CP29" s="86"/>
      <c r="CQ29" s="86"/>
      <c r="CR29" s="86"/>
      <c r="CS29" s="86"/>
      <c r="CT29" s="86"/>
      <c r="CU29" s="86"/>
      <c r="CV29" s="86"/>
      <c r="CW29" s="86"/>
      <c r="CX29" s="86"/>
      <c r="CY29" s="86"/>
      <c r="CZ29" s="88"/>
    </row>
    <row r="30" spans="1:104">
      <c r="A30" s="54"/>
      <c r="B30" s="54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71"/>
      <c r="U30" s="71"/>
      <c r="V30" s="71"/>
      <c r="W30" s="71"/>
      <c r="X30" s="55"/>
      <c r="Y30" s="55"/>
      <c r="Z30" s="55"/>
      <c r="AA30" s="55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74"/>
      <c r="AW30" s="75"/>
      <c r="AX30" s="75"/>
      <c r="AY30" s="77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4"/>
      <c r="BL30" s="84"/>
      <c r="BM30" s="84"/>
      <c r="BN30" s="84"/>
      <c r="BO30" s="84"/>
      <c r="BP30" s="84"/>
      <c r="BQ30" s="84"/>
      <c r="BR30" s="84"/>
      <c r="BS30" s="84"/>
      <c r="BT30" s="85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8"/>
      <c r="CF30" s="84"/>
      <c r="CG30" s="84"/>
      <c r="CH30" s="84"/>
      <c r="CI30" s="84"/>
      <c r="CJ30" s="84"/>
      <c r="CK30" s="84"/>
      <c r="CL30" s="84"/>
      <c r="CM30" s="84"/>
      <c r="CN30" s="84"/>
      <c r="CO30" s="85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88"/>
    </row>
    <row r="31" spans="1:89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</row>
    <row r="32" spans="1:89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</row>
    <row r="33" spans="1:86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</row>
    <row r="34" spans="1:86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</row>
    <row r="35" spans="1:86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</row>
  </sheetData>
  <sheetProtection formatCells="0" insertHyperlinks="0" autoFilter="0"/>
  <mergeCells count="50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4"/>
      <c r="T1" s="15" t="s">
        <v>8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 t="s">
        <v>9</v>
      </c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 t="s">
        <v>10</v>
      </c>
      <c r="AS1" s="15"/>
      <c r="AT1" s="15"/>
      <c r="AU1" s="15"/>
      <c r="AV1" s="15"/>
      <c r="AW1" s="15"/>
      <c r="AX1" s="15"/>
      <c r="AY1" s="15" t="s">
        <v>11</v>
      </c>
      <c r="AZ1" s="15"/>
      <c r="BA1" s="15"/>
      <c r="BB1" s="15"/>
      <c r="BC1" s="15"/>
      <c r="BD1" s="15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6"/>
      <c r="T2" s="17" t="str">
        <f>表紙!C4</f>
        <v>Biz-X　POTTS</v>
      </c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31"/>
      <c r="AS2" s="32"/>
      <c r="AT2" s="32"/>
      <c r="AU2" s="32"/>
      <c r="AV2" s="32"/>
      <c r="AW2" s="32"/>
      <c r="AX2" s="35"/>
      <c r="AY2" s="31"/>
      <c r="AZ2" s="32"/>
      <c r="BA2" s="32"/>
      <c r="BB2" s="32"/>
      <c r="BC2" s="32"/>
      <c r="BD2" s="32"/>
      <c r="BE2" s="35"/>
    </row>
    <row r="3" ht="11.25" customHeight="1" spans="1:57">
      <c r="A3" s="6" t="s">
        <v>67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9"/>
      <c r="T3" s="15" t="s">
        <v>13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 t="s">
        <v>14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 t="s">
        <v>15</v>
      </c>
      <c r="AS3" s="15"/>
      <c r="AT3" s="15"/>
      <c r="AU3" s="15"/>
      <c r="AV3" s="15"/>
      <c r="AW3" s="15"/>
      <c r="AX3" s="15"/>
      <c r="AY3" s="15" t="s">
        <v>16</v>
      </c>
      <c r="AZ3" s="15"/>
      <c r="BA3" s="15"/>
      <c r="BB3" s="15"/>
      <c r="BC3" s="15"/>
      <c r="BD3" s="15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0"/>
      <c r="T4" s="21" t="str">
        <f>表紙!C9</f>
        <v>システム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tr">
        <f>表紙!C11</f>
        <v>001_ログイン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33"/>
      <c r="AS4" s="34"/>
      <c r="AT4" s="34"/>
      <c r="AU4" s="34"/>
      <c r="AV4" s="34"/>
      <c r="AW4" s="34"/>
      <c r="AX4" s="36"/>
      <c r="AY4" s="33"/>
      <c r="AZ4" s="34"/>
      <c r="BA4" s="34"/>
      <c r="BB4" s="34"/>
      <c r="BC4" s="34"/>
      <c r="BD4" s="34"/>
      <c r="BE4" s="36"/>
    </row>
    <row r="6" ht="18.75" customHeight="1" spans="1:57">
      <c r="A6" s="63" t="s">
        <v>17</v>
      </c>
      <c r="B6" s="63"/>
      <c r="C6" s="64" t="s">
        <v>68</v>
      </c>
      <c r="D6" s="65"/>
      <c r="E6" s="65"/>
      <c r="F6" s="65"/>
      <c r="G6" s="65"/>
      <c r="H6" s="65"/>
      <c r="I6" s="65"/>
      <c r="J6" s="65"/>
      <c r="K6" s="68"/>
      <c r="L6" s="64" t="s">
        <v>69</v>
      </c>
      <c r="M6" s="65"/>
      <c r="N6" s="65"/>
      <c r="O6" s="65"/>
      <c r="P6" s="65"/>
      <c r="Q6" s="65"/>
      <c r="R6" s="65"/>
      <c r="S6" s="68"/>
      <c r="T6" s="72" t="s">
        <v>67</v>
      </c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6"/>
      <c r="AM6" s="72" t="s">
        <v>70</v>
      </c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ht="16.5" customHeight="1" spans="1:57">
      <c r="A7" s="54"/>
      <c r="B7" s="54"/>
      <c r="C7" s="66"/>
      <c r="D7" s="67"/>
      <c r="E7" s="67"/>
      <c r="F7" s="67"/>
      <c r="G7" s="67"/>
      <c r="H7" s="67"/>
      <c r="I7" s="67"/>
      <c r="J7" s="67"/>
      <c r="K7" s="69"/>
      <c r="L7" s="66"/>
      <c r="M7" s="67"/>
      <c r="N7" s="67"/>
      <c r="O7" s="67"/>
      <c r="P7" s="67"/>
      <c r="Q7" s="67"/>
      <c r="R7" s="67"/>
      <c r="S7" s="69"/>
      <c r="T7" s="74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7"/>
      <c r="AM7" s="66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</row>
    <row r="8" spans="1:57">
      <c r="A8" s="54"/>
      <c r="B8" s="54"/>
      <c r="C8" s="66"/>
      <c r="D8" s="67"/>
      <c r="E8" s="67"/>
      <c r="F8" s="67"/>
      <c r="G8" s="67"/>
      <c r="H8" s="67"/>
      <c r="I8" s="67"/>
      <c r="J8" s="67"/>
      <c r="K8" s="69"/>
      <c r="L8" s="66"/>
      <c r="M8" s="67"/>
      <c r="N8" s="67"/>
      <c r="O8" s="67"/>
      <c r="P8" s="67"/>
      <c r="Q8" s="67"/>
      <c r="R8" s="67"/>
      <c r="S8" s="69"/>
      <c r="T8" s="74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7"/>
      <c r="AM8" s="66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</row>
    <row r="9" spans="1:57">
      <c r="A9" s="54"/>
      <c r="B9" s="54"/>
      <c r="C9" s="66"/>
      <c r="D9" s="67"/>
      <c r="E9" s="67"/>
      <c r="F9" s="67"/>
      <c r="G9" s="67"/>
      <c r="H9" s="67"/>
      <c r="I9" s="67"/>
      <c r="J9" s="67"/>
      <c r="K9" s="69"/>
      <c r="L9" s="66"/>
      <c r="M9" s="67"/>
      <c r="N9" s="67"/>
      <c r="O9" s="67"/>
      <c r="P9" s="67"/>
      <c r="Q9" s="67"/>
      <c r="R9" s="67"/>
      <c r="S9" s="69"/>
      <c r="T9" s="74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7"/>
      <c r="AM9" s="66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</row>
    <row r="10" spans="1:57">
      <c r="A10" s="54"/>
      <c r="B10" s="54"/>
      <c r="C10" s="66"/>
      <c r="D10" s="67"/>
      <c r="E10" s="67"/>
      <c r="F10" s="67"/>
      <c r="G10" s="67"/>
      <c r="H10" s="67"/>
      <c r="I10" s="67"/>
      <c r="J10" s="67"/>
      <c r="K10" s="69"/>
      <c r="L10" s="66"/>
      <c r="M10" s="67"/>
      <c r="N10" s="67"/>
      <c r="O10" s="67"/>
      <c r="P10" s="67"/>
      <c r="Q10" s="67"/>
      <c r="R10" s="67"/>
      <c r="S10" s="69"/>
      <c r="T10" s="74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7"/>
      <c r="AM10" s="66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</row>
    <row r="11" spans="1:57">
      <c r="A11" s="54"/>
      <c r="B11" s="54"/>
      <c r="C11" s="66"/>
      <c r="D11" s="67"/>
      <c r="E11" s="67"/>
      <c r="F11" s="67"/>
      <c r="G11" s="67"/>
      <c r="H11" s="67"/>
      <c r="I11" s="67"/>
      <c r="J11" s="67"/>
      <c r="K11" s="69"/>
      <c r="L11" s="66"/>
      <c r="M11" s="67"/>
      <c r="N11" s="67"/>
      <c r="O11" s="67"/>
      <c r="P11" s="67"/>
      <c r="Q11" s="67"/>
      <c r="R11" s="67"/>
      <c r="S11" s="69"/>
      <c r="T11" s="74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7"/>
      <c r="AM11" s="66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</row>
    <row r="12" spans="1:57">
      <c r="A12" s="54"/>
      <c r="B12" s="54"/>
      <c r="C12" s="66"/>
      <c r="D12" s="67"/>
      <c r="E12" s="67"/>
      <c r="F12" s="67"/>
      <c r="G12" s="67"/>
      <c r="H12" s="67"/>
      <c r="I12" s="67"/>
      <c r="J12" s="67"/>
      <c r="K12" s="69"/>
      <c r="L12" s="66"/>
      <c r="M12" s="67"/>
      <c r="N12" s="67"/>
      <c r="O12" s="67"/>
      <c r="P12" s="67"/>
      <c r="Q12" s="67"/>
      <c r="R12" s="67"/>
      <c r="S12" s="69"/>
      <c r="T12" s="74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7"/>
      <c r="AM12" s="66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</row>
    <row r="13" spans="1:57">
      <c r="A13" s="54"/>
      <c r="B13" s="54"/>
      <c r="C13" s="66"/>
      <c r="D13" s="67"/>
      <c r="E13" s="67"/>
      <c r="F13" s="67"/>
      <c r="G13" s="67"/>
      <c r="H13" s="67"/>
      <c r="I13" s="67"/>
      <c r="J13" s="67"/>
      <c r="K13" s="69"/>
      <c r="L13" s="66"/>
      <c r="M13" s="67"/>
      <c r="N13" s="67"/>
      <c r="O13" s="67"/>
      <c r="P13" s="67"/>
      <c r="Q13" s="67"/>
      <c r="R13" s="67"/>
      <c r="S13" s="69"/>
      <c r="T13" s="74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7"/>
      <c r="AM13" s="66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</row>
    <row r="14" spans="1:57">
      <c r="A14" s="54"/>
      <c r="B14" s="54"/>
      <c r="C14" s="66"/>
      <c r="D14" s="67"/>
      <c r="E14" s="67"/>
      <c r="F14" s="67"/>
      <c r="G14" s="67"/>
      <c r="H14" s="67"/>
      <c r="I14" s="67"/>
      <c r="J14" s="67"/>
      <c r="K14" s="69"/>
      <c r="L14" s="66"/>
      <c r="M14" s="67"/>
      <c r="N14" s="67"/>
      <c r="O14" s="67"/>
      <c r="P14" s="67"/>
      <c r="Q14" s="67"/>
      <c r="R14" s="67"/>
      <c r="S14" s="69"/>
      <c r="T14" s="74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7"/>
      <c r="AM14" s="66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</row>
    <row r="15" spans="1:57">
      <c r="A15" s="54"/>
      <c r="B15" s="54"/>
      <c r="C15" s="66"/>
      <c r="D15" s="67"/>
      <c r="E15" s="67"/>
      <c r="F15" s="67"/>
      <c r="G15" s="67"/>
      <c r="H15" s="67"/>
      <c r="I15" s="67"/>
      <c r="J15" s="67"/>
      <c r="K15" s="69"/>
      <c r="L15" s="66"/>
      <c r="M15" s="67"/>
      <c r="N15" s="67"/>
      <c r="O15" s="67"/>
      <c r="P15" s="67"/>
      <c r="Q15" s="67"/>
      <c r="R15" s="67"/>
      <c r="S15" s="69"/>
      <c r="T15" s="74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7"/>
      <c r="AM15" s="66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</row>
    <row r="16" spans="1:57">
      <c r="A16" s="54"/>
      <c r="B16" s="54"/>
      <c r="C16" s="66"/>
      <c r="D16" s="67"/>
      <c r="E16" s="67"/>
      <c r="F16" s="67"/>
      <c r="G16" s="67"/>
      <c r="H16" s="67"/>
      <c r="I16" s="67"/>
      <c r="J16" s="67"/>
      <c r="K16" s="69"/>
      <c r="L16" s="66"/>
      <c r="M16" s="67"/>
      <c r="N16" s="67"/>
      <c r="O16" s="67"/>
      <c r="P16" s="67"/>
      <c r="Q16" s="67"/>
      <c r="R16" s="67"/>
      <c r="S16" s="69"/>
      <c r="T16" s="74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7"/>
      <c r="AM16" s="66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</row>
    <row r="17" spans="1:57">
      <c r="A17" s="54"/>
      <c r="B17" s="54"/>
      <c r="C17" s="66"/>
      <c r="D17" s="67"/>
      <c r="E17" s="67"/>
      <c r="F17" s="67"/>
      <c r="G17" s="67"/>
      <c r="H17" s="67"/>
      <c r="I17" s="67"/>
      <c r="J17" s="67"/>
      <c r="K17" s="69"/>
      <c r="L17" s="66"/>
      <c r="M17" s="67"/>
      <c r="N17" s="67"/>
      <c r="O17" s="67"/>
      <c r="P17" s="67"/>
      <c r="Q17" s="67"/>
      <c r="R17" s="67"/>
      <c r="S17" s="69"/>
      <c r="T17" s="74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7"/>
      <c r="AM17" s="66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</row>
    <row r="18" spans="1:57">
      <c r="A18" s="54"/>
      <c r="B18" s="54"/>
      <c r="C18" s="66"/>
      <c r="D18" s="67"/>
      <c r="E18" s="67"/>
      <c r="F18" s="67"/>
      <c r="G18" s="67"/>
      <c r="H18" s="67"/>
      <c r="I18" s="67"/>
      <c r="J18" s="67"/>
      <c r="K18" s="69"/>
      <c r="L18" s="66"/>
      <c r="M18" s="67"/>
      <c r="N18" s="67"/>
      <c r="O18" s="67"/>
      <c r="P18" s="67"/>
      <c r="Q18" s="67"/>
      <c r="R18" s="67"/>
      <c r="S18" s="69"/>
      <c r="T18" s="74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7"/>
      <c r="AM18" s="66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</row>
    <row r="19" spans="1:57">
      <c r="A19" s="54"/>
      <c r="B19" s="54"/>
      <c r="C19" s="66"/>
      <c r="D19" s="67"/>
      <c r="E19" s="67"/>
      <c r="F19" s="67"/>
      <c r="G19" s="67"/>
      <c r="H19" s="67"/>
      <c r="I19" s="67"/>
      <c r="J19" s="67"/>
      <c r="K19" s="69"/>
      <c r="L19" s="66"/>
      <c r="M19" s="67"/>
      <c r="N19" s="67"/>
      <c r="O19" s="67"/>
      <c r="P19" s="67"/>
      <c r="Q19" s="67"/>
      <c r="R19" s="67"/>
      <c r="S19" s="69"/>
      <c r="T19" s="74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7"/>
      <c r="AM19" s="66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</row>
    <row r="20" spans="1:57">
      <c r="A20" s="54"/>
      <c r="B20" s="54"/>
      <c r="C20" s="66"/>
      <c r="D20" s="67"/>
      <c r="E20" s="67"/>
      <c r="F20" s="67"/>
      <c r="G20" s="67"/>
      <c r="H20" s="67"/>
      <c r="I20" s="67"/>
      <c r="J20" s="67"/>
      <c r="K20" s="69"/>
      <c r="L20" s="66"/>
      <c r="M20" s="67"/>
      <c r="N20" s="67"/>
      <c r="O20" s="67"/>
      <c r="P20" s="67"/>
      <c r="Q20" s="67"/>
      <c r="R20" s="67"/>
      <c r="S20" s="69"/>
      <c r="T20" s="74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7"/>
      <c r="AM20" s="66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</row>
    <row r="21" spans="1:57">
      <c r="A21" s="54"/>
      <c r="B21" s="54"/>
      <c r="C21" s="66"/>
      <c r="D21" s="67"/>
      <c r="E21" s="67"/>
      <c r="F21" s="67"/>
      <c r="G21" s="67"/>
      <c r="H21" s="67"/>
      <c r="I21" s="67"/>
      <c r="J21" s="67"/>
      <c r="K21" s="69"/>
      <c r="L21" s="66"/>
      <c r="M21" s="67"/>
      <c r="N21" s="67"/>
      <c r="O21" s="67"/>
      <c r="P21" s="67"/>
      <c r="Q21" s="67"/>
      <c r="R21" s="67"/>
      <c r="S21" s="69"/>
      <c r="T21" s="74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7"/>
      <c r="AM21" s="66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</row>
    <row r="22" spans="1:57">
      <c r="A22" s="54"/>
      <c r="B22" s="54"/>
      <c r="C22" s="66"/>
      <c r="D22" s="67"/>
      <c r="E22" s="67"/>
      <c r="F22" s="67"/>
      <c r="G22" s="67"/>
      <c r="H22" s="67"/>
      <c r="I22" s="67"/>
      <c r="J22" s="67"/>
      <c r="K22" s="69"/>
      <c r="L22" s="66"/>
      <c r="M22" s="67"/>
      <c r="N22" s="67"/>
      <c r="O22" s="67"/>
      <c r="P22" s="67"/>
      <c r="Q22" s="67"/>
      <c r="R22" s="67"/>
      <c r="S22" s="69"/>
      <c r="T22" s="74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7"/>
      <c r="AM22" s="66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</row>
    <row r="23" spans="1:57">
      <c r="A23" s="54"/>
      <c r="B23" s="54"/>
      <c r="C23" s="66"/>
      <c r="D23" s="67"/>
      <c r="E23" s="67"/>
      <c r="F23" s="67"/>
      <c r="G23" s="67"/>
      <c r="H23" s="67"/>
      <c r="I23" s="67"/>
      <c r="J23" s="67"/>
      <c r="K23" s="69"/>
      <c r="L23" s="66"/>
      <c r="M23" s="67"/>
      <c r="N23" s="67"/>
      <c r="O23" s="67"/>
      <c r="P23" s="67"/>
      <c r="Q23" s="67"/>
      <c r="R23" s="67"/>
      <c r="S23" s="69"/>
      <c r="T23" s="74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7"/>
      <c r="AM23" s="66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</row>
    <row r="24" spans="1:57">
      <c r="A24" s="54"/>
      <c r="B24" s="54"/>
      <c r="C24" s="66"/>
      <c r="D24" s="67"/>
      <c r="E24" s="67"/>
      <c r="F24" s="67"/>
      <c r="G24" s="67"/>
      <c r="H24" s="67"/>
      <c r="I24" s="67"/>
      <c r="J24" s="67"/>
      <c r="K24" s="69"/>
      <c r="L24" s="66"/>
      <c r="M24" s="67"/>
      <c r="N24" s="67"/>
      <c r="O24" s="67"/>
      <c r="P24" s="67"/>
      <c r="Q24" s="67"/>
      <c r="R24" s="67"/>
      <c r="S24" s="69"/>
      <c r="T24" s="74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7"/>
      <c r="AM24" s="66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</row>
    <row r="25" spans="1:57">
      <c r="A25" s="54"/>
      <c r="B25" s="54"/>
      <c r="C25" s="66"/>
      <c r="D25" s="67"/>
      <c r="E25" s="67"/>
      <c r="F25" s="67"/>
      <c r="G25" s="67"/>
      <c r="H25" s="67"/>
      <c r="I25" s="67"/>
      <c r="J25" s="67"/>
      <c r="K25" s="69"/>
      <c r="L25" s="66"/>
      <c r="M25" s="67"/>
      <c r="N25" s="67"/>
      <c r="O25" s="67"/>
      <c r="P25" s="67"/>
      <c r="Q25" s="67"/>
      <c r="R25" s="67"/>
      <c r="S25" s="69"/>
      <c r="T25" s="74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7"/>
      <c r="AM25" s="66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</row>
    <row r="26" spans="1:57">
      <c r="A26" s="54"/>
      <c r="B26" s="54"/>
      <c r="C26" s="66"/>
      <c r="D26" s="67"/>
      <c r="E26" s="67"/>
      <c r="F26" s="67"/>
      <c r="G26" s="67"/>
      <c r="H26" s="67"/>
      <c r="I26" s="67"/>
      <c r="J26" s="67"/>
      <c r="K26" s="69"/>
      <c r="L26" s="66"/>
      <c r="M26" s="67"/>
      <c r="N26" s="67"/>
      <c r="O26" s="67"/>
      <c r="P26" s="67"/>
      <c r="Q26" s="67"/>
      <c r="R26" s="67"/>
      <c r="S26" s="69"/>
      <c r="T26" s="74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7"/>
      <c r="AM26" s="66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</row>
    <row r="27" spans="1:57">
      <c r="A27" s="54"/>
      <c r="B27" s="54"/>
      <c r="C27" s="66"/>
      <c r="D27" s="67"/>
      <c r="E27" s="67"/>
      <c r="F27" s="67"/>
      <c r="G27" s="67"/>
      <c r="H27" s="67"/>
      <c r="I27" s="67"/>
      <c r="J27" s="67"/>
      <c r="K27" s="69"/>
      <c r="L27" s="66"/>
      <c r="M27" s="67"/>
      <c r="N27" s="67"/>
      <c r="O27" s="67"/>
      <c r="P27" s="67"/>
      <c r="Q27" s="67"/>
      <c r="R27" s="67"/>
      <c r="S27" s="69"/>
      <c r="T27" s="74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7"/>
      <c r="AM27" s="66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</row>
    <row r="28" spans="1:57">
      <c r="A28" s="54"/>
      <c r="B28" s="54"/>
      <c r="C28" s="66"/>
      <c r="D28" s="67"/>
      <c r="E28" s="67"/>
      <c r="F28" s="67"/>
      <c r="G28" s="67"/>
      <c r="H28" s="67"/>
      <c r="I28" s="67"/>
      <c r="J28" s="67"/>
      <c r="K28" s="69"/>
      <c r="L28" s="66"/>
      <c r="M28" s="67"/>
      <c r="N28" s="67"/>
      <c r="O28" s="67"/>
      <c r="P28" s="67"/>
      <c r="Q28" s="67"/>
      <c r="R28" s="67"/>
      <c r="S28" s="69"/>
      <c r="T28" s="74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7"/>
      <c r="AM28" s="66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</row>
    <row r="29" spans="1:57">
      <c r="A29" s="54"/>
      <c r="B29" s="54"/>
      <c r="C29" s="66"/>
      <c r="D29" s="67"/>
      <c r="E29" s="67"/>
      <c r="F29" s="67"/>
      <c r="G29" s="67"/>
      <c r="H29" s="67"/>
      <c r="I29" s="67"/>
      <c r="J29" s="67"/>
      <c r="K29" s="69"/>
      <c r="L29" s="66"/>
      <c r="M29" s="67"/>
      <c r="N29" s="67"/>
      <c r="O29" s="67"/>
      <c r="P29" s="67"/>
      <c r="Q29" s="67"/>
      <c r="R29" s="67"/>
      <c r="S29" s="69"/>
      <c r="T29" s="74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7"/>
      <c r="AM29" s="66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</row>
    <row r="30" spans="1:57">
      <c r="A30" s="54"/>
      <c r="B30" s="54"/>
      <c r="C30" s="66"/>
      <c r="D30" s="67"/>
      <c r="E30" s="67"/>
      <c r="F30" s="67"/>
      <c r="G30" s="67"/>
      <c r="H30" s="67"/>
      <c r="I30" s="67"/>
      <c r="J30" s="67"/>
      <c r="K30" s="69"/>
      <c r="L30" s="66"/>
      <c r="M30" s="67"/>
      <c r="N30" s="67"/>
      <c r="O30" s="67"/>
      <c r="P30" s="67"/>
      <c r="Q30" s="67"/>
      <c r="R30" s="67"/>
      <c r="S30" s="69"/>
      <c r="T30" s="74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7"/>
      <c r="AM30" s="66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</row>
    <row r="31" spans="1:57">
      <c r="A31" s="54"/>
      <c r="B31" s="54"/>
      <c r="C31" s="66"/>
      <c r="D31" s="67"/>
      <c r="E31" s="67"/>
      <c r="F31" s="67"/>
      <c r="G31" s="67"/>
      <c r="H31" s="67"/>
      <c r="I31" s="67"/>
      <c r="J31" s="67"/>
      <c r="K31" s="69"/>
      <c r="L31" s="66"/>
      <c r="M31" s="67"/>
      <c r="N31" s="67"/>
      <c r="O31" s="67"/>
      <c r="P31" s="67"/>
      <c r="Q31" s="67"/>
      <c r="R31" s="67"/>
      <c r="S31" s="69"/>
      <c r="T31" s="74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7"/>
      <c r="AM31" s="66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</row>
    <row r="32" spans="1:57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</row>
    <row r="33" spans="1:57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</row>
  </sheetData>
  <sheetProtection formatCells="0" insertHyperlinks="0" autoFilter="0"/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4"/>
      <c r="T1" s="15" t="s">
        <v>8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 t="s">
        <v>9</v>
      </c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 t="s">
        <v>10</v>
      </c>
      <c r="AS1" s="15"/>
      <c r="AT1" s="15"/>
      <c r="AU1" s="15"/>
      <c r="AV1" s="15"/>
      <c r="AW1" s="15"/>
      <c r="AX1" s="15"/>
      <c r="AY1" s="15" t="s">
        <v>11</v>
      </c>
      <c r="AZ1" s="15"/>
      <c r="BA1" s="15"/>
      <c r="BB1" s="15"/>
      <c r="BC1" s="15"/>
      <c r="BD1" s="15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6"/>
      <c r="T2" s="17" t="str">
        <f>表紙!C4</f>
        <v>Biz-X　POTTS</v>
      </c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31"/>
      <c r="AS2" s="32"/>
      <c r="AT2" s="32"/>
      <c r="AU2" s="32"/>
      <c r="AV2" s="32"/>
      <c r="AW2" s="32"/>
      <c r="AX2" s="35"/>
      <c r="AY2" s="31"/>
      <c r="AZ2" s="32"/>
      <c r="BA2" s="32"/>
      <c r="BB2" s="32"/>
      <c r="BC2" s="32"/>
      <c r="BD2" s="32"/>
      <c r="BE2" s="35"/>
    </row>
    <row r="3" ht="11.25" customHeight="1" spans="1:57">
      <c r="A3" s="6" t="s">
        <v>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9"/>
      <c r="T3" s="15" t="s">
        <v>13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 t="s">
        <v>14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 t="s">
        <v>15</v>
      </c>
      <c r="AS3" s="15"/>
      <c r="AT3" s="15"/>
      <c r="AU3" s="15"/>
      <c r="AV3" s="15"/>
      <c r="AW3" s="15"/>
      <c r="AX3" s="15"/>
      <c r="AY3" s="15" t="s">
        <v>16</v>
      </c>
      <c r="AZ3" s="15"/>
      <c r="BA3" s="15"/>
      <c r="BB3" s="15"/>
      <c r="BC3" s="15"/>
      <c r="BD3" s="15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0"/>
      <c r="T4" s="21" t="str">
        <f>表紙!C9</f>
        <v>システム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tr">
        <f>表紙!C11</f>
        <v>001_ログイン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33"/>
      <c r="AS4" s="34"/>
      <c r="AT4" s="34"/>
      <c r="AU4" s="34"/>
      <c r="AV4" s="34"/>
      <c r="AW4" s="34"/>
      <c r="AX4" s="36"/>
      <c r="AY4" s="33"/>
      <c r="AZ4" s="34"/>
      <c r="BA4" s="34"/>
      <c r="BB4" s="34"/>
      <c r="BC4" s="34"/>
      <c r="BD4" s="34"/>
      <c r="BE4" s="36"/>
    </row>
    <row r="6" ht="18.75" customHeight="1" spans="1:57">
      <c r="A6" s="63" t="s">
        <v>17</v>
      </c>
      <c r="B6" s="63"/>
      <c r="C6" s="64" t="s">
        <v>72</v>
      </c>
      <c r="D6" s="65"/>
      <c r="E6" s="65"/>
      <c r="F6" s="65"/>
      <c r="G6" s="65"/>
      <c r="H6" s="65"/>
      <c r="I6" s="65"/>
      <c r="J6" s="65"/>
      <c r="K6" s="68"/>
      <c r="L6" s="53" t="s">
        <v>68</v>
      </c>
      <c r="M6" s="53"/>
      <c r="N6" s="53"/>
      <c r="O6" s="53"/>
      <c r="P6" s="53"/>
      <c r="Q6" s="53"/>
      <c r="R6" s="53"/>
      <c r="S6" s="53"/>
      <c r="T6" s="53"/>
      <c r="U6" s="53"/>
      <c r="V6" s="53"/>
      <c r="W6" s="70" t="s">
        <v>73</v>
      </c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 t="s">
        <v>74</v>
      </c>
      <c r="AW6" s="70"/>
      <c r="AX6" s="70"/>
      <c r="AY6" s="70"/>
      <c r="AZ6" s="70"/>
      <c r="BA6" s="70"/>
      <c r="BB6" s="70"/>
      <c r="BC6" s="70"/>
      <c r="BD6" s="70"/>
      <c r="BE6" s="70"/>
    </row>
    <row r="7" ht="16.5" customHeight="1" spans="1:57">
      <c r="A7" s="54"/>
      <c r="B7" s="54"/>
      <c r="C7" s="66"/>
      <c r="D7" s="67"/>
      <c r="E7" s="67"/>
      <c r="F7" s="67"/>
      <c r="G7" s="67"/>
      <c r="H7" s="67"/>
      <c r="I7" s="67"/>
      <c r="J7" s="67"/>
      <c r="K7" s="69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55"/>
      <c r="AW7" s="55"/>
      <c r="AX7" s="55"/>
      <c r="AY7" s="55"/>
      <c r="AZ7" s="55"/>
      <c r="BA7" s="55"/>
      <c r="BB7" s="55"/>
      <c r="BC7" s="55"/>
      <c r="BD7" s="55"/>
      <c r="BE7" s="55"/>
    </row>
    <row r="8" spans="1:57">
      <c r="A8" s="54"/>
      <c r="B8" s="54"/>
      <c r="C8" s="66"/>
      <c r="D8" s="67"/>
      <c r="E8" s="67"/>
      <c r="F8" s="67"/>
      <c r="G8" s="67"/>
      <c r="H8" s="67"/>
      <c r="I8" s="67"/>
      <c r="J8" s="67"/>
      <c r="K8" s="69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55"/>
      <c r="AW8" s="55"/>
      <c r="AX8" s="55"/>
      <c r="AY8" s="55"/>
      <c r="AZ8" s="55"/>
      <c r="BA8" s="55"/>
      <c r="BB8" s="55"/>
      <c r="BC8" s="55"/>
      <c r="BD8" s="55"/>
      <c r="BE8" s="55"/>
    </row>
    <row r="9" spans="1:57">
      <c r="A9" s="54"/>
      <c r="B9" s="54"/>
      <c r="C9" s="66"/>
      <c r="D9" s="67"/>
      <c r="E9" s="67"/>
      <c r="F9" s="67"/>
      <c r="G9" s="67"/>
      <c r="H9" s="67"/>
      <c r="I9" s="67"/>
      <c r="J9" s="67"/>
      <c r="K9" s="69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55"/>
      <c r="AW9" s="55"/>
      <c r="AX9" s="55"/>
      <c r="AY9" s="55"/>
      <c r="AZ9" s="55"/>
      <c r="BA9" s="55"/>
      <c r="BB9" s="55"/>
      <c r="BC9" s="55"/>
      <c r="BD9" s="55"/>
      <c r="BE9" s="55"/>
    </row>
    <row r="10" spans="1:57">
      <c r="A10" s="54"/>
      <c r="B10" s="54"/>
      <c r="C10" s="66"/>
      <c r="D10" s="67"/>
      <c r="E10" s="67"/>
      <c r="F10" s="67"/>
      <c r="G10" s="67"/>
      <c r="H10" s="67"/>
      <c r="I10" s="67"/>
      <c r="J10" s="67"/>
      <c r="K10" s="69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55"/>
      <c r="AW10" s="55"/>
      <c r="AX10" s="55"/>
      <c r="AY10" s="55"/>
      <c r="AZ10" s="55"/>
      <c r="BA10" s="55"/>
      <c r="BB10" s="55"/>
      <c r="BC10" s="55"/>
      <c r="BD10" s="55"/>
      <c r="BE10" s="55"/>
    </row>
    <row r="11" spans="1:57">
      <c r="A11" s="54"/>
      <c r="B11" s="54"/>
      <c r="C11" s="66"/>
      <c r="D11" s="67"/>
      <c r="E11" s="67"/>
      <c r="F11" s="67"/>
      <c r="G11" s="67"/>
      <c r="H11" s="67"/>
      <c r="I11" s="67"/>
      <c r="J11" s="67"/>
      <c r="K11" s="69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55"/>
      <c r="AW11" s="55"/>
      <c r="AX11" s="55"/>
      <c r="AY11" s="55"/>
      <c r="AZ11" s="55"/>
      <c r="BA11" s="55"/>
      <c r="BB11" s="55"/>
      <c r="BC11" s="55"/>
      <c r="BD11" s="55"/>
      <c r="BE11" s="55"/>
    </row>
    <row r="12" spans="1:57">
      <c r="A12" s="54"/>
      <c r="B12" s="54"/>
      <c r="C12" s="66"/>
      <c r="D12" s="67"/>
      <c r="E12" s="67"/>
      <c r="F12" s="67"/>
      <c r="G12" s="67"/>
      <c r="H12" s="67"/>
      <c r="I12" s="67"/>
      <c r="J12" s="67"/>
      <c r="K12" s="69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55"/>
      <c r="AW12" s="55"/>
      <c r="AX12" s="55"/>
      <c r="AY12" s="55"/>
      <c r="AZ12" s="55"/>
      <c r="BA12" s="55"/>
      <c r="BB12" s="55"/>
      <c r="BC12" s="55"/>
      <c r="BD12" s="55"/>
      <c r="BE12" s="55"/>
    </row>
    <row r="13" spans="1:57">
      <c r="A13" s="54"/>
      <c r="B13" s="54"/>
      <c r="C13" s="66"/>
      <c r="D13" s="67"/>
      <c r="E13" s="67"/>
      <c r="F13" s="67"/>
      <c r="G13" s="67"/>
      <c r="H13" s="67"/>
      <c r="I13" s="67"/>
      <c r="J13" s="67"/>
      <c r="K13" s="69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55"/>
      <c r="AW13" s="55"/>
      <c r="AX13" s="55"/>
      <c r="AY13" s="55"/>
      <c r="AZ13" s="55"/>
      <c r="BA13" s="55"/>
      <c r="BB13" s="55"/>
      <c r="BC13" s="55"/>
      <c r="BD13" s="55"/>
      <c r="BE13" s="55"/>
    </row>
    <row r="14" spans="1:57">
      <c r="A14" s="54"/>
      <c r="B14" s="54"/>
      <c r="C14" s="66"/>
      <c r="D14" s="67"/>
      <c r="E14" s="67"/>
      <c r="F14" s="67"/>
      <c r="G14" s="67"/>
      <c r="H14" s="67"/>
      <c r="I14" s="67"/>
      <c r="J14" s="67"/>
      <c r="K14" s="69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55"/>
      <c r="AW14" s="55"/>
      <c r="AX14" s="55"/>
      <c r="AY14" s="55"/>
      <c r="AZ14" s="55"/>
      <c r="BA14" s="55"/>
      <c r="BB14" s="55"/>
      <c r="BC14" s="55"/>
      <c r="BD14" s="55"/>
      <c r="BE14" s="55"/>
    </row>
    <row r="15" spans="1:57">
      <c r="A15" s="54"/>
      <c r="B15" s="54"/>
      <c r="C15" s="66"/>
      <c r="D15" s="67"/>
      <c r="E15" s="67"/>
      <c r="F15" s="67"/>
      <c r="G15" s="67"/>
      <c r="H15" s="67"/>
      <c r="I15" s="67"/>
      <c r="J15" s="67"/>
      <c r="K15" s="69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55"/>
      <c r="AW15" s="55"/>
      <c r="AX15" s="55"/>
      <c r="AY15" s="55"/>
      <c r="AZ15" s="55"/>
      <c r="BA15" s="55"/>
      <c r="BB15" s="55"/>
      <c r="BC15" s="55"/>
      <c r="BD15" s="55"/>
      <c r="BE15" s="55"/>
    </row>
    <row r="16" spans="1:57">
      <c r="A16" s="54"/>
      <c r="B16" s="54"/>
      <c r="C16" s="66"/>
      <c r="D16" s="67"/>
      <c r="E16" s="67"/>
      <c r="F16" s="67"/>
      <c r="G16" s="67"/>
      <c r="H16" s="67"/>
      <c r="I16" s="67"/>
      <c r="J16" s="67"/>
      <c r="K16" s="69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55"/>
      <c r="AW16" s="55"/>
      <c r="AX16" s="55"/>
      <c r="AY16" s="55"/>
      <c r="AZ16" s="55"/>
      <c r="BA16" s="55"/>
      <c r="BB16" s="55"/>
      <c r="BC16" s="55"/>
      <c r="BD16" s="55"/>
      <c r="BE16" s="55"/>
    </row>
    <row r="17" spans="1:57">
      <c r="A17" s="54"/>
      <c r="B17" s="54"/>
      <c r="C17" s="66"/>
      <c r="D17" s="67"/>
      <c r="E17" s="67"/>
      <c r="F17" s="67"/>
      <c r="G17" s="67"/>
      <c r="H17" s="67"/>
      <c r="I17" s="67"/>
      <c r="J17" s="67"/>
      <c r="K17" s="69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55"/>
      <c r="AW17" s="55"/>
      <c r="AX17" s="55"/>
      <c r="AY17" s="55"/>
      <c r="AZ17" s="55"/>
      <c r="BA17" s="55"/>
      <c r="BB17" s="55"/>
      <c r="BC17" s="55"/>
      <c r="BD17" s="55"/>
      <c r="BE17" s="55"/>
    </row>
    <row r="18" spans="1:57">
      <c r="A18" s="54"/>
      <c r="B18" s="54"/>
      <c r="C18" s="66"/>
      <c r="D18" s="67"/>
      <c r="E18" s="67"/>
      <c r="F18" s="67"/>
      <c r="G18" s="67"/>
      <c r="H18" s="67"/>
      <c r="I18" s="67"/>
      <c r="J18" s="67"/>
      <c r="K18" s="69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55"/>
      <c r="AW18" s="55"/>
      <c r="AX18" s="55"/>
      <c r="AY18" s="55"/>
      <c r="AZ18" s="55"/>
      <c r="BA18" s="55"/>
      <c r="BB18" s="55"/>
      <c r="BC18" s="55"/>
      <c r="BD18" s="55"/>
      <c r="BE18" s="55"/>
    </row>
    <row r="19" spans="1:57">
      <c r="A19" s="54"/>
      <c r="B19" s="54"/>
      <c r="C19" s="66"/>
      <c r="D19" s="67"/>
      <c r="E19" s="67"/>
      <c r="F19" s="67"/>
      <c r="G19" s="67"/>
      <c r="H19" s="67"/>
      <c r="I19" s="67"/>
      <c r="J19" s="67"/>
      <c r="K19" s="69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55"/>
      <c r="AW19" s="55"/>
      <c r="AX19" s="55"/>
      <c r="AY19" s="55"/>
      <c r="AZ19" s="55"/>
      <c r="BA19" s="55"/>
      <c r="BB19" s="55"/>
      <c r="BC19" s="55"/>
      <c r="BD19" s="55"/>
      <c r="BE19" s="55"/>
    </row>
    <row r="20" spans="1:57">
      <c r="A20" s="54"/>
      <c r="B20" s="54"/>
      <c r="C20" s="66"/>
      <c r="D20" s="67"/>
      <c r="E20" s="67"/>
      <c r="F20" s="67"/>
      <c r="G20" s="67"/>
      <c r="H20" s="67"/>
      <c r="I20" s="67"/>
      <c r="J20" s="67"/>
      <c r="K20" s="69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55"/>
      <c r="AW20" s="55"/>
      <c r="AX20" s="55"/>
      <c r="AY20" s="55"/>
      <c r="AZ20" s="55"/>
      <c r="BA20" s="55"/>
      <c r="BB20" s="55"/>
      <c r="BC20" s="55"/>
      <c r="BD20" s="55"/>
      <c r="BE20" s="55"/>
    </row>
    <row r="21" spans="1:57">
      <c r="A21" s="54"/>
      <c r="B21" s="54"/>
      <c r="C21" s="66"/>
      <c r="D21" s="67"/>
      <c r="E21" s="67"/>
      <c r="F21" s="67"/>
      <c r="G21" s="67"/>
      <c r="H21" s="67"/>
      <c r="I21" s="67"/>
      <c r="J21" s="67"/>
      <c r="K21" s="69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55"/>
      <c r="AW21" s="55"/>
      <c r="AX21" s="55"/>
      <c r="AY21" s="55"/>
      <c r="AZ21" s="55"/>
      <c r="BA21" s="55"/>
      <c r="BB21" s="55"/>
      <c r="BC21" s="55"/>
      <c r="BD21" s="55"/>
      <c r="BE21" s="55"/>
    </row>
    <row r="22" spans="1:57">
      <c r="A22" s="54"/>
      <c r="B22" s="54"/>
      <c r="C22" s="66"/>
      <c r="D22" s="67"/>
      <c r="E22" s="67"/>
      <c r="F22" s="67"/>
      <c r="G22" s="67"/>
      <c r="H22" s="67"/>
      <c r="I22" s="67"/>
      <c r="J22" s="67"/>
      <c r="K22" s="69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55"/>
      <c r="AW22" s="55"/>
      <c r="AX22" s="55"/>
      <c r="AY22" s="55"/>
      <c r="AZ22" s="55"/>
      <c r="BA22" s="55"/>
      <c r="BB22" s="55"/>
      <c r="BC22" s="55"/>
      <c r="BD22" s="55"/>
      <c r="BE22" s="55"/>
    </row>
    <row r="23" spans="1:57">
      <c r="A23" s="54"/>
      <c r="B23" s="54"/>
      <c r="C23" s="66"/>
      <c r="D23" s="67"/>
      <c r="E23" s="67"/>
      <c r="F23" s="67"/>
      <c r="G23" s="67"/>
      <c r="H23" s="67"/>
      <c r="I23" s="67"/>
      <c r="J23" s="67"/>
      <c r="K23" s="69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55"/>
      <c r="AW23" s="55"/>
      <c r="AX23" s="55"/>
      <c r="AY23" s="55"/>
      <c r="AZ23" s="55"/>
      <c r="BA23" s="55"/>
      <c r="BB23" s="55"/>
      <c r="BC23" s="55"/>
      <c r="BD23" s="55"/>
      <c r="BE23" s="55"/>
    </row>
    <row r="24" spans="1:57">
      <c r="A24" s="54"/>
      <c r="B24" s="54"/>
      <c r="C24" s="66"/>
      <c r="D24" s="67"/>
      <c r="E24" s="67"/>
      <c r="F24" s="67"/>
      <c r="G24" s="67"/>
      <c r="H24" s="67"/>
      <c r="I24" s="67"/>
      <c r="J24" s="67"/>
      <c r="K24" s="69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55"/>
      <c r="AW24" s="55"/>
      <c r="AX24" s="55"/>
      <c r="AY24" s="55"/>
      <c r="AZ24" s="55"/>
      <c r="BA24" s="55"/>
      <c r="BB24" s="55"/>
      <c r="BC24" s="55"/>
      <c r="BD24" s="55"/>
      <c r="BE24" s="55"/>
    </row>
    <row r="25" spans="1:57">
      <c r="A25" s="54"/>
      <c r="B25" s="54"/>
      <c r="C25" s="66"/>
      <c r="D25" s="67"/>
      <c r="E25" s="67"/>
      <c r="F25" s="67"/>
      <c r="G25" s="67"/>
      <c r="H25" s="67"/>
      <c r="I25" s="67"/>
      <c r="J25" s="67"/>
      <c r="K25" s="69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55"/>
      <c r="AW25" s="55"/>
      <c r="AX25" s="55"/>
      <c r="AY25" s="55"/>
      <c r="AZ25" s="55"/>
      <c r="BA25" s="55"/>
      <c r="BB25" s="55"/>
      <c r="BC25" s="55"/>
      <c r="BD25" s="55"/>
      <c r="BE25" s="55"/>
    </row>
    <row r="26" spans="1:57">
      <c r="A26" s="54"/>
      <c r="B26" s="54"/>
      <c r="C26" s="66"/>
      <c r="D26" s="67"/>
      <c r="E26" s="67"/>
      <c r="F26" s="67"/>
      <c r="G26" s="67"/>
      <c r="H26" s="67"/>
      <c r="I26" s="67"/>
      <c r="J26" s="67"/>
      <c r="K26" s="69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55"/>
      <c r="AW26" s="55"/>
      <c r="AX26" s="55"/>
      <c r="AY26" s="55"/>
      <c r="AZ26" s="55"/>
      <c r="BA26" s="55"/>
      <c r="BB26" s="55"/>
      <c r="BC26" s="55"/>
      <c r="BD26" s="55"/>
      <c r="BE26" s="55"/>
    </row>
    <row r="27" spans="1:57">
      <c r="A27" s="54"/>
      <c r="B27" s="54"/>
      <c r="C27" s="66"/>
      <c r="D27" s="67"/>
      <c r="E27" s="67"/>
      <c r="F27" s="67"/>
      <c r="G27" s="67"/>
      <c r="H27" s="67"/>
      <c r="I27" s="67"/>
      <c r="J27" s="67"/>
      <c r="K27" s="69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55"/>
      <c r="AW27" s="55"/>
      <c r="AX27" s="55"/>
      <c r="AY27" s="55"/>
      <c r="AZ27" s="55"/>
      <c r="BA27" s="55"/>
      <c r="BB27" s="55"/>
      <c r="BC27" s="55"/>
      <c r="BD27" s="55"/>
      <c r="BE27" s="55"/>
    </row>
    <row r="28" spans="1:57">
      <c r="A28" s="54"/>
      <c r="B28" s="54"/>
      <c r="C28" s="66"/>
      <c r="D28" s="67"/>
      <c r="E28" s="67"/>
      <c r="F28" s="67"/>
      <c r="G28" s="67"/>
      <c r="H28" s="67"/>
      <c r="I28" s="67"/>
      <c r="J28" s="67"/>
      <c r="K28" s="69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55"/>
      <c r="AW28" s="55"/>
      <c r="AX28" s="55"/>
      <c r="AY28" s="55"/>
      <c r="AZ28" s="55"/>
      <c r="BA28" s="55"/>
      <c r="BB28" s="55"/>
      <c r="BC28" s="55"/>
      <c r="BD28" s="55"/>
      <c r="BE28" s="55"/>
    </row>
    <row r="29" spans="1:57">
      <c r="A29" s="54"/>
      <c r="B29" s="54"/>
      <c r="C29" s="66"/>
      <c r="D29" s="67"/>
      <c r="E29" s="67"/>
      <c r="F29" s="67"/>
      <c r="G29" s="67"/>
      <c r="H29" s="67"/>
      <c r="I29" s="67"/>
      <c r="J29" s="67"/>
      <c r="K29" s="69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55"/>
      <c r="AW29" s="55"/>
      <c r="AX29" s="55"/>
      <c r="AY29" s="55"/>
      <c r="AZ29" s="55"/>
      <c r="BA29" s="55"/>
      <c r="BB29" s="55"/>
      <c r="BC29" s="55"/>
      <c r="BD29" s="55"/>
      <c r="BE29" s="55"/>
    </row>
    <row r="30" spans="1:57">
      <c r="A30" s="54"/>
      <c r="B30" s="54"/>
      <c r="C30" s="66"/>
      <c r="D30" s="67"/>
      <c r="E30" s="67"/>
      <c r="F30" s="67"/>
      <c r="G30" s="67"/>
      <c r="H30" s="67"/>
      <c r="I30" s="67"/>
      <c r="J30" s="67"/>
      <c r="K30" s="69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55"/>
      <c r="AW30" s="55"/>
      <c r="AX30" s="55"/>
      <c r="AY30" s="55"/>
      <c r="AZ30" s="55"/>
      <c r="BA30" s="55"/>
      <c r="BB30" s="55"/>
      <c r="BC30" s="55"/>
      <c r="BD30" s="55"/>
      <c r="BE30" s="55"/>
    </row>
    <row r="31" spans="1:57">
      <c r="A31" s="54"/>
      <c r="B31" s="54"/>
      <c r="C31" s="66"/>
      <c r="D31" s="67"/>
      <c r="E31" s="67"/>
      <c r="F31" s="67"/>
      <c r="G31" s="67"/>
      <c r="H31" s="67"/>
      <c r="I31" s="67"/>
      <c r="J31" s="67"/>
      <c r="K31" s="69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55"/>
      <c r="AW31" s="55"/>
      <c r="AX31" s="55"/>
      <c r="AY31" s="55"/>
      <c r="AZ31" s="55"/>
      <c r="BA31" s="55"/>
      <c r="BB31" s="55"/>
      <c r="BC31" s="55"/>
      <c r="BD31" s="55"/>
      <c r="BE31" s="55"/>
    </row>
    <row r="32" spans="1:57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</row>
    <row r="33" spans="1:57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</row>
  </sheetData>
  <sheetProtection formatCells="0" insertHyperlinks="0" autoFilter="0"/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4"/>
      <c r="T1" s="15" t="s">
        <v>8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 t="s">
        <v>9</v>
      </c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 t="s">
        <v>10</v>
      </c>
      <c r="AS1" s="15"/>
      <c r="AT1" s="15"/>
      <c r="AU1" s="15"/>
      <c r="AV1" s="15"/>
      <c r="AW1" s="15"/>
      <c r="AX1" s="15"/>
      <c r="AY1" s="15" t="s">
        <v>11</v>
      </c>
      <c r="AZ1" s="15"/>
      <c r="BA1" s="15"/>
      <c r="BB1" s="15"/>
      <c r="BC1" s="15"/>
      <c r="BD1" s="15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6"/>
      <c r="T2" s="17" t="str">
        <f>表紙!C4</f>
        <v>Biz-X　POTTS</v>
      </c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31"/>
      <c r="AS2" s="32"/>
      <c r="AT2" s="32"/>
      <c r="AU2" s="32"/>
      <c r="AV2" s="32"/>
      <c r="AW2" s="32"/>
      <c r="AX2" s="35"/>
      <c r="AY2" s="31"/>
      <c r="AZ2" s="32"/>
      <c r="BA2" s="32"/>
      <c r="BB2" s="32"/>
      <c r="BC2" s="32"/>
      <c r="BD2" s="32"/>
      <c r="BE2" s="35"/>
    </row>
    <row r="3" ht="11.25" customHeight="1" spans="1:57">
      <c r="A3" s="6" t="s">
        <v>75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9"/>
      <c r="T3" s="15" t="s">
        <v>13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 t="s">
        <v>14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 t="s">
        <v>15</v>
      </c>
      <c r="AS3" s="15"/>
      <c r="AT3" s="15"/>
      <c r="AU3" s="15"/>
      <c r="AV3" s="15"/>
      <c r="AW3" s="15"/>
      <c r="AX3" s="15"/>
      <c r="AY3" s="15" t="s">
        <v>16</v>
      </c>
      <c r="AZ3" s="15"/>
      <c r="BA3" s="15"/>
      <c r="BB3" s="15"/>
      <c r="BC3" s="15"/>
      <c r="BD3" s="15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0"/>
      <c r="T4" s="21" t="str">
        <f>表紙!C9</f>
        <v>システム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tr">
        <f>表紙!C11</f>
        <v>001_ログイン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33"/>
      <c r="AS4" s="34"/>
      <c r="AT4" s="34"/>
      <c r="AU4" s="34"/>
      <c r="AV4" s="34"/>
      <c r="AW4" s="34"/>
      <c r="AX4" s="36"/>
      <c r="AY4" s="33"/>
      <c r="AZ4" s="34"/>
      <c r="BA4" s="34"/>
      <c r="BB4" s="34"/>
      <c r="BC4" s="34"/>
      <c r="BD4" s="34"/>
      <c r="BE4" s="36"/>
    </row>
    <row r="6" spans="1:57">
      <c r="A6" s="11" t="s">
        <v>76</v>
      </c>
      <c r="B6" s="11"/>
      <c r="C6" s="11"/>
      <c r="D6" s="11"/>
      <c r="E6" s="11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11" t="s">
        <v>77</v>
      </c>
      <c r="S6" s="11"/>
      <c r="T6" s="11"/>
      <c r="U6" s="11"/>
      <c r="V6" s="11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11" t="s">
        <v>78</v>
      </c>
      <c r="AJ6" s="11"/>
      <c r="AK6" s="11"/>
      <c r="AL6" s="11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</row>
    <row r="7" ht="18.75" customHeight="1" spans="1:57">
      <c r="A7" s="53" t="s">
        <v>17</v>
      </c>
      <c r="B7" s="53"/>
      <c r="C7" s="53" t="s">
        <v>35</v>
      </c>
      <c r="D7" s="53"/>
      <c r="E7" s="53"/>
      <c r="F7" s="53"/>
      <c r="G7" s="53"/>
      <c r="H7" s="53"/>
      <c r="I7" s="53"/>
      <c r="J7" s="53"/>
      <c r="K7" s="53"/>
      <c r="L7" s="53" t="s">
        <v>25</v>
      </c>
      <c r="M7" s="53"/>
      <c r="N7" s="53"/>
      <c r="O7" s="53"/>
      <c r="P7" s="53"/>
      <c r="Q7" s="53"/>
      <c r="R7" s="53"/>
      <c r="S7" s="53"/>
      <c r="T7" s="57" t="s">
        <v>79</v>
      </c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61"/>
      <c r="AM7" s="57" t="s">
        <v>80</v>
      </c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ht="16.5" customHeight="1" spans="1:57">
      <c r="A8" s="54"/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9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2"/>
      <c r="AM8" s="59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2"/>
    </row>
    <row r="9" spans="1:57">
      <c r="A9" s="54"/>
      <c r="B9" s="54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9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2"/>
      <c r="AM9" s="59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2"/>
    </row>
    <row r="10" spans="1:57">
      <c r="A10" s="54"/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9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2"/>
      <c r="AM10" s="59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2"/>
    </row>
    <row r="11" spans="1:57">
      <c r="A11" s="54"/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9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2"/>
      <c r="AM11" s="59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2"/>
    </row>
    <row r="12" spans="1:57">
      <c r="A12" s="54"/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9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2"/>
      <c r="AM12" s="59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2"/>
    </row>
    <row r="13" spans="1:57">
      <c r="A13" s="54"/>
      <c r="B13" s="54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9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2"/>
      <c r="AM13" s="59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2"/>
    </row>
    <row r="14" spans="1:57">
      <c r="A14" s="54"/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9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2"/>
      <c r="AM14" s="59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2"/>
    </row>
    <row r="15" spans="1:57">
      <c r="A15" s="54"/>
      <c r="B15" s="54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9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2"/>
      <c r="AM15" s="59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2"/>
    </row>
    <row r="16" spans="1:57">
      <c r="A16" s="54"/>
      <c r="B16" s="54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9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2"/>
      <c r="AM16" s="59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2"/>
    </row>
    <row r="17" spans="1:57">
      <c r="A17" s="54"/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9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2"/>
      <c r="AM17" s="59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2"/>
    </row>
    <row r="18" spans="1:57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9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2"/>
      <c r="AM18" s="59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2"/>
    </row>
    <row r="19" spans="1:57">
      <c r="A19" s="54"/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9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2"/>
      <c r="AM19" s="59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2"/>
    </row>
    <row r="20" spans="1:57">
      <c r="A20" s="54"/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9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2"/>
      <c r="AM20" s="59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2"/>
    </row>
    <row r="21" spans="1:57">
      <c r="A21" s="54"/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9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2"/>
      <c r="AM21" s="59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2"/>
    </row>
    <row r="22" spans="1:57">
      <c r="A22" s="54"/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9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2"/>
      <c r="AM22" s="59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2"/>
    </row>
    <row r="23" spans="1:57">
      <c r="A23" s="54"/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9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2"/>
      <c r="AM23" s="59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2"/>
    </row>
    <row r="24" spans="1:57">
      <c r="A24" s="54"/>
      <c r="B24" s="54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9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2"/>
      <c r="AM24" s="59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2"/>
    </row>
    <row r="25" spans="1:57">
      <c r="A25" s="54"/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9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2"/>
      <c r="AM25" s="59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2"/>
    </row>
    <row r="26" spans="1:57">
      <c r="A26" s="54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9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2"/>
      <c r="AM26" s="59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2"/>
    </row>
    <row r="27" spans="1:57">
      <c r="A27" s="54"/>
      <c r="B27" s="54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9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2"/>
      <c r="AM27" s="59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2"/>
    </row>
    <row r="28" spans="1:57">
      <c r="A28" s="54"/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9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2"/>
      <c r="AM28" s="59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2"/>
    </row>
    <row r="29" spans="1:57">
      <c r="A29" s="54"/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9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2"/>
      <c r="AM29" s="59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2"/>
    </row>
    <row r="30" spans="1:89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</row>
    <row r="31" spans="1:89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</row>
    <row r="32" spans="1:86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</row>
    <row r="33" spans="1:86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</row>
    <row r="34" spans="1:86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</row>
  </sheetData>
  <sheetProtection formatCells="0" insertHyperlinks="0" autoFilter="0"/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77"/>
  <sheetViews>
    <sheetView tabSelected="1" view="pageBreakPreview" zoomScaleNormal="100" topLeftCell="A250" workbookViewId="0">
      <selection activeCell="A267" sqref="A267"/>
    </sheetView>
  </sheetViews>
  <sheetFormatPr defaultColWidth="2.12962962962963" defaultRowHeight="13.2"/>
  <cols>
    <col min="1" max="18" width="2.12962962962963" style="1"/>
    <col min="19" max="19" width="2.5" style="1" customWidth="1"/>
    <col min="20" max="21" width="2.12962962962963" style="1"/>
    <col min="22" max="23" width="2.87962962962963" style="1" customWidth="1"/>
    <col min="24" max="24" width="2.12962962962963" style="1"/>
    <col min="25" max="25" width="2.12962962962963" style="1" customWidth="1"/>
    <col min="26" max="27" width="2.12962962962963" style="1"/>
    <col min="28" max="28" width="5.87962962962963" style="1" customWidth="1"/>
    <col min="29" max="30" width="2.12962962962963" style="1"/>
    <col min="31" max="31" width="9.87962962962963" style="1" customWidth="1"/>
    <col min="32" max="33" width="2.12962962962963" style="1"/>
    <col min="34" max="34" width="12.5" style="1" customWidth="1"/>
    <col min="35" max="35" width="13.3796296296296" style="1" customWidth="1"/>
    <col min="36" max="36" width="7.25" style="1" customWidth="1"/>
    <col min="37" max="39" width="2.12962962962963" style="1"/>
    <col min="40" max="40" width="2.66666666666667" style="1"/>
    <col min="4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4"/>
      <c r="T1" s="15" t="s">
        <v>8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 t="s">
        <v>9</v>
      </c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 t="s">
        <v>10</v>
      </c>
      <c r="AS1" s="15"/>
      <c r="AT1" s="15"/>
      <c r="AU1" s="15"/>
      <c r="AV1" s="15"/>
      <c r="AW1" s="15"/>
      <c r="AX1" s="15"/>
      <c r="AY1" s="15" t="s">
        <v>11</v>
      </c>
      <c r="AZ1" s="15"/>
      <c r="BA1" s="15"/>
      <c r="BB1" s="15"/>
      <c r="BC1" s="15"/>
      <c r="BD1" s="15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6"/>
      <c r="T2" s="17" t="str">
        <f>表紙!C4</f>
        <v>Biz-X　POTTS</v>
      </c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31"/>
      <c r="AS2" s="32"/>
      <c r="AT2" s="32"/>
      <c r="AU2" s="32"/>
      <c r="AV2" s="32"/>
      <c r="AW2" s="32"/>
      <c r="AX2" s="35"/>
      <c r="AY2" s="31"/>
      <c r="AZ2" s="32"/>
      <c r="BA2" s="32"/>
      <c r="BB2" s="32"/>
      <c r="BC2" s="32"/>
      <c r="BD2" s="32"/>
      <c r="BE2" s="3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9"/>
      <c r="T3" s="15" t="s">
        <v>13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 t="s">
        <v>14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 t="s">
        <v>15</v>
      </c>
      <c r="AS3" s="15"/>
      <c r="AT3" s="15"/>
      <c r="AU3" s="15"/>
      <c r="AV3" s="15"/>
      <c r="AW3" s="15"/>
      <c r="AX3" s="15"/>
      <c r="AY3" s="15" t="s">
        <v>16</v>
      </c>
      <c r="AZ3" s="15"/>
      <c r="BA3" s="15"/>
      <c r="BB3" s="15"/>
      <c r="BC3" s="15"/>
      <c r="BD3" s="15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0"/>
      <c r="T4" s="21" t="str">
        <f>表紙!C9</f>
        <v>システム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 t="str">
        <f>表紙!C11</f>
        <v>001_ログイン</v>
      </c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33"/>
      <c r="AS4" s="34"/>
      <c r="AT4" s="34"/>
      <c r="AU4" s="34"/>
      <c r="AV4" s="34"/>
      <c r="AW4" s="34"/>
      <c r="AX4" s="36"/>
      <c r="AY4" s="33"/>
      <c r="AZ4" s="34"/>
      <c r="BA4" s="34"/>
      <c r="BB4" s="34"/>
      <c r="BC4" s="34"/>
      <c r="BD4" s="34"/>
      <c r="BE4" s="36"/>
    </row>
    <row r="5" spans="1:57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</row>
    <row r="6" spans="1:57">
      <c r="A6" s="10"/>
      <c r="B6" s="11" t="s">
        <v>31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0"/>
    </row>
    <row r="7" spans="1:5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7">
      <c r="A8" s="10"/>
      <c r="C8" s="10" t="s">
        <v>81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</row>
    <row r="9" spans="1:57">
      <c r="A9" s="10"/>
      <c r="B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</row>
    <row r="10" ht="15" spans="1:57">
      <c r="A10" s="10"/>
      <c r="B10" s="10"/>
      <c r="C10" s="10"/>
      <c r="D10" s="12" t="s">
        <v>82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</row>
    <row r="11" spans="1:57">
      <c r="A11" s="10"/>
      <c r="B11" s="10"/>
      <c r="C11" s="10"/>
      <c r="D11" s="10"/>
      <c r="E11" s="10"/>
      <c r="F11" s="10" t="s">
        <v>83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24" t="s">
        <v>84</v>
      </c>
      <c r="AA11" s="24"/>
      <c r="AB11" s="24"/>
      <c r="AC11" s="24" t="s">
        <v>85</v>
      </c>
      <c r="AD11" s="24"/>
      <c r="AE11" s="24"/>
      <c r="AF11" s="24" t="s">
        <v>86</v>
      </c>
      <c r="AG11" s="24"/>
      <c r="AH11" s="24"/>
      <c r="AI11" s="24" t="s">
        <v>87</v>
      </c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</row>
    <row r="12" ht="15" spans="1:57">
      <c r="A12" s="10"/>
      <c r="B12" s="10"/>
      <c r="C12" s="10"/>
      <c r="D12" s="10"/>
      <c r="E12" s="10"/>
      <c r="F12" s="10" t="s">
        <v>88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25">
        <v>1</v>
      </c>
      <c r="AA12" s="25"/>
      <c r="AB12" s="25"/>
      <c r="AC12" s="26"/>
      <c r="AD12" s="25"/>
      <c r="AE12" s="25"/>
      <c r="AF12" s="25" t="s">
        <v>89</v>
      </c>
      <c r="AG12" s="25"/>
      <c r="AH12" s="25"/>
      <c r="AI12" s="25"/>
      <c r="AJ12" s="10"/>
      <c r="AK12" s="10"/>
      <c r="AL12" s="10"/>
      <c r="AM12" s="10"/>
      <c r="AN12" s="10"/>
      <c r="AO12" s="10"/>
      <c r="AP12" s="10"/>
      <c r="AQ12" s="10" t="s">
        <v>89</v>
      </c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</row>
    <row r="13" ht="15" spans="1:57">
      <c r="A13" s="10"/>
      <c r="B13" s="10"/>
      <c r="C13" s="10"/>
      <c r="D13" s="10"/>
      <c r="E13" s="10"/>
      <c r="F13" s="10" t="s">
        <v>90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25">
        <v>2</v>
      </c>
      <c r="AA13" s="25"/>
      <c r="AB13" s="25"/>
      <c r="AC13" s="25">
        <v>1</v>
      </c>
      <c r="AD13" s="25"/>
      <c r="AE13" s="25"/>
      <c r="AF13" s="25" t="s">
        <v>91</v>
      </c>
      <c r="AG13" s="25"/>
      <c r="AH13" s="25"/>
      <c r="AI13" s="25"/>
      <c r="AJ13" s="10"/>
      <c r="AK13" s="10"/>
      <c r="AL13" s="10"/>
      <c r="AM13" s="10"/>
      <c r="AN13" s="10"/>
      <c r="AO13" s="10"/>
      <c r="AP13" s="10"/>
      <c r="AQ13" s="10"/>
      <c r="AR13" s="12" t="s">
        <v>92</v>
      </c>
      <c r="AS13" s="10"/>
      <c r="AT13" s="10" t="s">
        <v>91</v>
      </c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</row>
    <row r="14" ht="15" spans="1:57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25">
        <v>3</v>
      </c>
      <c r="AA14" s="25"/>
      <c r="AB14" s="25"/>
      <c r="AC14" s="25">
        <v>1</v>
      </c>
      <c r="AD14" s="25"/>
      <c r="AE14" s="25"/>
      <c r="AF14" s="25" t="s">
        <v>93</v>
      </c>
      <c r="AG14" s="25"/>
      <c r="AH14" s="25"/>
      <c r="AI14" s="25"/>
      <c r="AJ14" s="10"/>
      <c r="AK14" s="10"/>
      <c r="AL14" s="10"/>
      <c r="AM14" s="10"/>
      <c r="AN14" s="10"/>
      <c r="AO14" s="10"/>
      <c r="AP14" s="10"/>
      <c r="AQ14" s="10"/>
      <c r="AR14" s="12" t="s">
        <v>92</v>
      </c>
      <c r="AS14" s="10"/>
      <c r="AT14" s="10" t="s">
        <v>93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</row>
    <row r="15" ht="15" spans="1:57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25">
        <v>4</v>
      </c>
      <c r="AA15" s="25"/>
      <c r="AB15" s="25"/>
      <c r="AC15" s="25">
        <v>1</v>
      </c>
      <c r="AD15" s="25"/>
      <c r="AE15" s="25"/>
      <c r="AF15" s="25" t="s">
        <v>94</v>
      </c>
      <c r="AG15" s="25"/>
      <c r="AH15" s="25"/>
      <c r="AI15" s="25"/>
      <c r="AJ15" s="10"/>
      <c r="AK15" s="10"/>
      <c r="AL15" s="10"/>
      <c r="AM15" s="10"/>
      <c r="AN15" s="10"/>
      <c r="AO15" s="10"/>
      <c r="AP15" s="10"/>
      <c r="AQ15" s="10"/>
      <c r="AR15" s="12" t="s">
        <v>92</v>
      </c>
      <c r="AS15" s="10"/>
      <c r="AT15" s="10" t="s">
        <v>94</v>
      </c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</row>
    <row r="16" ht="15" spans="1:57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25">
        <v>5</v>
      </c>
      <c r="AA16" s="25"/>
      <c r="AB16" s="25"/>
      <c r="AC16" s="25"/>
      <c r="AD16" s="25"/>
      <c r="AE16" s="25"/>
      <c r="AF16" s="25" t="s">
        <v>95</v>
      </c>
      <c r="AG16" s="25"/>
      <c r="AH16" s="25"/>
      <c r="AI16" s="25"/>
      <c r="AJ16" s="10"/>
      <c r="AK16" s="10"/>
      <c r="AL16" s="10"/>
      <c r="AM16" s="10"/>
      <c r="AN16" s="10"/>
      <c r="AO16" s="10"/>
      <c r="AP16" s="10"/>
      <c r="AQ16" s="10" t="s">
        <v>95</v>
      </c>
      <c r="AR16" s="12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</row>
    <row r="17" ht="15" spans="1:5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25">
        <v>6</v>
      </c>
      <c r="AA17" s="25"/>
      <c r="AB17" s="25"/>
      <c r="AC17" s="25">
        <v>5</v>
      </c>
      <c r="AD17" s="25"/>
      <c r="AE17" s="25"/>
      <c r="AF17" s="25" t="s">
        <v>96</v>
      </c>
      <c r="AG17" s="25"/>
      <c r="AH17" s="25"/>
      <c r="AI17" s="25"/>
      <c r="AJ17" s="10"/>
      <c r="AK17" s="10"/>
      <c r="AL17" s="10"/>
      <c r="AM17" s="10"/>
      <c r="AN17" s="10"/>
      <c r="AO17" s="10"/>
      <c r="AP17" s="10"/>
      <c r="AQ17" s="10"/>
      <c r="AR17" s="12" t="s">
        <v>92</v>
      </c>
      <c r="AS17" s="10"/>
      <c r="AT17" s="10" t="s">
        <v>96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</row>
    <row r="18" ht="15" spans="1:57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25">
        <v>7</v>
      </c>
      <c r="AA18" s="25"/>
      <c r="AB18" s="25"/>
      <c r="AC18" s="25"/>
      <c r="AD18" s="25"/>
      <c r="AE18" s="25"/>
      <c r="AF18" s="26" t="s">
        <v>97</v>
      </c>
      <c r="AG18" s="25"/>
      <c r="AH18" s="25"/>
      <c r="AI18" s="25"/>
      <c r="AJ18" s="10"/>
      <c r="AK18" s="10"/>
      <c r="AL18" s="10"/>
      <c r="AM18" s="10"/>
      <c r="AN18" s="10"/>
      <c r="AO18" s="10"/>
      <c r="AP18" s="10"/>
      <c r="AQ18" s="10" t="s">
        <v>97</v>
      </c>
      <c r="AR18" s="12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</row>
    <row r="19" ht="15" spans="1:57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25">
        <v>8</v>
      </c>
      <c r="AA19" s="25"/>
      <c r="AB19" s="25"/>
      <c r="AC19" s="25">
        <v>7</v>
      </c>
      <c r="AD19" s="25"/>
      <c r="AE19" s="25"/>
      <c r="AF19" s="25" t="s">
        <v>98</v>
      </c>
      <c r="AG19" s="25"/>
      <c r="AH19" s="25"/>
      <c r="AI19" s="25"/>
      <c r="AJ19" s="10"/>
      <c r="AK19" s="10"/>
      <c r="AL19" s="10"/>
      <c r="AM19" s="10"/>
      <c r="AN19" s="10"/>
      <c r="AO19" s="10"/>
      <c r="AP19" s="10"/>
      <c r="AQ19" s="10"/>
      <c r="AR19" s="12" t="s">
        <v>92</v>
      </c>
      <c r="AS19" s="10"/>
      <c r="AT19" s="10" t="s">
        <v>98</v>
      </c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</row>
    <row r="20" ht="15" spans="1:57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25">
        <v>9</v>
      </c>
      <c r="AA20" s="25"/>
      <c r="AB20" s="25"/>
      <c r="AC20" s="25">
        <v>8</v>
      </c>
      <c r="AD20" s="25"/>
      <c r="AE20" s="25"/>
      <c r="AF20" s="25" t="s">
        <v>99</v>
      </c>
      <c r="AG20" s="25"/>
      <c r="AH20" s="25"/>
      <c r="AI20" s="25"/>
      <c r="AJ20" s="10"/>
      <c r="AK20" s="10"/>
      <c r="AL20" s="10"/>
      <c r="AM20" s="10"/>
      <c r="AN20" s="10"/>
      <c r="AO20" s="10"/>
      <c r="AP20" s="10"/>
      <c r="AQ20" s="10"/>
      <c r="AR20" s="12" t="s">
        <v>92</v>
      </c>
      <c r="AS20" s="10"/>
      <c r="AT20" s="10" t="s">
        <v>99</v>
      </c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</row>
    <row r="21" ht="15" spans="1:57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2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</row>
    <row r="22" ht="15" spans="1:57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2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</row>
    <row r="23" spans="1:57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</row>
    <row r="24" spans="1:57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</row>
    <row r="25" ht="15" spans="1:57">
      <c r="A25" s="10"/>
      <c r="B25" s="10"/>
      <c r="C25" s="10"/>
      <c r="D25" s="10" t="s">
        <v>100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24" t="s">
        <v>101</v>
      </c>
      <c r="AA25" s="24"/>
      <c r="AB25" s="24"/>
      <c r="AC25" s="24" t="s">
        <v>102</v>
      </c>
      <c r="AD25" s="24"/>
      <c r="AE25" s="24"/>
      <c r="AF25" s="24" t="s">
        <v>103</v>
      </c>
      <c r="AG25" s="24"/>
      <c r="AH25" s="24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</row>
    <row r="26" ht="15" spans="1:57">
      <c r="A26" s="10"/>
      <c r="B26" s="10"/>
      <c r="C26" s="10"/>
      <c r="D26" s="10"/>
      <c r="E26" s="10"/>
      <c r="F26" s="10" t="s">
        <v>104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25">
        <v>1</v>
      </c>
      <c r="AA26" s="25"/>
      <c r="AB26" s="25"/>
      <c r="AC26" s="26" t="s">
        <v>105</v>
      </c>
      <c r="AD26" s="25"/>
      <c r="AE26" s="25"/>
      <c r="AF26" s="26" t="s">
        <v>106</v>
      </c>
      <c r="AG26" s="25"/>
      <c r="AH26" s="25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</row>
    <row r="27" ht="15" spans="1:5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25">
        <v>2</v>
      </c>
      <c r="AA27" s="25"/>
      <c r="AB27" s="25"/>
      <c r="AC27" s="26" t="s">
        <v>107</v>
      </c>
      <c r="AD27" s="25"/>
      <c r="AE27" s="25"/>
      <c r="AF27" s="25" t="s">
        <v>108</v>
      </c>
      <c r="AG27" s="25"/>
      <c r="AH27" s="25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</row>
    <row r="28" ht="33.75" customHeight="1" spans="1:57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25">
        <v>3</v>
      </c>
      <c r="AA28" s="25"/>
      <c r="AB28" s="25"/>
      <c r="AC28" s="26" t="s">
        <v>109</v>
      </c>
      <c r="AD28" s="25"/>
      <c r="AE28" s="25"/>
      <c r="AF28" s="27" t="s">
        <v>110</v>
      </c>
      <c r="AG28" s="27"/>
      <c r="AH28" s="27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</row>
    <row r="29" spans="1:57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</row>
    <row r="30" spans="1:57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</row>
    <row r="31" ht="15" spans="1:57">
      <c r="A31" s="10"/>
      <c r="B31" s="10"/>
      <c r="C31" s="10"/>
      <c r="D31" s="10" t="s">
        <v>111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</row>
    <row r="32" spans="1:57">
      <c r="A32" s="10"/>
      <c r="B32" s="10"/>
      <c r="C32" s="10"/>
      <c r="D32" s="10"/>
      <c r="E32" s="10"/>
      <c r="F32" s="10" t="s">
        <v>112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24" t="s">
        <v>113</v>
      </c>
      <c r="AA32" s="24"/>
      <c r="AB32" s="24"/>
      <c r="AC32" s="24" t="s">
        <v>114</v>
      </c>
      <c r="AD32" s="24"/>
      <c r="AE32" s="24"/>
      <c r="AF32" s="24" t="s">
        <v>115</v>
      </c>
      <c r="AG32" s="24"/>
      <c r="AH32" s="24"/>
      <c r="AI32" s="24" t="s">
        <v>116</v>
      </c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</row>
    <row r="33" ht="15" spans="1:57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25">
        <v>1</v>
      </c>
      <c r="AA33" s="25"/>
      <c r="AB33" s="25"/>
      <c r="AC33" s="26">
        <v>1</v>
      </c>
      <c r="AD33" s="25"/>
      <c r="AE33" s="25"/>
      <c r="AF33" s="25">
        <v>1</v>
      </c>
      <c r="AG33" s="25"/>
      <c r="AH33" s="25"/>
      <c r="AI33" s="30" t="s">
        <v>117</v>
      </c>
      <c r="AJ33" s="10" t="s">
        <v>118</v>
      </c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</row>
    <row r="34" ht="15" spans="1:57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25">
        <v>2</v>
      </c>
      <c r="AA34" s="25"/>
      <c r="AB34" s="25"/>
      <c r="AC34" s="26">
        <v>1</v>
      </c>
      <c r="AD34" s="25"/>
      <c r="AE34" s="25"/>
      <c r="AF34" s="25">
        <v>2</v>
      </c>
      <c r="AG34" s="25"/>
      <c r="AH34" s="25"/>
      <c r="AI34" s="30" t="s">
        <v>117</v>
      </c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</row>
    <row r="35" ht="15" spans="1:57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25">
        <v>3</v>
      </c>
      <c r="AA35" s="25"/>
      <c r="AB35" s="25"/>
      <c r="AC35" s="26">
        <v>1</v>
      </c>
      <c r="AD35" s="25"/>
      <c r="AE35" s="25"/>
      <c r="AF35" s="25">
        <v>3</v>
      </c>
      <c r="AG35" s="25"/>
      <c r="AH35" s="25"/>
      <c r="AI35" s="30" t="s">
        <v>117</v>
      </c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</row>
    <row r="36" ht="15" spans="1:57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25">
        <v>4</v>
      </c>
      <c r="AA36" s="25"/>
      <c r="AB36" s="25"/>
      <c r="AC36" s="26">
        <v>1</v>
      </c>
      <c r="AD36" s="25"/>
      <c r="AE36" s="25"/>
      <c r="AF36" s="25">
        <v>4</v>
      </c>
      <c r="AG36" s="25"/>
      <c r="AH36" s="25"/>
      <c r="AI36" s="30" t="s">
        <v>117</v>
      </c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</row>
    <row r="37" ht="15" spans="1:5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25">
        <v>5</v>
      </c>
      <c r="AA37" s="25"/>
      <c r="AB37" s="25"/>
      <c r="AC37" s="26">
        <v>1</v>
      </c>
      <c r="AD37" s="25"/>
      <c r="AE37" s="25"/>
      <c r="AF37" s="25">
        <v>5</v>
      </c>
      <c r="AG37" s="25"/>
      <c r="AH37" s="25"/>
      <c r="AI37" s="30" t="s">
        <v>117</v>
      </c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</row>
    <row r="38" ht="15" spans="1:57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25">
        <v>6</v>
      </c>
      <c r="AA38" s="25"/>
      <c r="AB38" s="25"/>
      <c r="AC38" s="26">
        <v>1</v>
      </c>
      <c r="AD38" s="25"/>
      <c r="AE38" s="25"/>
      <c r="AF38" s="25">
        <v>6</v>
      </c>
      <c r="AG38" s="25"/>
      <c r="AH38" s="25"/>
      <c r="AI38" s="30" t="s">
        <v>117</v>
      </c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</row>
    <row r="39" ht="15" spans="1:57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25">
        <v>7</v>
      </c>
      <c r="AA39" s="25"/>
      <c r="AB39" s="25"/>
      <c r="AC39" s="26">
        <v>1</v>
      </c>
      <c r="AD39" s="25"/>
      <c r="AE39" s="25"/>
      <c r="AF39" s="26">
        <v>7</v>
      </c>
      <c r="AG39" s="25"/>
      <c r="AH39" s="25"/>
      <c r="AI39" s="30" t="s">
        <v>117</v>
      </c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</row>
    <row r="40" ht="15" spans="1:57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25">
        <v>8</v>
      </c>
      <c r="AA40" s="25"/>
      <c r="AB40" s="25"/>
      <c r="AC40" s="26">
        <v>1</v>
      </c>
      <c r="AD40" s="25"/>
      <c r="AE40" s="25"/>
      <c r="AF40" s="25">
        <v>8</v>
      </c>
      <c r="AG40" s="25"/>
      <c r="AH40" s="25"/>
      <c r="AI40" s="30" t="s">
        <v>117</v>
      </c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</row>
    <row r="41" ht="15" spans="1:57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25">
        <v>9</v>
      </c>
      <c r="AA41" s="25"/>
      <c r="AB41" s="25"/>
      <c r="AC41" s="26">
        <v>1</v>
      </c>
      <c r="AD41" s="25"/>
      <c r="AE41" s="25"/>
      <c r="AF41" s="25">
        <v>9</v>
      </c>
      <c r="AG41" s="25"/>
      <c r="AH41" s="25"/>
      <c r="AI41" s="30" t="s">
        <v>117</v>
      </c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</row>
    <row r="42" ht="15" spans="1:57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25">
        <v>10</v>
      </c>
      <c r="AA42" s="25"/>
      <c r="AB42" s="25"/>
      <c r="AC42" s="26">
        <v>2</v>
      </c>
      <c r="AD42" s="25"/>
      <c r="AE42" s="25"/>
      <c r="AF42" s="25">
        <v>1</v>
      </c>
      <c r="AG42" s="25"/>
      <c r="AH42" s="25"/>
      <c r="AI42" s="30" t="s">
        <v>117</v>
      </c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</row>
    <row r="43" ht="15" spans="1:57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25">
        <v>11</v>
      </c>
      <c r="AA43" s="25"/>
      <c r="AB43" s="25"/>
      <c r="AC43" s="26">
        <v>2</v>
      </c>
      <c r="AD43" s="25"/>
      <c r="AE43" s="25"/>
      <c r="AF43" s="25">
        <v>2</v>
      </c>
      <c r="AG43" s="25"/>
      <c r="AH43" s="25"/>
      <c r="AI43" s="30" t="s">
        <v>117</v>
      </c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</row>
    <row r="44" ht="15" spans="1:57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25">
        <v>12</v>
      </c>
      <c r="AA44" s="25"/>
      <c r="AB44" s="25"/>
      <c r="AC44" s="26">
        <v>2</v>
      </c>
      <c r="AD44" s="25"/>
      <c r="AE44" s="25"/>
      <c r="AF44" s="25">
        <v>3</v>
      </c>
      <c r="AG44" s="25"/>
      <c r="AH44" s="25"/>
      <c r="AI44" s="30" t="s">
        <v>117</v>
      </c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</row>
    <row r="45" ht="15" spans="1:57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25">
        <v>13</v>
      </c>
      <c r="AA45" s="25"/>
      <c r="AB45" s="25"/>
      <c r="AC45" s="26">
        <v>2</v>
      </c>
      <c r="AD45" s="25"/>
      <c r="AE45" s="25"/>
      <c r="AF45" s="25">
        <v>4</v>
      </c>
      <c r="AG45" s="25"/>
      <c r="AH45" s="25"/>
      <c r="AI45" s="30" t="s">
        <v>117</v>
      </c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</row>
    <row r="46" ht="15" spans="1:57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25">
        <v>14</v>
      </c>
      <c r="AA46" s="25"/>
      <c r="AB46" s="25"/>
      <c r="AC46" s="26">
        <v>2</v>
      </c>
      <c r="AD46" s="25"/>
      <c r="AE46" s="25"/>
      <c r="AF46" s="25">
        <v>5</v>
      </c>
      <c r="AG46" s="25"/>
      <c r="AH46" s="25"/>
      <c r="AI46" s="30" t="s">
        <v>117</v>
      </c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</row>
    <row r="47" ht="15" spans="1:5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25">
        <v>15</v>
      </c>
      <c r="AA47" s="25"/>
      <c r="AB47" s="25"/>
      <c r="AC47" s="26">
        <v>2</v>
      </c>
      <c r="AD47" s="25"/>
      <c r="AE47" s="25"/>
      <c r="AF47" s="25">
        <v>6</v>
      </c>
      <c r="AG47" s="25"/>
      <c r="AH47" s="25"/>
      <c r="AI47" s="30" t="s">
        <v>117</v>
      </c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</row>
    <row r="48" ht="15" spans="1:57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25">
        <v>16</v>
      </c>
      <c r="AA48" s="25"/>
      <c r="AB48" s="25"/>
      <c r="AC48" s="26">
        <v>3</v>
      </c>
      <c r="AD48" s="25"/>
      <c r="AE48" s="25"/>
      <c r="AF48" s="25">
        <v>1</v>
      </c>
      <c r="AG48" s="25"/>
      <c r="AH48" s="25"/>
      <c r="AI48" s="30" t="s">
        <v>117</v>
      </c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</row>
    <row r="49" ht="15" spans="1:57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25">
        <v>17</v>
      </c>
      <c r="AA49" s="25"/>
      <c r="AB49" s="25"/>
      <c r="AC49" s="26">
        <v>3</v>
      </c>
      <c r="AD49" s="25"/>
      <c r="AE49" s="25"/>
      <c r="AF49" s="25">
        <v>2</v>
      </c>
      <c r="AG49" s="25"/>
      <c r="AH49" s="25"/>
      <c r="AI49" s="30" t="s">
        <v>117</v>
      </c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</row>
    <row r="50" ht="15" spans="1:57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25">
        <v>18</v>
      </c>
      <c r="AA50" s="25"/>
      <c r="AB50" s="25"/>
      <c r="AC50" s="26">
        <v>3</v>
      </c>
      <c r="AD50" s="25"/>
      <c r="AE50" s="25"/>
      <c r="AF50" s="25">
        <v>3</v>
      </c>
      <c r="AG50" s="25"/>
      <c r="AH50" s="25"/>
      <c r="AI50" s="30" t="s">
        <v>117</v>
      </c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</row>
    <row r="51" ht="15" spans="1:57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25">
        <v>19</v>
      </c>
      <c r="AA51" s="25"/>
      <c r="AB51" s="25"/>
      <c r="AC51" s="26">
        <v>3</v>
      </c>
      <c r="AD51" s="25"/>
      <c r="AE51" s="25"/>
      <c r="AF51" s="25">
        <v>4</v>
      </c>
      <c r="AG51" s="25"/>
      <c r="AH51" s="25"/>
      <c r="AI51" s="30" t="s">
        <v>117</v>
      </c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</row>
    <row r="52" spans="1:57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</row>
    <row r="53" spans="1:57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</row>
    <row r="54" ht="15" spans="1:57">
      <c r="A54" s="10"/>
      <c r="B54" s="10"/>
      <c r="C54" s="10"/>
      <c r="D54" s="10" t="s">
        <v>119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24" t="s">
        <v>55</v>
      </c>
      <c r="AA54" s="24"/>
      <c r="AB54" s="24"/>
      <c r="AC54" s="28" t="s">
        <v>120</v>
      </c>
      <c r="AD54" s="28"/>
      <c r="AE54" s="28"/>
      <c r="AF54" s="24" t="s">
        <v>121</v>
      </c>
      <c r="AG54" s="24"/>
      <c r="AH54" s="24"/>
      <c r="AI54" s="24" t="s">
        <v>114</v>
      </c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</row>
    <row r="55" ht="15" spans="1:57">
      <c r="A55" s="10"/>
      <c r="B55" s="10"/>
      <c r="C55" s="10"/>
      <c r="D55" s="10"/>
      <c r="E55" s="10"/>
      <c r="F55" s="10" t="s">
        <v>122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25">
        <v>1</v>
      </c>
      <c r="AA55" s="25"/>
      <c r="AB55" s="25"/>
      <c r="AC55" s="29" t="s">
        <v>123</v>
      </c>
      <c r="AD55" s="29"/>
      <c r="AE55" s="29"/>
      <c r="AF55" s="26" t="s">
        <v>106</v>
      </c>
      <c r="AG55" s="25"/>
      <c r="AH55" s="25"/>
      <c r="AI55" s="25">
        <v>1</v>
      </c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</row>
    <row r="56" ht="13.8" spans="1:57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25">
        <v>2</v>
      </c>
      <c r="AA56" s="25"/>
      <c r="AB56" s="25"/>
      <c r="AC56" s="29" t="s">
        <v>124</v>
      </c>
      <c r="AD56" s="29"/>
      <c r="AE56" s="29"/>
      <c r="AF56" s="25" t="s">
        <v>125</v>
      </c>
      <c r="AG56" s="25"/>
      <c r="AH56" s="25"/>
      <c r="AI56" s="25">
        <v>2</v>
      </c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</row>
    <row r="57" ht="13.8" spans="1: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25">
        <v>3</v>
      </c>
      <c r="AA57" s="25"/>
      <c r="AB57" s="25"/>
      <c r="AC57" s="29" t="s">
        <v>126</v>
      </c>
      <c r="AD57" s="29"/>
      <c r="AE57" s="29"/>
      <c r="AF57" s="27" t="s">
        <v>109</v>
      </c>
      <c r="AG57" s="27"/>
      <c r="AH57" s="27"/>
      <c r="AI57" s="25">
        <v>3</v>
      </c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</row>
    <row r="58" spans="1:57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</row>
    <row r="59" spans="1:57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</row>
    <row r="60" spans="1:57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</row>
    <row r="61" ht="15" spans="1:57">
      <c r="A61" s="10"/>
      <c r="B61" s="10"/>
      <c r="C61" s="10"/>
      <c r="D61" s="12" t="s">
        <v>127</v>
      </c>
      <c r="E61" s="13" t="s">
        <v>128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</row>
    <row r="62" spans="1:57">
      <c r="A62" s="10"/>
      <c r="B62" s="10"/>
      <c r="C62" s="10"/>
      <c r="D62" s="10"/>
      <c r="E62" s="13" t="s">
        <v>129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</row>
    <row r="63" spans="1:57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</row>
    <row r="64" spans="1:57">
      <c r="A64" s="10"/>
      <c r="B64" s="10"/>
      <c r="C64" s="10"/>
      <c r="D64" s="10"/>
      <c r="E64" s="10" t="s">
        <v>130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</row>
    <row r="65" spans="1:57">
      <c r="A65" s="10"/>
      <c r="B65" s="10"/>
      <c r="C65" s="10"/>
      <c r="D65" s="10"/>
      <c r="E65" s="10"/>
      <c r="F65" s="10"/>
      <c r="G65" s="10"/>
      <c r="H65" s="10" t="s">
        <v>131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89</v>
      </c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</row>
    <row r="66" ht="15" spans="1:57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2" t="s">
        <v>92</v>
      </c>
      <c r="V66" s="10"/>
      <c r="W66" s="10" t="s">
        <v>91</v>
      </c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</row>
    <row r="67" ht="15" spans="1:5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2" t="s">
        <v>92</v>
      </c>
      <c r="V67" s="10"/>
      <c r="W67" s="10" t="s">
        <v>93</v>
      </c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</row>
    <row r="68" ht="15" spans="1:57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2" t="s">
        <v>92</v>
      </c>
      <c r="V68" s="10"/>
      <c r="W68" s="10" t="s">
        <v>94</v>
      </c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</row>
    <row r="69" ht="15" spans="1:57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95</v>
      </c>
      <c r="U69" s="12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</row>
    <row r="70" ht="15" spans="1:57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2" t="s">
        <v>92</v>
      </c>
      <c r="V70" s="10"/>
      <c r="W70" s="10" t="s">
        <v>96</v>
      </c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</row>
    <row r="71" ht="15" spans="1:57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97</v>
      </c>
      <c r="U71" s="12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</row>
    <row r="72" ht="15" spans="1:57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2" t="s">
        <v>92</v>
      </c>
      <c r="V72" s="10"/>
      <c r="W72" s="10" t="s">
        <v>98</v>
      </c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</row>
    <row r="73" ht="15" spans="1:57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2" t="s">
        <v>92</v>
      </c>
      <c r="V73" s="10"/>
      <c r="W73" s="10" t="s">
        <v>99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</row>
    <row r="74" spans="1:57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</row>
    <row r="75" spans="1:5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</row>
    <row r="76" spans="1:57">
      <c r="A76" s="10"/>
      <c r="B76" s="10"/>
      <c r="C76" s="10"/>
      <c r="D76" s="10"/>
      <c r="E76" s="10"/>
      <c r="F76" s="10"/>
      <c r="G76" s="10"/>
      <c r="H76" s="10" t="s">
        <v>132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89</v>
      </c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</row>
    <row r="77" ht="15" spans="1:5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2" t="s">
        <v>92</v>
      </c>
      <c r="V77" s="10"/>
      <c r="W77" s="10" t="s">
        <v>91</v>
      </c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</row>
    <row r="78" ht="15" spans="1:57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2" t="s">
        <v>92</v>
      </c>
      <c r="V78" s="10"/>
      <c r="W78" s="10" t="s">
        <v>93</v>
      </c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</row>
    <row r="79" ht="15" spans="1:57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2" t="s">
        <v>92</v>
      </c>
      <c r="V79" s="10"/>
      <c r="W79" s="10" t="s">
        <v>94</v>
      </c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</row>
    <row r="80" ht="15" spans="1:57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95</v>
      </c>
      <c r="U80" s="12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</row>
    <row r="81" ht="15" spans="1:5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2" t="s">
        <v>92</v>
      </c>
      <c r="V81" s="10"/>
      <c r="W81" s="10" t="s">
        <v>96</v>
      </c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</row>
    <row r="82" spans="1:57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</row>
    <row r="83" spans="1:57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</row>
    <row r="84" spans="1:57">
      <c r="A84" s="10"/>
      <c r="B84" s="10"/>
      <c r="C84" s="10"/>
      <c r="D84" s="10"/>
      <c r="E84" s="10"/>
      <c r="F84" s="10"/>
      <c r="G84" s="10"/>
      <c r="H84" s="10" t="s">
        <v>133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89</v>
      </c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</row>
    <row r="85" ht="15" spans="1:57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2" t="s">
        <v>92</v>
      </c>
      <c r="V85" s="10"/>
      <c r="W85" s="10" t="s">
        <v>91</v>
      </c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</row>
    <row r="86" ht="15" spans="1:57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2" t="s">
        <v>92</v>
      </c>
      <c r="V86" s="10"/>
      <c r="W86" s="10" t="s">
        <v>93</v>
      </c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</row>
    <row r="87" ht="15" spans="1:5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2" t="s">
        <v>92</v>
      </c>
      <c r="V87" s="10"/>
      <c r="W87" s="10" t="s">
        <v>94</v>
      </c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</row>
    <row r="88" ht="15" spans="1:57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2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</row>
    <row r="89" spans="1:57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</row>
    <row r="90" spans="1:57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</row>
    <row r="91" spans="1:57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</row>
    <row r="92" ht="15" spans="1:57">
      <c r="A92" s="10"/>
      <c r="B92" s="10"/>
      <c r="C92" s="10"/>
      <c r="D92" s="12" t="s">
        <v>127</v>
      </c>
      <c r="E92" s="13" t="s">
        <v>134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</row>
    <row r="93" spans="1:57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</row>
    <row r="94" spans="1:57">
      <c r="A94" s="10"/>
      <c r="B94" s="10"/>
      <c r="C94" s="10"/>
      <c r="D94" s="10"/>
      <c r="E94" s="10"/>
      <c r="F94" s="10"/>
      <c r="G94" s="10"/>
      <c r="H94" s="38" t="s">
        <v>113</v>
      </c>
      <c r="I94" s="40"/>
      <c r="J94" s="41"/>
      <c r="K94" s="38" t="s">
        <v>114</v>
      </c>
      <c r="L94" s="40"/>
      <c r="M94" s="40"/>
      <c r="N94" s="41"/>
      <c r="O94" s="24" t="s">
        <v>115</v>
      </c>
      <c r="P94" s="24"/>
      <c r="Q94" s="24"/>
      <c r="R94" s="24"/>
      <c r="S94" s="24"/>
      <c r="T94" s="24" t="s">
        <v>116</v>
      </c>
      <c r="U94" s="24"/>
      <c r="V94" s="24"/>
      <c r="W94" s="24"/>
      <c r="X94" s="10"/>
      <c r="Y94" s="10"/>
      <c r="Z94" s="10"/>
      <c r="AA94" s="10"/>
      <c r="AB94" s="10"/>
      <c r="AC94" s="10"/>
      <c r="AD94" s="10"/>
      <c r="AE94" s="38" t="s">
        <v>113</v>
      </c>
      <c r="AF94" s="40"/>
      <c r="AG94" s="41"/>
      <c r="AH94" s="38" t="s">
        <v>114</v>
      </c>
      <c r="AI94" s="40"/>
      <c r="AJ94" s="40"/>
      <c r="AK94" s="41"/>
      <c r="AL94" s="24" t="s">
        <v>115</v>
      </c>
      <c r="AM94" s="24"/>
      <c r="AN94" s="24"/>
      <c r="AO94" s="24"/>
      <c r="AP94" s="24"/>
      <c r="AQ94" s="24" t="s">
        <v>116</v>
      </c>
      <c r="AR94" s="24"/>
      <c r="AS94" s="24"/>
      <c r="AT94" s="24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</row>
    <row r="95" spans="1:57">
      <c r="A95" s="10"/>
      <c r="B95" s="10"/>
      <c r="C95" s="10"/>
      <c r="D95" s="10"/>
      <c r="E95" s="10"/>
      <c r="F95" s="10"/>
      <c r="G95" s="10"/>
      <c r="H95" s="39">
        <v>16</v>
      </c>
      <c r="I95" s="42"/>
      <c r="J95" s="43"/>
      <c r="K95" s="39">
        <v>3</v>
      </c>
      <c r="L95" s="42"/>
      <c r="M95" s="42"/>
      <c r="N95" s="43"/>
      <c r="O95" s="25">
        <v>1</v>
      </c>
      <c r="P95" s="25"/>
      <c r="Q95" s="25"/>
      <c r="R95" s="25"/>
      <c r="S95" s="25"/>
      <c r="T95" s="25" t="s">
        <v>117</v>
      </c>
      <c r="U95" s="25"/>
      <c r="V95" s="25"/>
      <c r="W95" s="25"/>
      <c r="X95" s="10"/>
      <c r="Y95" s="10"/>
      <c r="Z95" s="10"/>
      <c r="AA95" s="10"/>
      <c r="AB95" s="10"/>
      <c r="AC95" s="10"/>
      <c r="AD95" s="10"/>
      <c r="AE95" s="39">
        <v>16</v>
      </c>
      <c r="AF95" s="42"/>
      <c r="AG95" s="43"/>
      <c r="AH95" s="39">
        <v>3</v>
      </c>
      <c r="AI95" s="42"/>
      <c r="AJ95" s="42"/>
      <c r="AK95" s="43"/>
      <c r="AL95" s="25">
        <v>1</v>
      </c>
      <c r="AM95" s="25"/>
      <c r="AN95" s="25"/>
      <c r="AO95" s="25"/>
      <c r="AP95" s="25"/>
      <c r="AQ95" s="25" t="s">
        <v>117</v>
      </c>
      <c r="AR95" s="25"/>
      <c r="AS95" s="25"/>
      <c r="AT95" s="25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</row>
    <row r="96" spans="1:57">
      <c r="A96" s="10"/>
      <c r="B96" s="10"/>
      <c r="C96" s="10"/>
      <c r="D96" s="10"/>
      <c r="E96" s="10"/>
      <c r="F96" s="10"/>
      <c r="G96" s="10"/>
      <c r="H96" s="39">
        <v>17</v>
      </c>
      <c r="I96" s="42"/>
      <c r="J96" s="43"/>
      <c r="K96" s="39">
        <v>3</v>
      </c>
      <c r="L96" s="42"/>
      <c r="M96" s="42"/>
      <c r="N96" s="43"/>
      <c r="O96" s="25">
        <v>2</v>
      </c>
      <c r="P96" s="25"/>
      <c r="Q96" s="25"/>
      <c r="R96" s="25"/>
      <c r="S96" s="25"/>
      <c r="T96" s="44" t="s">
        <v>117</v>
      </c>
      <c r="U96" s="44"/>
      <c r="V96" s="44"/>
      <c r="W96" s="44"/>
      <c r="X96" s="10"/>
      <c r="Y96" s="10"/>
      <c r="Z96" s="10"/>
      <c r="AA96" s="10"/>
      <c r="AB96" s="10"/>
      <c r="AC96" s="10"/>
      <c r="AD96" s="10"/>
      <c r="AE96" s="39">
        <v>17</v>
      </c>
      <c r="AF96" s="42"/>
      <c r="AG96" s="43"/>
      <c r="AH96" s="39">
        <v>3</v>
      </c>
      <c r="AI96" s="42"/>
      <c r="AJ96" s="42"/>
      <c r="AK96" s="43"/>
      <c r="AL96" s="25">
        <v>2</v>
      </c>
      <c r="AM96" s="25"/>
      <c r="AN96" s="25"/>
      <c r="AO96" s="25"/>
      <c r="AP96" s="25"/>
      <c r="AQ96" s="44" t="s">
        <v>135</v>
      </c>
      <c r="AR96" s="44"/>
      <c r="AS96" s="44"/>
      <c r="AT96" s="44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</row>
    <row r="97" spans="1:57">
      <c r="A97" s="10"/>
      <c r="B97" s="10"/>
      <c r="C97" s="10"/>
      <c r="D97" s="10"/>
      <c r="E97" s="10"/>
      <c r="F97" s="10"/>
      <c r="G97" s="10"/>
      <c r="H97" s="39">
        <v>18</v>
      </c>
      <c r="I97" s="42"/>
      <c r="J97" s="43"/>
      <c r="K97" s="39">
        <v>3</v>
      </c>
      <c r="L97" s="42"/>
      <c r="M97" s="42"/>
      <c r="N97" s="43"/>
      <c r="O97" s="25">
        <v>2</v>
      </c>
      <c r="P97" s="25"/>
      <c r="Q97" s="25"/>
      <c r="R97" s="25"/>
      <c r="S97" s="25"/>
      <c r="T97" s="25" t="s">
        <v>117</v>
      </c>
      <c r="U97" s="25"/>
      <c r="V97" s="25"/>
      <c r="W97" s="25"/>
      <c r="X97" s="10"/>
      <c r="Y97" s="10"/>
      <c r="Z97" s="10"/>
      <c r="AA97" s="10"/>
      <c r="AB97" s="10"/>
      <c r="AC97" s="10"/>
      <c r="AD97" s="10"/>
      <c r="AE97" s="39">
        <v>19</v>
      </c>
      <c r="AF97" s="42"/>
      <c r="AG97" s="43"/>
      <c r="AH97" s="39">
        <v>3</v>
      </c>
      <c r="AI97" s="42"/>
      <c r="AJ97" s="42"/>
      <c r="AK97" s="43"/>
      <c r="AL97" s="25">
        <v>4</v>
      </c>
      <c r="AM97" s="25"/>
      <c r="AN97" s="25"/>
      <c r="AO97" s="25"/>
      <c r="AP97" s="25"/>
      <c r="AQ97" s="25" t="s">
        <v>117</v>
      </c>
      <c r="AR97" s="25"/>
      <c r="AS97" s="25"/>
      <c r="AT97" s="25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</row>
    <row r="98" spans="1:57">
      <c r="A98" s="10"/>
      <c r="B98" s="10"/>
      <c r="C98" s="10"/>
      <c r="D98" s="10"/>
      <c r="E98" s="10"/>
      <c r="F98" s="10"/>
      <c r="G98" s="10"/>
      <c r="H98" s="39">
        <v>19</v>
      </c>
      <c r="I98" s="42"/>
      <c r="J98" s="43"/>
      <c r="K98" s="39">
        <v>3</v>
      </c>
      <c r="L98" s="42"/>
      <c r="M98" s="42"/>
      <c r="N98" s="43"/>
      <c r="O98" s="25">
        <v>2</v>
      </c>
      <c r="P98" s="25"/>
      <c r="Q98" s="25"/>
      <c r="R98" s="25"/>
      <c r="S98" s="25"/>
      <c r="T98" s="25" t="s">
        <v>117</v>
      </c>
      <c r="U98" s="25"/>
      <c r="V98" s="25"/>
      <c r="W98" s="25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</row>
    <row r="99" spans="1:57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</row>
    <row r="100" spans="1:57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</row>
    <row r="101" spans="1:57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</row>
    <row r="102" spans="1:57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</row>
    <row r="103" spans="1:57">
      <c r="A103" s="10"/>
      <c r="B103" s="10"/>
      <c r="C103" s="10"/>
      <c r="D103" s="10"/>
      <c r="E103" s="10"/>
      <c r="F103" s="10"/>
      <c r="G103" s="10"/>
      <c r="H103" s="10" t="s">
        <v>133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89</v>
      </c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</row>
    <row r="104" ht="15" spans="1:57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2" t="s">
        <v>92</v>
      </c>
      <c r="V104" s="10"/>
      <c r="W104" s="10" t="s">
        <v>94</v>
      </c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</row>
    <row r="105" ht="15" spans="1:57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2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</row>
    <row r="106" ht="15" spans="1:57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2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</row>
    <row r="107" ht="15" spans="1:57">
      <c r="A107" s="10"/>
      <c r="B107" s="10"/>
      <c r="C107" s="10" t="s">
        <v>136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2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</row>
    <row r="108" ht="15" spans="1:57">
      <c r="A108" s="10"/>
      <c r="B108" s="10"/>
      <c r="C108" s="10"/>
      <c r="D108" s="10"/>
      <c r="E108" s="12" t="s">
        <v>82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24" t="s">
        <v>84</v>
      </c>
      <c r="AA108" s="24"/>
      <c r="AB108" s="24"/>
      <c r="AC108" s="24" t="s">
        <v>85</v>
      </c>
      <c r="AD108" s="24"/>
      <c r="AE108" s="24"/>
      <c r="AF108" s="24" t="s">
        <v>86</v>
      </c>
      <c r="AG108" s="24"/>
      <c r="AH108" s="24"/>
      <c r="AI108" s="24" t="s">
        <v>87</v>
      </c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</row>
    <row r="109" ht="15" spans="1:57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25">
        <v>1</v>
      </c>
      <c r="AA109" s="25"/>
      <c r="AB109" s="25"/>
      <c r="AC109" s="26"/>
      <c r="AD109" s="25"/>
      <c r="AE109" s="25"/>
      <c r="AF109" s="30" t="s">
        <v>137</v>
      </c>
      <c r="AG109" s="30"/>
      <c r="AH109" s="30"/>
      <c r="AI109" s="25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</row>
    <row r="110" spans="1:57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25">
        <v>2</v>
      </c>
      <c r="AA110" s="25"/>
      <c r="AB110" s="25"/>
      <c r="AC110" s="25"/>
      <c r="AD110" s="25"/>
      <c r="AE110" s="25"/>
      <c r="AF110" s="30" t="s">
        <v>89</v>
      </c>
      <c r="AG110" s="30"/>
      <c r="AH110" s="30"/>
      <c r="AI110" s="25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</row>
    <row r="111" spans="1:57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25">
        <v>3</v>
      </c>
      <c r="AA111" s="25"/>
      <c r="AB111" s="25"/>
      <c r="AC111" s="25">
        <v>2</v>
      </c>
      <c r="AD111" s="25"/>
      <c r="AE111" s="25"/>
      <c r="AF111" s="30" t="s">
        <v>138</v>
      </c>
      <c r="AG111" s="30"/>
      <c r="AH111" s="30"/>
      <c r="AI111" s="25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</row>
    <row r="112" spans="1:57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25">
        <v>4</v>
      </c>
      <c r="AA112" s="25"/>
      <c r="AB112" s="25"/>
      <c r="AC112" s="25">
        <v>2</v>
      </c>
      <c r="AD112" s="25"/>
      <c r="AE112" s="25"/>
      <c r="AF112" s="30" t="s">
        <v>139</v>
      </c>
      <c r="AG112" s="30"/>
      <c r="AH112" s="30"/>
      <c r="AI112" s="25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</row>
    <row r="113" spans="1:57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25">
        <v>5</v>
      </c>
      <c r="AA113" s="25"/>
      <c r="AB113" s="25"/>
      <c r="AC113" s="25">
        <v>2</v>
      </c>
      <c r="AD113" s="25"/>
      <c r="AE113" s="25"/>
      <c r="AF113" s="30" t="s">
        <v>91</v>
      </c>
      <c r="AG113" s="30"/>
      <c r="AH113" s="30"/>
      <c r="AI113" s="25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</row>
    <row r="114" spans="1:57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25">
        <v>6</v>
      </c>
      <c r="AA114" s="25"/>
      <c r="AB114" s="25"/>
      <c r="AC114" s="25">
        <v>2</v>
      </c>
      <c r="AD114" s="25"/>
      <c r="AE114" s="25"/>
      <c r="AF114" s="30" t="s">
        <v>93</v>
      </c>
      <c r="AG114" s="30"/>
      <c r="AH114" s="30"/>
      <c r="AI114" s="25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</row>
    <row r="115" spans="1:57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25">
        <v>7</v>
      </c>
      <c r="AA115" s="25"/>
      <c r="AB115" s="25"/>
      <c r="AC115" s="25">
        <v>2</v>
      </c>
      <c r="AD115" s="25"/>
      <c r="AE115" s="25"/>
      <c r="AF115" s="30" t="s">
        <v>94</v>
      </c>
      <c r="AG115" s="30"/>
      <c r="AH115" s="30"/>
      <c r="AI115" s="25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</row>
    <row r="116" spans="1:57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25">
        <v>8</v>
      </c>
      <c r="AA116" s="25"/>
      <c r="AB116" s="25"/>
      <c r="AC116" s="25">
        <v>2</v>
      </c>
      <c r="AD116" s="25"/>
      <c r="AE116" s="25"/>
      <c r="AF116" s="30" t="s">
        <v>140</v>
      </c>
      <c r="AG116" s="30"/>
      <c r="AH116" s="30"/>
      <c r="AI116" s="25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</row>
    <row r="117" spans="1:5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25">
        <v>9</v>
      </c>
      <c r="AA117" s="25"/>
      <c r="AB117" s="25"/>
      <c r="AC117" s="25">
        <v>2</v>
      </c>
      <c r="AD117" s="25"/>
      <c r="AE117" s="25"/>
      <c r="AF117" s="30" t="s">
        <v>141</v>
      </c>
      <c r="AG117" s="30"/>
      <c r="AH117" s="30"/>
      <c r="AI117" s="25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</row>
    <row r="118" spans="1:57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25">
        <v>10</v>
      </c>
      <c r="AA118" s="25"/>
      <c r="AB118" s="25"/>
      <c r="AC118" s="25">
        <v>2</v>
      </c>
      <c r="AD118" s="25"/>
      <c r="AE118" s="25"/>
      <c r="AF118" s="30" t="s">
        <v>142</v>
      </c>
      <c r="AG118" s="30"/>
      <c r="AH118" s="30"/>
      <c r="AI118" s="25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</row>
    <row r="119" spans="1:57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25">
        <v>11</v>
      </c>
      <c r="AA119" s="25"/>
      <c r="AB119" s="25"/>
      <c r="AC119" s="25">
        <v>2</v>
      </c>
      <c r="AD119" s="25"/>
      <c r="AE119" s="25"/>
      <c r="AF119" s="30" t="s">
        <v>143</v>
      </c>
      <c r="AG119" s="30"/>
      <c r="AH119" s="30"/>
      <c r="AI119" s="25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</row>
    <row r="120" spans="1:57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25">
        <v>12</v>
      </c>
      <c r="AA120" s="25"/>
      <c r="AB120" s="25"/>
      <c r="AC120" s="25">
        <v>2</v>
      </c>
      <c r="AD120" s="25"/>
      <c r="AE120" s="25"/>
      <c r="AF120" s="30" t="s">
        <v>144</v>
      </c>
      <c r="AG120" s="30"/>
      <c r="AH120" s="30"/>
      <c r="AI120" s="25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</row>
    <row r="121" spans="1:57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25">
        <v>13</v>
      </c>
      <c r="AA121" s="25"/>
      <c r="AB121" s="25"/>
      <c r="AC121" s="25">
        <v>2</v>
      </c>
      <c r="AD121" s="25"/>
      <c r="AE121" s="25"/>
      <c r="AF121" s="30" t="s">
        <v>145</v>
      </c>
      <c r="AG121" s="30"/>
      <c r="AH121" s="30"/>
      <c r="AI121" s="25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</row>
    <row r="122" spans="1:57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25">
        <v>14</v>
      </c>
      <c r="AA122" s="25"/>
      <c r="AB122" s="25"/>
      <c r="AC122" s="25">
        <v>2</v>
      </c>
      <c r="AD122" s="25"/>
      <c r="AE122" s="25"/>
      <c r="AF122" s="30" t="s">
        <v>146</v>
      </c>
      <c r="AG122" s="30"/>
      <c r="AH122" s="30"/>
      <c r="AI122" s="25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</row>
    <row r="123" spans="1:57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25">
        <v>15</v>
      </c>
      <c r="AA123" s="25"/>
      <c r="AB123" s="25"/>
      <c r="AC123" s="25">
        <v>2</v>
      </c>
      <c r="AD123" s="25"/>
      <c r="AE123" s="25"/>
      <c r="AF123" s="30" t="s">
        <v>147</v>
      </c>
      <c r="AG123" s="30"/>
      <c r="AH123" s="30"/>
      <c r="AI123" s="25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</row>
    <row r="124" spans="1:57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25">
        <v>16</v>
      </c>
      <c r="AA124" s="25"/>
      <c r="AB124" s="25"/>
      <c r="AC124" s="25">
        <v>2</v>
      </c>
      <c r="AD124" s="25"/>
      <c r="AE124" s="25"/>
      <c r="AF124" s="30" t="s">
        <v>148</v>
      </c>
      <c r="AG124" s="30"/>
      <c r="AH124" s="30"/>
      <c r="AI124" s="25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</row>
    <row r="125" spans="1:57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25">
        <v>17</v>
      </c>
      <c r="AA125" s="25"/>
      <c r="AB125" s="25"/>
      <c r="AC125" s="25">
        <v>2</v>
      </c>
      <c r="AD125" s="25"/>
      <c r="AE125" s="25"/>
      <c r="AF125" s="30" t="s">
        <v>149</v>
      </c>
      <c r="AG125" s="30"/>
      <c r="AH125" s="30"/>
      <c r="AI125" s="25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</row>
    <row r="126" spans="1:57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25">
        <v>18</v>
      </c>
      <c r="AA126" s="25"/>
      <c r="AB126" s="25"/>
      <c r="AC126" s="25">
        <v>2</v>
      </c>
      <c r="AD126" s="25"/>
      <c r="AE126" s="25"/>
      <c r="AF126" s="30" t="s">
        <v>150</v>
      </c>
      <c r="AG126" s="30"/>
      <c r="AH126" s="30"/>
      <c r="AI126" s="25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</row>
    <row r="127" spans="1:5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25">
        <v>19</v>
      </c>
      <c r="AA127" s="25"/>
      <c r="AB127" s="25"/>
      <c r="AC127" s="25">
        <v>2</v>
      </c>
      <c r="AD127" s="25"/>
      <c r="AE127" s="25"/>
      <c r="AF127" s="30" t="s">
        <v>151</v>
      </c>
      <c r="AG127" s="30"/>
      <c r="AH127" s="30"/>
      <c r="AI127" s="25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</row>
    <row r="128" spans="1:57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25">
        <v>20</v>
      </c>
      <c r="AA128" s="25"/>
      <c r="AB128" s="25"/>
      <c r="AC128" s="25">
        <v>2</v>
      </c>
      <c r="AD128" s="25"/>
      <c r="AE128" s="25"/>
      <c r="AF128" s="30" t="s">
        <v>152</v>
      </c>
      <c r="AG128" s="30"/>
      <c r="AH128" s="30"/>
      <c r="AI128" s="25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</row>
    <row r="129" spans="1:57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25">
        <v>21</v>
      </c>
      <c r="AA129" s="25"/>
      <c r="AB129" s="25"/>
      <c r="AC129" s="25">
        <v>2</v>
      </c>
      <c r="AD129" s="25"/>
      <c r="AE129" s="25"/>
      <c r="AF129" s="30" t="s">
        <v>153</v>
      </c>
      <c r="AG129" s="30"/>
      <c r="AH129" s="30"/>
      <c r="AI129" s="25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</row>
    <row r="130" spans="1:57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25">
        <v>22</v>
      </c>
      <c r="AA130" s="25"/>
      <c r="AB130" s="25"/>
      <c r="AC130" s="25">
        <v>2</v>
      </c>
      <c r="AD130" s="25"/>
      <c r="AE130" s="25"/>
      <c r="AF130" s="30" t="s">
        <v>154</v>
      </c>
      <c r="AG130" s="30"/>
      <c r="AH130" s="30"/>
      <c r="AI130" s="25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</row>
    <row r="131" spans="1:57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25">
        <v>23</v>
      </c>
      <c r="AA131" s="25"/>
      <c r="AB131" s="25"/>
      <c r="AC131" s="25">
        <v>2</v>
      </c>
      <c r="AD131" s="25"/>
      <c r="AE131" s="25"/>
      <c r="AF131" s="30" t="s">
        <v>155</v>
      </c>
      <c r="AG131" s="30"/>
      <c r="AH131" s="30"/>
      <c r="AI131" s="25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</row>
    <row r="132" spans="1:57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25">
        <v>24</v>
      </c>
      <c r="AA132" s="25"/>
      <c r="AB132" s="25"/>
      <c r="AC132" s="25">
        <v>2</v>
      </c>
      <c r="AD132" s="25"/>
      <c r="AE132" s="25"/>
      <c r="AF132" s="30" t="s">
        <v>156</v>
      </c>
      <c r="AG132" s="30"/>
      <c r="AH132" s="30"/>
      <c r="AI132" s="25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</row>
    <row r="133" spans="1:57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25">
        <v>25</v>
      </c>
      <c r="AA133" s="25"/>
      <c r="AB133" s="25"/>
      <c r="AC133" s="25">
        <v>2</v>
      </c>
      <c r="AD133" s="25"/>
      <c r="AE133" s="25"/>
      <c r="AF133" s="30" t="s">
        <v>157</v>
      </c>
      <c r="AG133" s="30"/>
      <c r="AH133" s="30"/>
      <c r="AI133" s="25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</row>
    <row r="134" spans="1:57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25">
        <v>26</v>
      </c>
      <c r="AA134" s="25"/>
      <c r="AB134" s="25"/>
      <c r="AC134" s="25">
        <v>2</v>
      </c>
      <c r="AD134" s="25"/>
      <c r="AE134" s="25"/>
      <c r="AF134" s="30" t="s">
        <v>158</v>
      </c>
      <c r="AG134" s="30"/>
      <c r="AH134" s="30"/>
      <c r="AI134" s="25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</row>
    <row r="135" spans="1:57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25">
        <v>27</v>
      </c>
      <c r="AA135" s="25"/>
      <c r="AB135" s="25"/>
      <c r="AC135" s="25">
        <v>2</v>
      </c>
      <c r="AD135" s="25"/>
      <c r="AE135" s="25"/>
      <c r="AF135" s="30" t="s">
        <v>159</v>
      </c>
      <c r="AG135" s="30"/>
      <c r="AH135" s="30"/>
      <c r="AI135" s="25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</row>
    <row r="136" spans="1:57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25">
        <v>28</v>
      </c>
      <c r="AA136" s="25"/>
      <c r="AB136" s="25"/>
      <c r="AC136" s="25">
        <v>2</v>
      </c>
      <c r="AD136" s="25"/>
      <c r="AE136" s="25"/>
      <c r="AF136" s="30" t="s">
        <v>160</v>
      </c>
      <c r="AG136" s="30"/>
      <c r="AH136" s="30"/>
      <c r="AI136" s="25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</row>
    <row r="137" spans="1:5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25">
        <v>29</v>
      </c>
      <c r="AA137" s="25"/>
      <c r="AB137" s="25"/>
      <c r="AC137" s="25">
        <v>2</v>
      </c>
      <c r="AD137" s="25"/>
      <c r="AE137" s="25"/>
      <c r="AF137" s="30" t="s">
        <v>161</v>
      </c>
      <c r="AG137" s="30"/>
      <c r="AH137" s="30"/>
      <c r="AI137" s="25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</row>
    <row r="138" spans="1:57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25">
        <v>30</v>
      </c>
      <c r="AA138" s="25"/>
      <c r="AB138" s="25"/>
      <c r="AC138" s="25">
        <v>2</v>
      </c>
      <c r="AD138" s="25"/>
      <c r="AE138" s="25"/>
      <c r="AF138" s="30" t="s">
        <v>162</v>
      </c>
      <c r="AG138" s="30"/>
      <c r="AH138" s="30"/>
      <c r="AI138" s="25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</row>
    <row r="139" spans="1:57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25">
        <v>31</v>
      </c>
      <c r="AA139" s="25"/>
      <c r="AB139" s="25"/>
      <c r="AC139" s="25">
        <v>2</v>
      </c>
      <c r="AD139" s="25"/>
      <c r="AE139" s="25"/>
      <c r="AF139" s="30" t="s">
        <v>163</v>
      </c>
      <c r="AG139" s="30"/>
      <c r="AH139" s="30"/>
      <c r="AI139" s="25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</row>
    <row r="140" spans="1:57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25">
        <v>32</v>
      </c>
      <c r="AA140" s="25"/>
      <c r="AB140" s="25"/>
      <c r="AC140" s="25"/>
      <c r="AD140" s="25"/>
      <c r="AE140" s="25"/>
      <c r="AF140" s="30" t="s">
        <v>164</v>
      </c>
      <c r="AG140" s="30"/>
      <c r="AH140" s="30"/>
      <c r="AI140" s="25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</row>
    <row r="141" spans="1:57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25">
        <v>33</v>
      </c>
      <c r="AA141" s="25"/>
      <c r="AB141" s="25"/>
      <c r="AC141" s="25">
        <v>32</v>
      </c>
      <c r="AD141" s="25"/>
      <c r="AE141" s="25"/>
      <c r="AF141" s="30" t="s">
        <v>165</v>
      </c>
      <c r="AG141" s="30"/>
      <c r="AH141" s="30"/>
      <c r="AI141" s="25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</row>
    <row r="142" spans="1:57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25">
        <v>34</v>
      </c>
      <c r="AA142" s="25"/>
      <c r="AB142" s="25"/>
      <c r="AC142" s="25">
        <v>32</v>
      </c>
      <c r="AD142" s="25"/>
      <c r="AE142" s="25"/>
      <c r="AF142" s="30" t="s">
        <v>166</v>
      </c>
      <c r="AG142" s="30"/>
      <c r="AH142" s="30"/>
      <c r="AI142" s="25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</row>
    <row r="143" spans="1:57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25">
        <v>35</v>
      </c>
      <c r="AA143" s="25"/>
      <c r="AB143" s="25"/>
      <c r="AC143" s="25">
        <v>32</v>
      </c>
      <c r="AD143" s="25"/>
      <c r="AE143" s="25"/>
      <c r="AF143" s="30" t="s">
        <v>167</v>
      </c>
      <c r="AG143" s="30"/>
      <c r="AH143" s="30"/>
      <c r="AI143" s="25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</row>
    <row r="144" spans="1:57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25">
        <v>36</v>
      </c>
      <c r="AA144" s="25"/>
      <c r="AB144" s="25"/>
      <c r="AC144" s="25">
        <v>32</v>
      </c>
      <c r="AD144" s="25"/>
      <c r="AE144" s="25"/>
      <c r="AF144" s="30" t="s">
        <v>168</v>
      </c>
      <c r="AG144" s="30"/>
      <c r="AH144" s="30"/>
      <c r="AI144" s="25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</row>
    <row r="145" spans="1:57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25">
        <v>37</v>
      </c>
      <c r="AA145" s="25"/>
      <c r="AB145" s="25"/>
      <c r="AC145" s="25">
        <v>32</v>
      </c>
      <c r="AD145" s="25"/>
      <c r="AE145" s="25"/>
      <c r="AF145" s="30" t="s">
        <v>169</v>
      </c>
      <c r="AG145" s="30"/>
      <c r="AH145" s="30"/>
      <c r="AI145" s="25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</row>
    <row r="146" spans="1:57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25">
        <v>38</v>
      </c>
      <c r="AA146" s="25"/>
      <c r="AB146" s="25"/>
      <c r="AC146" s="25">
        <v>32</v>
      </c>
      <c r="AD146" s="25"/>
      <c r="AE146" s="25"/>
      <c r="AF146" s="30" t="s">
        <v>170</v>
      </c>
      <c r="AG146" s="30"/>
      <c r="AH146" s="30"/>
      <c r="AI146" s="25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</row>
    <row r="147" spans="1:5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25">
        <v>39</v>
      </c>
      <c r="AA147" s="25"/>
      <c r="AB147" s="25"/>
      <c r="AC147" s="25">
        <v>32</v>
      </c>
      <c r="AD147" s="25"/>
      <c r="AE147" s="25"/>
      <c r="AF147" s="30" t="s">
        <v>171</v>
      </c>
      <c r="AG147" s="30"/>
      <c r="AH147" s="30"/>
      <c r="AI147" s="25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</row>
    <row r="148" spans="1:57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25">
        <v>40</v>
      </c>
      <c r="AA148" s="25"/>
      <c r="AB148" s="25"/>
      <c r="AC148" s="25">
        <v>32</v>
      </c>
      <c r="AD148" s="25"/>
      <c r="AE148" s="25"/>
      <c r="AF148" s="30" t="s">
        <v>172</v>
      </c>
      <c r="AG148" s="30"/>
      <c r="AH148" s="30"/>
      <c r="AI148" s="25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</row>
    <row r="149" spans="1:57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25">
        <v>41</v>
      </c>
      <c r="AA149" s="25"/>
      <c r="AB149" s="25"/>
      <c r="AC149" s="25">
        <v>32</v>
      </c>
      <c r="AD149" s="25"/>
      <c r="AE149" s="25"/>
      <c r="AF149" s="30" t="s">
        <v>173</v>
      </c>
      <c r="AG149" s="30"/>
      <c r="AH149" s="30"/>
      <c r="AI149" s="25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</row>
    <row r="150" spans="1:57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25">
        <v>42</v>
      </c>
      <c r="AA150" s="25"/>
      <c r="AB150" s="25"/>
      <c r="AC150" s="25">
        <v>32</v>
      </c>
      <c r="AD150" s="25"/>
      <c r="AE150" s="25"/>
      <c r="AF150" s="30" t="s">
        <v>174</v>
      </c>
      <c r="AG150" s="30"/>
      <c r="AH150" s="30"/>
      <c r="AI150" s="25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</row>
    <row r="151" spans="1:57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25">
        <v>43</v>
      </c>
      <c r="AA151" s="25"/>
      <c r="AB151" s="25"/>
      <c r="AC151" s="25">
        <v>32</v>
      </c>
      <c r="AD151" s="25"/>
      <c r="AE151" s="25"/>
      <c r="AF151" s="30" t="s">
        <v>175</v>
      </c>
      <c r="AG151" s="30"/>
      <c r="AH151" s="30"/>
      <c r="AI151" s="25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</row>
    <row r="152" spans="1:57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25">
        <v>44</v>
      </c>
      <c r="AA152" s="25"/>
      <c r="AB152" s="25"/>
      <c r="AC152" s="25">
        <v>32</v>
      </c>
      <c r="AD152" s="25"/>
      <c r="AE152" s="25"/>
      <c r="AF152" s="30" t="s">
        <v>176</v>
      </c>
      <c r="AG152" s="30"/>
      <c r="AH152" s="30"/>
      <c r="AI152" s="25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</row>
    <row r="153" spans="1:57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25">
        <v>45</v>
      </c>
      <c r="AA153" s="25"/>
      <c r="AB153" s="25"/>
      <c r="AC153" s="25">
        <v>32</v>
      </c>
      <c r="AD153" s="25"/>
      <c r="AE153" s="25"/>
      <c r="AF153" s="30" t="s">
        <v>177</v>
      </c>
      <c r="AG153" s="30"/>
      <c r="AH153" s="30"/>
      <c r="AI153" s="25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</row>
    <row r="154" spans="1:57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25">
        <v>46</v>
      </c>
      <c r="AA154" s="25"/>
      <c r="AB154" s="25"/>
      <c r="AC154" s="25">
        <v>32</v>
      </c>
      <c r="AD154" s="25"/>
      <c r="AE154" s="25"/>
      <c r="AF154" s="30" t="s">
        <v>178</v>
      </c>
      <c r="AG154" s="30"/>
      <c r="AH154" s="30"/>
      <c r="AI154" s="25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</row>
    <row r="155" spans="1:57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25">
        <v>47</v>
      </c>
      <c r="AA155" s="25"/>
      <c r="AB155" s="25"/>
      <c r="AC155" s="25">
        <v>32</v>
      </c>
      <c r="AD155" s="25"/>
      <c r="AE155" s="25"/>
      <c r="AF155" s="30" t="s">
        <v>179</v>
      </c>
      <c r="AG155" s="30"/>
      <c r="AH155" s="30"/>
      <c r="AI155" s="25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</row>
    <row r="156" spans="1:57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25">
        <v>48</v>
      </c>
      <c r="AA156" s="25"/>
      <c r="AB156" s="25"/>
      <c r="AC156" s="25">
        <v>32</v>
      </c>
      <c r="AD156" s="25"/>
      <c r="AE156" s="25"/>
      <c r="AF156" s="30" t="s">
        <v>180</v>
      </c>
      <c r="AG156" s="30"/>
      <c r="AH156" s="30"/>
      <c r="AI156" s="25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</row>
    <row r="157" spans="1: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25">
        <v>49</v>
      </c>
      <c r="AA157" s="25"/>
      <c r="AB157" s="25"/>
      <c r="AC157" s="25">
        <v>32</v>
      </c>
      <c r="AD157" s="25"/>
      <c r="AE157" s="25"/>
      <c r="AF157" s="30" t="s">
        <v>181</v>
      </c>
      <c r="AG157" s="30"/>
      <c r="AH157" s="30"/>
      <c r="AI157" s="25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</row>
    <row r="158" spans="1:57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25">
        <v>50</v>
      </c>
      <c r="AA158" s="25"/>
      <c r="AB158" s="25"/>
      <c r="AC158" s="25"/>
      <c r="AD158" s="25"/>
      <c r="AE158" s="25"/>
      <c r="AF158" s="30" t="s">
        <v>182</v>
      </c>
      <c r="AG158" s="30"/>
      <c r="AH158" s="30"/>
      <c r="AI158" s="25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</row>
    <row r="159" spans="1:57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25">
        <v>51</v>
      </c>
      <c r="AA159" s="25"/>
      <c r="AB159" s="25"/>
      <c r="AC159" s="25">
        <v>50</v>
      </c>
      <c r="AD159" s="25"/>
      <c r="AE159" s="25"/>
      <c r="AF159" s="30" t="s">
        <v>183</v>
      </c>
      <c r="AG159" s="30"/>
      <c r="AH159" s="30"/>
      <c r="AI159" s="25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</row>
    <row r="160" spans="1:57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25">
        <v>52</v>
      </c>
      <c r="AA160" s="25"/>
      <c r="AB160" s="25"/>
      <c r="AC160" s="25">
        <v>50</v>
      </c>
      <c r="AD160" s="25"/>
      <c r="AE160" s="25"/>
      <c r="AF160" s="30" t="s">
        <v>184</v>
      </c>
      <c r="AG160" s="30"/>
      <c r="AH160" s="30"/>
      <c r="AI160" s="25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</row>
    <row r="161" spans="1:57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25">
        <v>53</v>
      </c>
      <c r="AA161" s="25"/>
      <c r="AB161" s="25"/>
      <c r="AC161" s="25">
        <v>50</v>
      </c>
      <c r="AD161" s="25"/>
      <c r="AE161" s="25"/>
      <c r="AF161" s="30" t="s">
        <v>185</v>
      </c>
      <c r="AG161" s="30"/>
      <c r="AH161" s="30"/>
      <c r="AI161" s="25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</row>
    <row r="162" spans="1:57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25">
        <v>54</v>
      </c>
      <c r="AA162" s="25"/>
      <c r="AB162" s="25"/>
      <c r="AC162" s="25">
        <v>50</v>
      </c>
      <c r="AD162" s="25"/>
      <c r="AE162" s="25"/>
      <c r="AF162" s="30" t="s">
        <v>186</v>
      </c>
      <c r="AG162" s="30"/>
      <c r="AH162" s="30"/>
      <c r="AI162" s="25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</row>
    <row r="163" spans="1:57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25">
        <v>55</v>
      </c>
      <c r="AA163" s="25"/>
      <c r="AB163" s="25"/>
      <c r="AC163" s="25">
        <v>50</v>
      </c>
      <c r="AD163" s="25"/>
      <c r="AE163" s="25"/>
      <c r="AF163" s="30" t="s">
        <v>187</v>
      </c>
      <c r="AG163" s="30"/>
      <c r="AH163" s="30"/>
      <c r="AI163" s="25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</row>
    <row r="164" spans="1:57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25">
        <v>56</v>
      </c>
      <c r="AA164" s="25"/>
      <c r="AB164" s="25"/>
      <c r="AC164" s="25">
        <v>50</v>
      </c>
      <c r="AD164" s="25"/>
      <c r="AE164" s="25"/>
      <c r="AF164" s="30" t="s">
        <v>188</v>
      </c>
      <c r="AG164" s="30"/>
      <c r="AH164" s="30"/>
      <c r="AI164" s="25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</row>
    <row r="165" spans="1:57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25">
        <v>57</v>
      </c>
      <c r="AA165" s="25"/>
      <c r="AB165" s="25"/>
      <c r="AC165" s="25">
        <v>50</v>
      </c>
      <c r="AD165" s="25"/>
      <c r="AE165" s="25"/>
      <c r="AF165" s="30" t="s">
        <v>189</v>
      </c>
      <c r="AG165" s="30"/>
      <c r="AH165" s="30"/>
      <c r="AI165" s="25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</row>
    <row r="166" spans="1:57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25">
        <v>58</v>
      </c>
      <c r="AA166" s="25"/>
      <c r="AB166" s="25"/>
      <c r="AC166" s="25">
        <v>50</v>
      </c>
      <c r="AD166" s="25"/>
      <c r="AE166" s="25"/>
      <c r="AF166" s="30" t="s">
        <v>190</v>
      </c>
      <c r="AG166" s="30"/>
      <c r="AH166" s="30"/>
      <c r="AI166" s="25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</row>
    <row r="167" spans="1:5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25">
        <v>59</v>
      </c>
      <c r="AA167" s="25"/>
      <c r="AB167" s="25"/>
      <c r="AC167" s="25">
        <v>50</v>
      </c>
      <c r="AD167" s="25"/>
      <c r="AE167" s="25"/>
      <c r="AF167" s="30" t="s">
        <v>191</v>
      </c>
      <c r="AG167" s="30"/>
      <c r="AH167" s="30"/>
      <c r="AI167" s="25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</row>
    <row r="168" spans="1:57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25">
        <v>60</v>
      </c>
      <c r="AA168" s="25"/>
      <c r="AB168" s="25"/>
      <c r="AC168" s="25">
        <v>50</v>
      </c>
      <c r="AD168" s="25"/>
      <c r="AE168" s="25"/>
      <c r="AF168" s="30" t="s">
        <v>192</v>
      </c>
      <c r="AG168" s="30"/>
      <c r="AH168" s="30"/>
      <c r="AI168" s="25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</row>
    <row r="169" spans="1:57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25">
        <v>61</v>
      </c>
      <c r="AA169" s="25"/>
      <c r="AB169" s="25"/>
      <c r="AC169" s="25">
        <v>50</v>
      </c>
      <c r="AD169" s="25"/>
      <c r="AE169" s="25"/>
      <c r="AF169" s="30" t="s">
        <v>193</v>
      </c>
      <c r="AG169" s="30"/>
      <c r="AH169" s="30"/>
      <c r="AI169" s="25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</row>
    <row r="170" spans="1:57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25">
        <v>62</v>
      </c>
      <c r="AA170" s="25"/>
      <c r="AB170" s="25"/>
      <c r="AC170" s="25">
        <v>50</v>
      </c>
      <c r="AD170" s="25"/>
      <c r="AE170" s="25"/>
      <c r="AF170" s="30" t="s">
        <v>194</v>
      </c>
      <c r="AG170" s="30"/>
      <c r="AH170" s="30"/>
      <c r="AI170" s="25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</row>
    <row r="171" spans="1:57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25">
        <v>63</v>
      </c>
      <c r="AA171" s="25"/>
      <c r="AB171" s="25"/>
      <c r="AC171" s="25">
        <v>50</v>
      </c>
      <c r="AD171" s="25"/>
      <c r="AE171" s="25"/>
      <c r="AF171" s="30" t="s">
        <v>195</v>
      </c>
      <c r="AG171" s="30"/>
      <c r="AH171" s="30"/>
      <c r="AI171" s="25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</row>
    <row r="172" spans="1:57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25">
        <v>64</v>
      </c>
      <c r="AA172" s="25"/>
      <c r="AB172" s="25"/>
      <c r="AC172" s="25">
        <v>50</v>
      </c>
      <c r="AD172" s="25"/>
      <c r="AE172" s="25"/>
      <c r="AF172" s="30" t="s">
        <v>196</v>
      </c>
      <c r="AG172" s="30"/>
      <c r="AH172" s="30"/>
      <c r="AI172" s="25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</row>
    <row r="173" spans="1:57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25">
        <v>65</v>
      </c>
      <c r="AA173" s="25"/>
      <c r="AB173" s="25"/>
      <c r="AC173" s="25">
        <v>50</v>
      </c>
      <c r="AD173" s="25"/>
      <c r="AE173" s="25"/>
      <c r="AF173" s="30" t="s">
        <v>197</v>
      </c>
      <c r="AG173" s="30"/>
      <c r="AH173" s="30"/>
      <c r="AI173" s="25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</row>
    <row r="174" spans="1:57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25">
        <v>66</v>
      </c>
      <c r="AA174" s="25"/>
      <c r="AB174" s="25"/>
      <c r="AC174" s="25">
        <v>50</v>
      </c>
      <c r="AD174" s="25"/>
      <c r="AE174" s="25"/>
      <c r="AF174" s="30" t="s">
        <v>198</v>
      </c>
      <c r="AG174" s="30"/>
      <c r="AH174" s="30"/>
      <c r="AI174" s="25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</row>
    <row r="175" spans="1:57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25">
        <v>67</v>
      </c>
      <c r="AA175" s="25"/>
      <c r="AB175" s="25"/>
      <c r="AC175" s="25">
        <v>50</v>
      </c>
      <c r="AD175" s="25"/>
      <c r="AE175" s="25"/>
      <c r="AF175" s="30" t="s">
        <v>199</v>
      </c>
      <c r="AG175" s="30"/>
      <c r="AH175" s="30"/>
      <c r="AI175" s="25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</row>
    <row r="176" spans="1:57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25">
        <v>68</v>
      </c>
      <c r="AA176" s="25"/>
      <c r="AB176" s="25"/>
      <c r="AC176" s="25">
        <v>50</v>
      </c>
      <c r="AD176" s="25"/>
      <c r="AE176" s="25"/>
      <c r="AF176" s="30" t="s">
        <v>200</v>
      </c>
      <c r="AG176" s="30"/>
      <c r="AH176" s="30"/>
      <c r="AI176" s="25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</row>
    <row r="177" spans="1:5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25">
        <v>69</v>
      </c>
      <c r="AA177" s="25"/>
      <c r="AB177" s="25"/>
      <c r="AC177" s="25">
        <v>50</v>
      </c>
      <c r="AD177" s="25"/>
      <c r="AE177" s="25"/>
      <c r="AF177" s="30" t="s">
        <v>201</v>
      </c>
      <c r="AG177" s="30"/>
      <c r="AH177" s="30"/>
      <c r="AI177" s="25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</row>
    <row r="178" spans="1:57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25">
        <v>70</v>
      </c>
      <c r="AA178" s="25"/>
      <c r="AB178" s="25"/>
      <c r="AC178" s="25">
        <v>50</v>
      </c>
      <c r="AD178" s="25"/>
      <c r="AE178" s="25"/>
      <c r="AF178" s="30" t="s">
        <v>202</v>
      </c>
      <c r="AG178" s="30"/>
      <c r="AH178" s="30"/>
      <c r="AI178" s="25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</row>
    <row r="179" spans="1:57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25">
        <v>71</v>
      </c>
      <c r="AA179" s="25"/>
      <c r="AB179" s="25"/>
      <c r="AC179" s="25"/>
      <c r="AD179" s="25"/>
      <c r="AE179" s="25"/>
      <c r="AF179" s="30" t="s">
        <v>203</v>
      </c>
      <c r="AG179" s="30"/>
      <c r="AH179" s="30"/>
      <c r="AI179" s="25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</row>
    <row r="180" spans="1:57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25">
        <v>72</v>
      </c>
      <c r="AA180" s="25"/>
      <c r="AB180" s="25"/>
      <c r="AC180" s="25">
        <v>71</v>
      </c>
      <c r="AD180" s="25"/>
      <c r="AE180" s="25"/>
      <c r="AF180" s="30" t="s">
        <v>204</v>
      </c>
      <c r="AG180" s="30"/>
      <c r="AH180" s="30"/>
      <c r="AI180" s="25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</row>
    <row r="181" spans="1:57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25">
        <v>73</v>
      </c>
      <c r="AA181" s="25"/>
      <c r="AB181" s="25"/>
      <c r="AC181" s="25">
        <v>71</v>
      </c>
      <c r="AD181" s="25"/>
      <c r="AE181" s="25"/>
      <c r="AF181" s="30" t="s">
        <v>205</v>
      </c>
      <c r="AG181" s="30"/>
      <c r="AH181" s="30"/>
      <c r="AI181" s="25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</row>
    <row r="182" spans="1:57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25">
        <v>74</v>
      </c>
      <c r="AA182" s="25"/>
      <c r="AB182" s="25"/>
      <c r="AC182" s="25">
        <v>71</v>
      </c>
      <c r="AD182" s="25"/>
      <c r="AE182" s="25"/>
      <c r="AF182" s="30" t="s">
        <v>206</v>
      </c>
      <c r="AG182" s="30"/>
      <c r="AH182" s="30"/>
      <c r="AI182" s="25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</row>
    <row r="183" spans="1:57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25">
        <v>75</v>
      </c>
      <c r="AA183" s="25"/>
      <c r="AB183" s="25"/>
      <c r="AC183" s="25">
        <v>71</v>
      </c>
      <c r="AD183" s="25"/>
      <c r="AE183" s="25"/>
      <c r="AF183" s="30" t="s">
        <v>207</v>
      </c>
      <c r="AG183" s="30"/>
      <c r="AH183" s="30"/>
      <c r="AI183" s="25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</row>
    <row r="184" spans="1:57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25">
        <v>76</v>
      </c>
      <c r="AA184" s="25"/>
      <c r="AB184" s="25"/>
      <c r="AC184" s="25">
        <v>71</v>
      </c>
      <c r="AD184" s="25"/>
      <c r="AE184" s="25"/>
      <c r="AF184" s="30" t="s">
        <v>208</v>
      </c>
      <c r="AG184" s="30"/>
      <c r="AH184" s="30"/>
      <c r="AI184" s="25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</row>
    <row r="185" spans="1:57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25">
        <v>77</v>
      </c>
      <c r="AA185" s="25"/>
      <c r="AB185" s="25"/>
      <c r="AC185" s="25">
        <v>71</v>
      </c>
      <c r="AD185" s="25"/>
      <c r="AE185" s="25"/>
      <c r="AF185" s="30" t="s">
        <v>209</v>
      </c>
      <c r="AG185" s="30"/>
      <c r="AH185" s="30"/>
      <c r="AI185" s="25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</row>
    <row r="186" spans="1:57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25">
        <v>78</v>
      </c>
      <c r="AA186" s="25"/>
      <c r="AB186" s="25"/>
      <c r="AC186" s="25">
        <v>71</v>
      </c>
      <c r="AD186" s="25"/>
      <c r="AE186" s="25"/>
      <c r="AF186" s="30" t="s">
        <v>210</v>
      </c>
      <c r="AG186" s="30"/>
      <c r="AH186" s="30"/>
      <c r="AI186" s="25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</row>
    <row r="187" spans="1:5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25">
        <v>79</v>
      </c>
      <c r="AA187" s="25"/>
      <c r="AB187" s="25"/>
      <c r="AC187" s="25">
        <v>71</v>
      </c>
      <c r="AD187" s="25"/>
      <c r="AE187" s="25"/>
      <c r="AF187" s="30" t="s">
        <v>211</v>
      </c>
      <c r="AG187" s="30"/>
      <c r="AH187" s="30"/>
      <c r="AI187" s="25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</row>
    <row r="188" spans="1:57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25">
        <v>80</v>
      </c>
      <c r="AA188" s="25"/>
      <c r="AB188" s="25"/>
      <c r="AC188" s="25">
        <v>71</v>
      </c>
      <c r="AD188" s="25"/>
      <c r="AE188" s="25"/>
      <c r="AF188" s="30" t="s">
        <v>212</v>
      </c>
      <c r="AG188" s="30"/>
      <c r="AH188" s="30"/>
      <c r="AI188" s="25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</row>
    <row r="189" spans="1:57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25">
        <v>81</v>
      </c>
      <c r="AA189" s="25"/>
      <c r="AB189" s="25"/>
      <c r="AC189" s="25">
        <v>71</v>
      </c>
      <c r="AD189" s="25"/>
      <c r="AE189" s="25"/>
      <c r="AF189" s="30" t="s">
        <v>213</v>
      </c>
      <c r="AG189" s="30"/>
      <c r="AH189" s="30"/>
      <c r="AI189" s="25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</row>
    <row r="190" spans="1:57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25">
        <v>82</v>
      </c>
      <c r="AA190" s="25"/>
      <c r="AB190" s="25"/>
      <c r="AC190" s="25">
        <v>71</v>
      </c>
      <c r="AD190" s="25"/>
      <c r="AE190" s="25"/>
      <c r="AF190" s="30" t="s">
        <v>214</v>
      </c>
      <c r="AG190" s="30"/>
      <c r="AH190" s="30"/>
      <c r="AI190" s="25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</row>
    <row r="191" spans="1:57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25">
        <v>83</v>
      </c>
      <c r="AA191" s="25"/>
      <c r="AB191" s="25"/>
      <c r="AC191" s="25"/>
      <c r="AD191" s="25"/>
      <c r="AE191" s="25"/>
      <c r="AF191" s="30" t="s">
        <v>215</v>
      </c>
      <c r="AG191" s="30"/>
      <c r="AH191" s="30"/>
      <c r="AI191" s="25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</row>
    <row r="192" spans="1:57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25">
        <v>84</v>
      </c>
      <c r="AA192" s="25"/>
      <c r="AB192" s="25"/>
      <c r="AC192" s="25">
        <v>83</v>
      </c>
      <c r="AD192" s="25"/>
      <c r="AE192" s="25"/>
      <c r="AF192" s="30" t="s">
        <v>216</v>
      </c>
      <c r="AG192" s="30"/>
      <c r="AH192" s="30"/>
      <c r="AI192" s="25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</row>
    <row r="193" spans="1:57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25">
        <v>85</v>
      </c>
      <c r="AA193" s="25"/>
      <c r="AB193" s="25"/>
      <c r="AC193" s="25">
        <v>83</v>
      </c>
      <c r="AD193" s="25"/>
      <c r="AE193" s="25"/>
      <c r="AF193" s="30" t="s">
        <v>217</v>
      </c>
      <c r="AG193" s="30"/>
      <c r="AH193" s="30"/>
      <c r="AI193" s="25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</row>
    <row r="194" spans="1:57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25">
        <v>86</v>
      </c>
      <c r="AA194" s="25"/>
      <c r="AB194" s="25"/>
      <c r="AC194" s="25">
        <v>83</v>
      </c>
      <c r="AD194" s="25"/>
      <c r="AE194" s="25"/>
      <c r="AF194" s="30" t="s">
        <v>218</v>
      </c>
      <c r="AG194" s="30"/>
      <c r="AH194" s="30"/>
      <c r="AI194" s="25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</row>
    <row r="195" spans="1:57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25">
        <v>87</v>
      </c>
      <c r="AA195" s="25"/>
      <c r="AB195" s="25"/>
      <c r="AC195" s="25">
        <v>83</v>
      </c>
      <c r="AD195" s="25"/>
      <c r="AE195" s="25"/>
      <c r="AF195" s="30" t="s">
        <v>219</v>
      </c>
      <c r="AG195" s="30"/>
      <c r="AH195" s="30"/>
      <c r="AI195" s="25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</row>
    <row r="196" spans="1:57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25">
        <v>88</v>
      </c>
      <c r="AA196" s="25"/>
      <c r="AB196" s="25"/>
      <c r="AC196" s="25">
        <v>83</v>
      </c>
      <c r="AD196" s="25"/>
      <c r="AE196" s="25"/>
      <c r="AF196" s="30" t="s">
        <v>220</v>
      </c>
      <c r="AG196" s="30"/>
      <c r="AH196" s="30"/>
      <c r="AI196" s="25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</row>
    <row r="197" spans="1:5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25">
        <v>89</v>
      </c>
      <c r="AA197" s="25"/>
      <c r="AB197" s="25"/>
      <c r="AC197" s="25">
        <v>83</v>
      </c>
      <c r="AD197" s="25"/>
      <c r="AE197" s="25"/>
      <c r="AF197" s="30" t="s">
        <v>221</v>
      </c>
      <c r="AG197" s="30"/>
      <c r="AH197" s="30"/>
      <c r="AI197" s="25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</row>
    <row r="198" spans="1:57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25">
        <v>90</v>
      </c>
      <c r="AA198" s="25"/>
      <c r="AB198" s="25"/>
      <c r="AC198" s="25">
        <v>83</v>
      </c>
      <c r="AD198" s="25"/>
      <c r="AE198" s="25"/>
      <c r="AF198" s="30" t="s">
        <v>222</v>
      </c>
      <c r="AG198" s="30"/>
      <c r="AH198" s="30"/>
      <c r="AI198" s="25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</row>
    <row r="199" spans="1:57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25">
        <v>91</v>
      </c>
      <c r="AA199" s="25"/>
      <c r="AB199" s="25"/>
      <c r="AC199" s="25">
        <v>83</v>
      </c>
      <c r="AD199" s="25"/>
      <c r="AE199" s="25"/>
      <c r="AF199" s="30" t="s">
        <v>223</v>
      </c>
      <c r="AG199" s="30"/>
      <c r="AH199" s="30"/>
      <c r="AI199" s="25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</row>
    <row r="200" spans="1:57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25">
        <v>92</v>
      </c>
      <c r="AA200" s="25"/>
      <c r="AB200" s="25"/>
      <c r="AC200" s="25">
        <v>83</v>
      </c>
      <c r="AD200" s="25"/>
      <c r="AE200" s="25"/>
      <c r="AF200" s="30" t="s">
        <v>224</v>
      </c>
      <c r="AG200" s="30"/>
      <c r="AH200" s="30"/>
      <c r="AI200" s="25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</row>
    <row r="201" spans="1:57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25">
        <v>93</v>
      </c>
      <c r="AA201" s="25"/>
      <c r="AB201" s="25"/>
      <c r="AC201" s="25">
        <v>83</v>
      </c>
      <c r="AD201" s="25"/>
      <c r="AE201" s="25"/>
      <c r="AF201" s="30" t="s">
        <v>225</v>
      </c>
      <c r="AG201" s="30"/>
      <c r="AH201" s="30"/>
      <c r="AI201" s="25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</row>
    <row r="202" spans="1:57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25">
        <v>94</v>
      </c>
      <c r="AA202" s="25"/>
      <c r="AB202" s="25"/>
      <c r="AC202" s="25">
        <v>83</v>
      </c>
      <c r="AD202" s="25"/>
      <c r="AE202" s="25"/>
      <c r="AF202" s="30" t="s">
        <v>226</v>
      </c>
      <c r="AG202" s="30"/>
      <c r="AH202" s="30"/>
      <c r="AI202" s="25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</row>
    <row r="203" spans="1:57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25">
        <v>95</v>
      </c>
      <c r="AA203" s="25"/>
      <c r="AB203" s="25"/>
      <c r="AC203" s="25"/>
      <c r="AD203" s="25"/>
      <c r="AE203" s="25"/>
      <c r="AF203" s="30" t="s">
        <v>227</v>
      </c>
      <c r="AG203" s="30"/>
      <c r="AH203" s="30"/>
      <c r="AI203" s="25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</row>
    <row r="204" spans="1:57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25">
        <v>96</v>
      </c>
      <c r="AA204" s="25"/>
      <c r="AB204" s="25"/>
      <c r="AC204" s="25">
        <v>95</v>
      </c>
      <c r="AD204" s="25"/>
      <c r="AE204" s="25"/>
      <c r="AF204" s="30" t="s">
        <v>228</v>
      </c>
      <c r="AG204" s="30"/>
      <c r="AH204" s="30"/>
      <c r="AI204" s="25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</row>
    <row r="205" spans="1:57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25">
        <v>97</v>
      </c>
      <c r="AA205" s="25"/>
      <c r="AB205" s="25"/>
      <c r="AC205" s="25">
        <v>95</v>
      </c>
      <c r="AD205" s="25"/>
      <c r="AE205" s="25"/>
      <c r="AF205" s="30" t="s">
        <v>229</v>
      </c>
      <c r="AG205" s="30"/>
      <c r="AH205" s="30"/>
      <c r="AI205" s="25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</row>
    <row r="206" spans="1:57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25">
        <v>98</v>
      </c>
      <c r="AA206" s="25"/>
      <c r="AB206" s="25"/>
      <c r="AC206" s="25">
        <v>95</v>
      </c>
      <c r="AD206" s="25"/>
      <c r="AE206" s="25"/>
      <c r="AF206" s="30" t="s">
        <v>230</v>
      </c>
      <c r="AG206" s="30"/>
      <c r="AH206" s="30"/>
      <c r="AI206" s="25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</row>
    <row r="207" spans="1:5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25">
        <v>99</v>
      </c>
      <c r="AA207" s="25"/>
      <c r="AB207" s="25"/>
      <c r="AC207" s="25"/>
      <c r="AD207" s="25"/>
      <c r="AE207" s="25"/>
      <c r="AF207" s="30" t="s">
        <v>95</v>
      </c>
      <c r="AG207" s="30"/>
      <c r="AH207" s="30"/>
      <c r="AI207" s="25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</row>
    <row r="208" spans="1:57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25">
        <v>100</v>
      </c>
      <c r="AA208" s="25"/>
      <c r="AB208" s="25"/>
      <c r="AC208" s="25">
        <v>99</v>
      </c>
      <c r="AD208" s="25"/>
      <c r="AE208" s="25"/>
      <c r="AF208" s="30" t="s">
        <v>231</v>
      </c>
      <c r="AG208" s="30"/>
      <c r="AH208" s="30"/>
      <c r="AI208" s="25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</row>
    <row r="209" spans="1:57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25">
        <v>101</v>
      </c>
      <c r="AA209" s="25"/>
      <c r="AB209" s="25"/>
      <c r="AC209" s="25">
        <v>99</v>
      </c>
      <c r="AD209" s="25"/>
      <c r="AE209" s="25"/>
      <c r="AF209" s="30" t="s">
        <v>232</v>
      </c>
      <c r="AG209" s="30"/>
      <c r="AH209" s="30"/>
      <c r="AI209" s="25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</row>
    <row r="210" spans="1:57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25">
        <v>102</v>
      </c>
      <c r="AA210" s="25"/>
      <c r="AB210" s="25"/>
      <c r="AC210" s="25">
        <v>99</v>
      </c>
      <c r="AD210" s="25"/>
      <c r="AE210" s="25"/>
      <c r="AF210" s="30" t="s">
        <v>233</v>
      </c>
      <c r="AG210" s="30"/>
      <c r="AH210" s="30"/>
      <c r="AI210" s="25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</row>
    <row r="211" spans="1:57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25">
        <v>103</v>
      </c>
      <c r="AA211" s="25"/>
      <c r="AB211" s="25"/>
      <c r="AC211" s="25">
        <v>99</v>
      </c>
      <c r="AD211" s="25"/>
      <c r="AE211" s="25"/>
      <c r="AF211" s="30" t="s">
        <v>234</v>
      </c>
      <c r="AG211" s="30"/>
      <c r="AH211" s="30"/>
      <c r="AI211" s="25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</row>
    <row r="212" spans="1:57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25">
        <v>104</v>
      </c>
      <c r="AA212" s="25"/>
      <c r="AB212" s="25"/>
      <c r="AC212" s="25">
        <v>99</v>
      </c>
      <c r="AD212" s="25"/>
      <c r="AE212" s="25"/>
      <c r="AF212" s="30" t="s">
        <v>235</v>
      </c>
      <c r="AG212" s="30"/>
      <c r="AH212" s="30"/>
      <c r="AI212" s="25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</row>
    <row r="213" spans="1:57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25">
        <v>105</v>
      </c>
      <c r="AA213" s="25"/>
      <c r="AB213" s="25"/>
      <c r="AC213" s="25">
        <v>99</v>
      </c>
      <c r="AD213" s="25"/>
      <c r="AE213" s="25"/>
      <c r="AF213" s="30" t="s">
        <v>236</v>
      </c>
      <c r="AG213" s="30"/>
      <c r="AH213" s="30"/>
      <c r="AI213" s="25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</row>
    <row r="214" spans="1:57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25">
        <v>106</v>
      </c>
      <c r="AA214" s="25"/>
      <c r="AB214" s="25"/>
      <c r="AC214" s="25">
        <v>99</v>
      </c>
      <c r="AD214" s="25"/>
      <c r="AE214" s="25"/>
      <c r="AF214" s="30" t="s">
        <v>237</v>
      </c>
      <c r="AG214" s="30"/>
      <c r="AH214" s="30"/>
      <c r="AI214" s="25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</row>
    <row r="215" spans="1:57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25">
        <v>107</v>
      </c>
      <c r="AA215" s="25"/>
      <c r="AB215" s="25"/>
      <c r="AC215" s="25">
        <v>99</v>
      </c>
      <c r="AD215" s="25"/>
      <c r="AE215" s="25"/>
      <c r="AF215" s="30" t="s">
        <v>238</v>
      </c>
      <c r="AG215" s="30"/>
      <c r="AH215" s="30"/>
      <c r="AI215" s="25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</row>
    <row r="216" spans="1:57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25">
        <v>108</v>
      </c>
      <c r="AA216" s="25"/>
      <c r="AB216" s="25"/>
      <c r="AC216" s="25">
        <v>99</v>
      </c>
      <c r="AD216" s="25"/>
      <c r="AE216" s="25"/>
      <c r="AF216" s="30" t="s">
        <v>239</v>
      </c>
      <c r="AG216" s="30"/>
      <c r="AH216" s="30"/>
      <c r="AI216" s="25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</row>
    <row r="217" spans="1:5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25">
        <v>109</v>
      </c>
      <c r="AA217" s="25"/>
      <c r="AB217" s="25"/>
      <c r="AC217" s="25">
        <v>99</v>
      </c>
      <c r="AD217" s="25"/>
      <c r="AE217" s="25"/>
      <c r="AF217" s="30" t="s">
        <v>96</v>
      </c>
      <c r="AG217" s="30"/>
      <c r="AH217" s="30"/>
      <c r="AI217" s="25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</row>
    <row r="218" spans="1:57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25">
        <v>110</v>
      </c>
      <c r="AA218" s="25"/>
      <c r="AB218" s="25"/>
      <c r="AC218" s="25">
        <v>99</v>
      </c>
      <c r="AD218" s="25"/>
      <c r="AE218" s="25"/>
      <c r="AF218" s="30" t="s">
        <v>240</v>
      </c>
      <c r="AG218" s="30"/>
      <c r="AH218" s="30"/>
      <c r="AI218" s="25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</row>
    <row r="219" spans="1:57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25">
        <v>111</v>
      </c>
      <c r="AA219" s="25"/>
      <c r="AB219" s="25"/>
      <c r="AC219" s="25">
        <v>99</v>
      </c>
      <c r="AD219" s="25"/>
      <c r="AE219" s="25"/>
      <c r="AF219" s="30" t="s">
        <v>241</v>
      </c>
      <c r="AG219" s="30"/>
      <c r="AH219" s="30"/>
      <c r="AI219" s="25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</row>
    <row r="220" spans="1:57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25">
        <v>112</v>
      </c>
      <c r="AA220" s="25"/>
      <c r="AB220" s="25"/>
      <c r="AC220" s="25">
        <v>99</v>
      </c>
      <c r="AD220" s="25"/>
      <c r="AE220" s="25"/>
      <c r="AF220" s="30" t="s">
        <v>242</v>
      </c>
      <c r="AG220" s="30"/>
      <c r="AH220" s="30"/>
      <c r="AI220" s="25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</row>
    <row r="221" spans="1:57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25">
        <v>113</v>
      </c>
      <c r="AA221" s="25"/>
      <c r="AB221" s="25"/>
      <c r="AC221" s="25">
        <v>99</v>
      </c>
      <c r="AD221" s="25"/>
      <c r="AE221" s="25"/>
      <c r="AF221" s="30" t="s">
        <v>243</v>
      </c>
      <c r="AG221" s="30"/>
      <c r="AH221" s="30"/>
      <c r="AI221" s="25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</row>
    <row r="222" spans="1:57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25">
        <v>114</v>
      </c>
      <c r="AA222" s="25"/>
      <c r="AB222" s="25"/>
      <c r="AC222" s="25">
        <v>99</v>
      </c>
      <c r="AD222" s="25"/>
      <c r="AE222" s="25"/>
      <c r="AF222" s="30" t="s">
        <v>244</v>
      </c>
      <c r="AG222" s="30"/>
      <c r="AH222" s="30"/>
      <c r="AI222" s="25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</row>
    <row r="223" spans="1:57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25">
        <v>115</v>
      </c>
      <c r="AA223" s="25"/>
      <c r="AB223" s="25"/>
      <c r="AC223" s="25">
        <v>99</v>
      </c>
      <c r="AD223" s="25"/>
      <c r="AE223" s="25"/>
      <c r="AF223" s="30" t="s">
        <v>245</v>
      </c>
      <c r="AG223" s="30"/>
      <c r="AH223" s="30"/>
      <c r="AI223" s="25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</row>
    <row r="224" spans="1:57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25">
        <v>116</v>
      </c>
      <c r="AA224" s="25"/>
      <c r="AB224" s="25"/>
      <c r="AC224" s="25">
        <v>99</v>
      </c>
      <c r="AD224" s="25"/>
      <c r="AE224" s="25"/>
      <c r="AF224" s="30" t="s">
        <v>246</v>
      </c>
      <c r="AG224" s="30"/>
      <c r="AH224" s="30"/>
      <c r="AI224" s="25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</row>
    <row r="225" spans="1:57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25">
        <v>117</v>
      </c>
      <c r="AA225" s="25"/>
      <c r="AB225" s="25"/>
      <c r="AC225" s="25">
        <v>99</v>
      </c>
      <c r="AD225" s="25"/>
      <c r="AE225" s="25"/>
      <c r="AF225" s="30" t="s">
        <v>247</v>
      </c>
      <c r="AG225" s="30"/>
      <c r="AH225" s="30"/>
      <c r="AI225" s="25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</row>
    <row r="226" spans="1:57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25">
        <v>118</v>
      </c>
      <c r="AA226" s="25"/>
      <c r="AB226" s="25"/>
      <c r="AC226" s="25">
        <v>99</v>
      </c>
      <c r="AD226" s="25"/>
      <c r="AE226" s="25"/>
      <c r="AF226" s="30" t="s">
        <v>248</v>
      </c>
      <c r="AG226" s="30"/>
      <c r="AH226" s="30"/>
      <c r="AI226" s="25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</row>
    <row r="227" spans="1:5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25">
        <v>119</v>
      </c>
      <c r="AA227" s="25"/>
      <c r="AB227" s="25"/>
      <c r="AC227" s="25">
        <v>99</v>
      </c>
      <c r="AD227" s="25"/>
      <c r="AE227" s="25"/>
      <c r="AF227" s="30" t="s">
        <v>249</v>
      </c>
      <c r="AG227" s="30"/>
      <c r="AH227" s="30"/>
      <c r="AI227" s="25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</row>
    <row r="228" spans="1:57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25">
        <v>120</v>
      </c>
      <c r="AA228" s="25"/>
      <c r="AB228" s="25"/>
      <c r="AC228" s="25">
        <v>99</v>
      </c>
      <c r="AD228" s="25"/>
      <c r="AE228" s="25"/>
      <c r="AF228" s="30" t="s">
        <v>250</v>
      </c>
      <c r="AG228" s="30"/>
      <c r="AH228" s="30"/>
      <c r="AI228" s="25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</row>
    <row r="229" spans="1:57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25">
        <v>121</v>
      </c>
      <c r="AA229" s="25"/>
      <c r="AB229" s="25"/>
      <c r="AC229" s="25">
        <v>99</v>
      </c>
      <c r="AD229" s="25"/>
      <c r="AE229" s="25"/>
      <c r="AF229" s="30" t="s">
        <v>251</v>
      </c>
      <c r="AG229" s="30"/>
      <c r="AH229" s="30"/>
      <c r="AI229" s="25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</row>
    <row r="230" spans="1:57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25">
        <v>122</v>
      </c>
      <c r="AA230" s="25"/>
      <c r="AB230" s="25"/>
      <c r="AC230" s="25"/>
      <c r="AD230" s="25"/>
      <c r="AE230" s="25"/>
      <c r="AF230" s="30" t="s">
        <v>97</v>
      </c>
      <c r="AG230" s="30"/>
      <c r="AH230" s="30"/>
      <c r="AI230" s="25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</row>
    <row r="231" spans="1:57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25">
        <v>123</v>
      </c>
      <c r="AA231" s="25"/>
      <c r="AB231" s="25"/>
      <c r="AC231" s="39">
        <v>122</v>
      </c>
      <c r="AD231" s="42"/>
      <c r="AE231" s="43"/>
      <c r="AF231" s="30" t="s">
        <v>252</v>
      </c>
      <c r="AG231" s="30"/>
      <c r="AH231" s="30"/>
      <c r="AI231" s="25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</row>
    <row r="232" spans="1:57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25">
        <v>124</v>
      </c>
      <c r="AA232" s="25"/>
      <c r="AB232" s="25"/>
      <c r="AC232" s="39">
        <v>122</v>
      </c>
      <c r="AD232" s="42"/>
      <c r="AE232" s="43"/>
      <c r="AF232" s="30" t="s">
        <v>253</v>
      </c>
      <c r="AG232" s="30"/>
      <c r="AH232" s="30"/>
      <c r="AI232" s="25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</row>
    <row r="233" spans="1:57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25">
        <v>125</v>
      </c>
      <c r="AA233" s="25"/>
      <c r="AB233" s="25"/>
      <c r="AC233" s="39">
        <v>122</v>
      </c>
      <c r="AD233" s="42"/>
      <c r="AE233" s="43"/>
      <c r="AF233" s="30" t="s">
        <v>254</v>
      </c>
      <c r="AG233" s="30"/>
      <c r="AH233" s="30"/>
      <c r="AI233" s="25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</row>
    <row r="234" spans="1:57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25">
        <v>126</v>
      </c>
      <c r="AA234" s="25"/>
      <c r="AB234" s="25"/>
      <c r="AC234" s="39">
        <v>122</v>
      </c>
      <c r="AD234" s="42"/>
      <c r="AE234" s="43"/>
      <c r="AF234" s="30" t="s">
        <v>255</v>
      </c>
      <c r="AG234" s="30"/>
      <c r="AH234" s="30"/>
      <c r="AI234" s="25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</row>
    <row r="235" spans="1:57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25">
        <v>127</v>
      </c>
      <c r="AA235" s="25"/>
      <c r="AB235" s="25"/>
      <c r="AC235" s="39">
        <v>122</v>
      </c>
      <c r="AD235" s="42"/>
      <c r="AE235" s="43"/>
      <c r="AF235" s="30" t="s">
        <v>256</v>
      </c>
      <c r="AG235" s="30"/>
      <c r="AH235" s="30"/>
      <c r="AI235" s="25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</row>
    <row r="236" spans="1:57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25">
        <v>128</v>
      </c>
      <c r="AA236" s="25"/>
      <c r="AB236" s="25"/>
      <c r="AC236" s="39">
        <v>122</v>
      </c>
      <c r="AD236" s="42"/>
      <c r="AE236" s="43"/>
      <c r="AF236" s="30" t="s">
        <v>257</v>
      </c>
      <c r="AG236" s="30"/>
      <c r="AH236" s="30"/>
      <c r="AI236" s="25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</row>
    <row r="237" spans="1:5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25">
        <v>129</v>
      </c>
      <c r="AA237" s="25"/>
      <c r="AB237" s="25"/>
      <c r="AC237" s="39">
        <v>122</v>
      </c>
      <c r="AD237" s="42"/>
      <c r="AE237" s="43"/>
      <c r="AF237" s="30" t="s">
        <v>258</v>
      </c>
      <c r="AG237" s="30"/>
      <c r="AH237" s="30"/>
      <c r="AI237" s="25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</row>
    <row r="238" spans="1:57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25">
        <v>130</v>
      </c>
      <c r="AA238" s="25"/>
      <c r="AB238" s="25"/>
      <c r="AC238" s="39">
        <v>122</v>
      </c>
      <c r="AD238" s="42"/>
      <c r="AE238" s="43"/>
      <c r="AF238" s="30" t="s">
        <v>259</v>
      </c>
      <c r="AG238" s="30"/>
      <c r="AH238" s="30"/>
      <c r="AI238" s="25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</row>
    <row r="239" spans="1:57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25">
        <v>131</v>
      </c>
      <c r="AA239" s="25"/>
      <c r="AB239" s="25"/>
      <c r="AC239" s="39">
        <v>122</v>
      </c>
      <c r="AD239" s="42"/>
      <c r="AE239" s="43"/>
      <c r="AF239" s="30" t="s">
        <v>260</v>
      </c>
      <c r="AG239" s="30"/>
      <c r="AH239" s="30"/>
      <c r="AI239" s="25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</row>
    <row r="240" spans="1:57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25">
        <v>132</v>
      </c>
      <c r="AA240" s="25"/>
      <c r="AB240" s="25"/>
      <c r="AC240" s="39">
        <v>122</v>
      </c>
      <c r="AD240" s="42"/>
      <c r="AE240" s="43"/>
      <c r="AF240" s="30" t="s">
        <v>98</v>
      </c>
      <c r="AG240" s="30"/>
      <c r="AH240" s="30"/>
      <c r="AI240" s="25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</row>
    <row r="241" spans="1:57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25">
        <v>133</v>
      </c>
      <c r="AA241" s="25"/>
      <c r="AB241" s="25"/>
      <c r="AC241" s="39">
        <v>122</v>
      </c>
      <c r="AD241" s="42"/>
      <c r="AE241" s="43"/>
      <c r="AF241" s="30" t="s">
        <v>261</v>
      </c>
      <c r="AG241" s="30"/>
      <c r="AH241" s="30"/>
      <c r="AI241" s="25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</row>
    <row r="242" spans="1:57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25">
        <v>134</v>
      </c>
      <c r="AA242" s="25"/>
      <c r="AB242" s="25"/>
      <c r="AC242" s="39">
        <v>122</v>
      </c>
      <c r="AD242" s="42"/>
      <c r="AE242" s="43"/>
      <c r="AF242" s="30" t="s">
        <v>262</v>
      </c>
      <c r="AG242" s="30"/>
      <c r="AH242" s="30"/>
      <c r="AI242" s="25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</row>
    <row r="243" spans="1:57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25">
        <v>135</v>
      </c>
      <c r="AA243" s="25"/>
      <c r="AB243" s="25"/>
      <c r="AC243" s="39">
        <v>122</v>
      </c>
      <c r="AD243" s="42"/>
      <c r="AE243" s="43"/>
      <c r="AF243" s="30" t="s">
        <v>263</v>
      </c>
      <c r="AG243" s="30"/>
      <c r="AH243" s="30"/>
      <c r="AI243" s="25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</row>
    <row r="244" spans="1:57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25">
        <v>136</v>
      </c>
      <c r="AA244" s="25"/>
      <c r="AB244" s="25"/>
      <c r="AC244" s="39">
        <v>122</v>
      </c>
      <c r="AD244" s="42"/>
      <c r="AE244" s="43"/>
      <c r="AF244" s="30" t="s">
        <v>264</v>
      </c>
      <c r="AG244" s="30"/>
      <c r="AH244" s="30"/>
      <c r="AI244" s="25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</row>
    <row r="245" spans="1:57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25">
        <v>137</v>
      </c>
      <c r="AA245" s="25"/>
      <c r="AB245" s="25"/>
      <c r="AC245" s="39">
        <v>122</v>
      </c>
      <c r="AD245" s="42"/>
      <c r="AE245" s="43"/>
      <c r="AF245" s="30" t="s">
        <v>265</v>
      </c>
      <c r="AG245" s="30"/>
      <c r="AH245" s="30"/>
      <c r="AI245" s="25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</row>
    <row r="246" spans="1:57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25">
        <v>138</v>
      </c>
      <c r="AA246" s="25"/>
      <c r="AB246" s="25"/>
      <c r="AC246" s="39">
        <v>122</v>
      </c>
      <c r="AD246" s="42"/>
      <c r="AE246" s="43"/>
      <c r="AF246" s="30" t="s">
        <v>266</v>
      </c>
      <c r="AG246" s="30"/>
      <c r="AH246" s="30"/>
      <c r="AI246" s="25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</row>
    <row r="247" spans="1:5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25">
        <v>139</v>
      </c>
      <c r="AA247" s="25"/>
      <c r="AB247" s="25"/>
      <c r="AC247" s="39">
        <v>122</v>
      </c>
      <c r="AD247" s="42"/>
      <c r="AE247" s="43"/>
      <c r="AF247" s="30" t="s">
        <v>267</v>
      </c>
      <c r="AG247" s="30"/>
      <c r="AH247" s="30"/>
      <c r="AI247" s="25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</row>
    <row r="248" spans="1:57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25">
        <v>140</v>
      </c>
      <c r="AA248" s="25"/>
      <c r="AB248" s="25"/>
      <c r="AC248" s="39">
        <v>122</v>
      </c>
      <c r="AD248" s="42"/>
      <c r="AE248" s="43"/>
      <c r="AF248" s="30" t="s">
        <v>268</v>
      </c>
      <c r="AG248" s="30"/>
      <c r="AH248" s="30"/>
      <c r="AI248" s="25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</row>
    <row r="249" spans="1:57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25">
        <v>141</v>
      </c>
      <c r="AA249" s="25"/>
      <c r="AB249" s="25"/>
      <c r="AC249" s="39">
        <v>122</v>
      </c>
      <c r="AD249" s="42"/>
      <c r="AE249" s="43"/>
      <c r="AF249" s="30" t="s">
        <v>269</v>
      </c>
      <c r="AG249" s="30"/>
      <c r="AH249" s="30"/>
      <c r="AI249" s="25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</row>
    <row r="250" spans="1:57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25">
        <v>142</v>
      </c>
      <c r="AA250" s="25"/>
      <c r="AB250" s="25"/>
      <c r="AC250" s="39">
        <v>122</v>
      </c>
      <c r="AD250" s="42"/>
      <c r="AE250" s="43"/>
      <c r="AF250" s="30" t="s">
        <v>270</v>
      </c>
      <c r="AG250" s="30"/>
      <c r="AH250" s="30"/>
      <c r="AI250" s="25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</row>
    <row r="251" spans="1:57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25">
        <v>143</v>
      </c>
      <c r="AA251" s="25"/>
      <c r="AB251" s="25"/>
      <c r="AC251" s="39">
        <v>122</v>
      </c>
      <c r="AD251" s="42"/>
      <c r="AE251" s="43"/>
      <c r="AF251" s="30" t="s">
        <v>271</v>
      </c>
      <c r="AG251" s="30"/>
      <c r="AH251" s="30"/>
      <c r="AI251" s="25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</row>
    <row r="252" ht="15" spans="1:57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25">
        <v>144</v>
      </c>
      <c r="AA252" s="25"/>
      <c r="AB252" s="25"/>
      <c r="AC252" s="25"/>
      <c r="AD252" s="25"/>
      <c r="AE252" s="25"/>
      <c r="AF252" s="45" t="s">
        <v>272</v>
      </c>
      <c r="AG252" s="30"/>
      <c r="AH252" s="30"/>
      <c r="AI252" s="25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</row>
    <row r="253" ht="15" spans="1:57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25">
        <v>145</v>
      </c>
      <c r="AA253" s="25"/>
      <c r="AB253" s="25"/>
      <c r="AC253" s="25">
        <v>144</v>
      </c>
      <c r="AD253" s="25"/>
      <c r="AE253" s="25"/>
      <c r="AF253" s="45" t="s">
        <v>273</v>
      </c>
      <c r="AG253" s="30"/>
      <c r="AH253" s="30"/>
      <c r="AI253" s="25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</row>
    <row r="254" spans="1:57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25">
        <v>146</v>
      </c>
      <c r="AA254" s="25"/>
      <c r="AB254" s="25"/>
      <c r="AC254" s="25">
        <v>144</v>
      </c>
      <c r="AD254" s="25"/>
      <c r="AE254" s="25"/>
      <c r="AF254" s="30" t="s">
        <v>274</v>
      </c>
      <c r="AG254" s="30"/>
      <c r="AH254" s="30"/>
      <c r="AI254" s="25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</row>
    <row r="255" spans="1:57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25">
        <v>147</v>
      </c>
      <c r="AA255" s="25"/>
      <c r="AB255" s="25"/>
      <c r="AC255" s="25">
        <v>144</v>
      </c>
      <c r="AD255" s="25"/>
      <c r="AE255" s="25"/>
      <c r="AF255" s="30" t="s">
        <v>217</v>
      </c>
      <c r="AG255" s="30"/>
      <c r="AH255" s="30"/>
      <c r="AI255" s="25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</row>
    <row r="256" spans="1:57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25">
        <v>148</v>
      </c>
      <c r="AA256" s="25"/>
      <c r="AB256" s="25"/>
      <c r="AC256" s="25">
        <v>144</v>
      </c>
      <c r="AD256" s="25"/>
      <c r="AE256" s="25"/>
      <c r="AF256" s="30" t="s">
        <v>275</v>
      </c>
      <c r="AG256" s="30"/>
      <c r="AH256" s="30"/>
      <c r="AI256" s="25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</row>
    <row r="257" spans="1: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25">
        <v>149</v>
      </c>
      <c r="AA257" s="25"/>
      <c r="AB257" s="25"/>
      <c r="AC257" s="25">
        <v>144</v>
      </c>
      <c r="AD257" s="25"/>
      <c r="AE257" s="25"/>
      <c r="AF257" s="30" t="s">
        <v>276</v>
      </c>
      <c r="AG257" s="30"/>
      <c r="AH257" s="30"/>
      <c r="AI257" s="25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</row>
    <row r="258" spans="1:57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25">
        <v>150</v>
      </c>
      <c r="AA258" s="25"/>
      <c r="AB258" s="25"/>
      <c r="AC258" s="25"/>
      <c r="AD258" s="25"/>
      <c r="AE258" s="25"/>
      <c r="AF258" s="30" t="s">
        <v>277</v>
      </c>
      <c r="AG258" s="30"/>
      <c r="AH258" s="30"/>
      <c r="AI258" s="25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</row>
    <row r="259" spans="1:57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25">
        <v>151</v>
      </c>
      <c r="AA259" s="25"/>
      <c r="AB259" s="25"/>
      <c r="AC259" s="25">
        <v>150</v>
      </c>
      <c r="AD259" s="25"/>
      <c r="AE259" s="25"/>
      <c r="AF259" s="30" t="s">
        <v>278</v>
      </c>
      <c r="AG259" s="30"/>
      <c r="AH259" s="30"/>
      <c r="AI259" s="25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</row>
    <row r="260" spans="1:57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25">
        <v>152</v>
      </c>
      <c r="AA260" s="25"/>
      <c r="AB260" s="25"/>
      <c r="AC260" s="25">
        <v>150</v>
      </c>
      <c r="AD260" s="25"/>
      <c r="AE260" s="25"/>
      <c r="AF260" s="30" t="s">
        <v>279</v>
      </c>
      <c r="AG260" s="30"/>
      <c r="AH260" s="30"/>
      <c r="AI260" s="25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</row>
    <row r="261" spans="1:57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25">
        <v>153</v>
      </c>
      <c r="AA261" s="25"/>
      <c r="AB261" s="25"/>
      <c r="AC261" s="25">
        <v>150</v>
      </c>
      <c r="AD261" s="25"/>
      <c r="AE261" s="25"/>
      <c r="AF261" s="30" t="s">
        <v>280</v>
      </c>
      <c r="AG261" s="30"/>
      <c r="AH261" s="30"/>
      <c r="AI261" s="25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</row>
    <row r="262" spans="1:57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25">
        <v>154</v>
      </c>
      <c r="AA262" s="25"/>
      <c r="AB262" s="25"/>
      <c r="AC262" s="25">
        <v>150</v>
      </c>
      <c r="AD262" s="25"/>
      <c r="AE262" s="25"/>
      <c r="AF262" s="30" t="s">
        <v>281</v>
      </c>
      <c r="AG262" s="30"/>
      <c r="AH262" s="30"/>
      <c r="AI262" s="25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</row>
    <row r="263" spans="1:57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25">
        <v>155</v>
      </c>
      <c r="AA263" s="25"/>
      <c r="AB263" s="25"/>
      <c r="AC263" s="25">
        <v>150</v>
      </c>
      <c r="AD263" s="25"/>
      <c r="AE263" s="25"/>
      <c r="AF263" s="30" t="s">
        <v>282</v>
      </c>
      <c r="AG263" s="30"/>
      <c r="AH263" s="30"/>
      <c r="AI263" s="25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</row>
    <row r="264" spans="1:57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</row>
    <row r="265" spans="1:57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</row>
    <row r="266" spans="1:57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</row>
    <row r="267" ht="15" spans="1:57">
      <c r="A267" s="10"/>
      <c r="B267" s="10"/>
      <c r="C267" s="10"/>
      <c r="D267" s="10"/>
      <c r="E267" s="46" t="s">
        <v>283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24" t="s">
        <v>113</v>
      </c>
      <c r="AA267" s="24"/>
      <c r="AB267" s="24"/>
      <c r="AC267" s="24" t="s">
        <v>114</v>
      </c>
      <c r="AD267" s="24"/>
      <c r="AE267" s="24"/>
      <c r="AF267" s="24" t="s">
        <v>115</v>
      </c>
      <c r="AG267" s="24"/>
      <c r="AH267" s="24"/>
      <c r="AI267" s="24" t="s">
        <v>116</v>
      </c>
      <c r="AJ267" s="47" t="s">
        <v>284</v>
      </c>
      <c r="AK267" s="47"/>
      <c r="AL267" s="47"/>
      <c r="AM267" s="10"/>
      <c r="AN267" s="10"/>
      <c r="AO267" s="10"/>
      <c r="AP267" s="10"/>
      <c r="AQ267" s="49" t="s">
        <v>285</v>
      </c>
      <c r="AR267" s="49"/>
      <c r="AS267" s="50"/>
      <c r="AT267" s="50"/>
      <c r="AU267" s="50"/>
      <c r="AV267" s="50"/>
      <c r="AW267" s="10"/>
      <c r="AX267" s="10"/>
      <c r="AY267" s="10"/>
      <c r="AZ267" s="10"/>
      <c r="BA267" s="10"/>
      <c r="BB267" s="10"/>
      <c r="BC267" s="10"/>
      <c r="BD267" s="10"/>
      <c r="BE267" s="10"/>
    </row>
    <row r="268" ht="15" spans="1:57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25">
        <v>1</v>
      </c>
      <c r="AA268" s="25"/>
      <c r="AB268" s="25"/>
      <c r="AC268" s="26">
        <v>1</v>
      </c>
      <c r="AD268" s="25"/>
      <c r="AE268" s="25"/>
      <c r="AF268" s="25">
        <v>1</v>
      </c>
      <c r="AG268" s="25"/>
      <c r="AH268" s="25"/>
      <c r="AI268" s="30" t="s">
        <v>117</v>
      </c>
      <c r="AJ268" s="48" t="str">
        <f t="shared" ref="AJ268:AJ331" si="0">VLOOKUP(AC268,$Z$26:$AH$28,4,FALSE)</f>
        <v>運用会社管理</v>
      </c>
      <c r="AK268" s="10"/>
      <c r="AL268" s="10"/>
      <c r="AM268" s="10"/>
      <c r="AN268" s="10" t="str">
        <f t="shared" ref="AN268:AN331" si="1">IF(VLOOKUP(AF268,$Z$109:$AI$263,4,FALSE),"","|----")</f>
        <v>|----</v>
      </c>
      <c r="AO268" s="10" t="str">
        <f t="shared" ref="AO268:AO331" si="2">IF(VLOOKUP(AF268,$Z$109:$AI$263,4,FALSE),"|--","")</f>
        <v/>
      </c>
      <c r="AP268" s="10"/>
      <c r="AQ268" s="51" t="str">
        <f t="shared" ref="AQ268:AQ331" si="3">VLOOKUP(AF268,$Z$109:$AI$263,7,FALSE)</f>
        <v>ホーム</v>
      </c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</row>
    <row r="269" ht="15" spans="1:57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25">
        <v>2</v>
      </c>
      <c r="AA269" s="25"/>
      <c r="AB269" s="25"/>
      <c r="AC269" s="26">
        <v>1</v>
      </c>
      <c r="AD269" s="25"/>
      <c r="AE269" s="25"/>
      <c r="AF269" s="25">
        <v>2</v>
      </c>
      <c r="AG269" s="25"/>
      <c r="AH269" s="25"/>
      <c r="AI269" s="30" t="s">
        <v>117</v>
      </c>
      <c r="AJ269" s="48" t="str">
        <f t="shared" si="0"/>
        <v>運用会社管理</v>
      </c>
      <c r="AK269" s="10"/>
      <c r="AL269" s="10"/>
      <c r="AM269" s="10"/>
      <c r="AN269" s="10" t="str">
        <f t="shared" si="1"/>
        <v>|----</v>
      </c>
      <c r="AO269" s="10" t="str">
        <f t="shared" si="2"/>
        <v/>
      </c>
      <c r="AP269" s="10"/>
      <c r="AQ269" s="51" t="str">
        <f t="shared" si="3"/>
        <v>出荷</v>
      </c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</row>
    <row r="270" ht="15" spans="1:57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25">
        <v>3</v>
      </c>
      <c r="AA270" s="25"/>
      <c r="AB270" s="25"/>
      <c r="AC270" s="26">
        <v>1</v>
      </c>
      <c r="AD270" s="25"/>
      <c r="AE270" s="25"/>
      <c r="AF270" s="25">
        <v>3</v>
      </c>
      <c r="AG270" s="25"/>
      <c r="AH270" s="25"/>
      <c r="AI270" s="30" t="s">
        <v>117</v>
      </c>
      <c r="AJ270" s="48" t="str">
        <f t="shared" si="0"/>
        <v>運用会社管理</v>
      </c>
      <c r="AK270" s="10"/>
      <c r="AL270" s="10"/>
      <c r="AM270" s="10"/>
      <c r="AN270" s="10" t="str">
        <f t="shared" si="1"/>
        <v/>
      </c>
      <c r="AO270" s="10" t="str">
        <f t="shared" si="2"/>
        <v>|--</v>
      </c>
      <c r="AP270" s="10"/>
      <c r="AQ270" s="51" t="str">
        <f t="shared" si="3"/>
        <v>出荷指示データ取込（CSV）</v>
      </c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</row>
    <row r="271" ht="15" spans="1:57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25">
        <v>4</v>
      </c>
      <c r="AA271" s="25"/>
      <c r="AB271" s="25"/>
      <c r="AC271" s="26">
        <v>1</v>
      </c>
      <c r="AD271" s="25"/>
      <c r="AE271" s="25"/>
      <c r="AF271" s="25">
        <v>4</v>
      </c>
      <c r="AG271" s="25"/>
      <c r="AH271" s="25"/>
      <c r="AI271" s="30" t="s">
        <v>117</v>
      </c>
      <c r="AJ271" s="48" t="str">
        <f t="shared" si="0"/>
        <v>運用会社管理</v>
      </c>
      <c r="AK271" s="10"/>
      <c r="AL271" s="10"/>
      <c r="AM271" s="10"/>
      <c r="AN271" s="10" t="str">
        <f t="shared" si="1"/>
        <v/>
      </c>
      <c r="AO271" s="10" t="str">
        <f t="shared" si="2"/>
        <v>|--</v>
      </c>
      <c r="AP271" s="10"/>
      <c r="AQ271" s="51" t="str">
        <f t="shared" si="3"/>
        <v>出荷指示データ取込（API）</v>
      </c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</row>
    <row r="272" ht="15" spans="1:57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25">
        <v>5</v>
      </c>
      <c r="AA272" s="25"/>
      <c r="AB272" s="25"/>
      <c r="AC272" s="26">
        <v>1</v>
      </c>
      <c r="AD272" s="25"/>
      <c r="AE272" s="25"/>
      <c r="AF272" s="25">
        <v>5</v>
      </c>
      <c r="AG272" s="25"/>
      <c r="AH272" s="25"/>
      <c r="AI272" s="30" t="s">
        <v>117</v>
      </c>
      <c r="AJ272" s="48" t="str">
        <f t="shared" si="0"/>
        <v>運用会社管理</v>
      </c>
      <c r="AK272" s="10"/>
      <c r="AL272" s="10"/>
      <c r="AM272" s="10"/>
      <c r="AN272" s="10" t="str">
        <f t="shared" si="1"/>
        <v/>
      </c>
      <c r="AO272" s="10" t="str">
        <f t="shared" si="2"/>
        <v>|--</v>
      </c>
      <c r="AP272" s="10"/>
      <c r="AQ272" s="51" t="str">
        <f t="shared" si="3"/>
        <v>出荷指示照会</v>
      </c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</row>
    <row r="273" ht="15" spans="1:57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25">
        <v>6</v>
      </c>
      <c r="AA273" s="25"/>
      <c r="AB273" s="25"/>
      <c r="AC273" s="26">
        <v>1</v>
      </c>
      <c r="AD273" s="25"/>
      <c r="AE273" s="25"/>
      <c r="AF273" s="25">
        <v>6</v>
      </c>
      <c r="AG273" s="25"/>
      <c r="AH273" s="25"/>
      <c r="AI273" s="30" t="s">
        <v>117</v>
      </c>
      <c r="AJ273" s="48" t="str">
        <f t="shared" si="0"/>
        <v>運用会社管理</v>
      </c>
      <c r="AK273" s="10"/>
      <c r="AL273" s="10"/>
      <c r="AM273" s="10"/>
      <c r="AN273" s="10" t="str">
        <f t="shared" si="1"/>
        <v/>
      </c>
      <c r="AO273" s="10" t="str">
        <f t="shared" si="2"/>
        <v>|--</v>
      </c>
      <c r="AP273" s="10"/>
      <c r="AQ273" s="51" t="str">
        <f t="shared" si="3"/>
        <v>出荷指示入力</v>
      </c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</row>
    <row r="274" ht="15" spans="1:57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25">
        <v>7</v>
      </c>
      <c r="AA274" s="25"/>
      <c r="AB274" s="25"/>
      <c r="AC274" s="26">
        <v>1</v>
      </c>
      <c r="AD274" s="25"/>
      <c r="AE274" s="25"/>
      <c r="AF274" s="25">
        <v>7</v>
      </c>
      <c r="AG274" s="25"/>
      <c r="AH274" s="25"/>
      <c r="AI274" s="30" t="s">
        <v>117</v>
      </c>
      <c r="AJ274" s="48" t="str">
        <f t="shared" si="0"/>
        <v>運用会社管理</v>
      </c>
      <c r="AK274" s="10"/>
      <c r="AL274" s="10"/>
      <c r="AM274" s="10"/>
      <c r="AN274" s="10" t="str">
        <f t="shared" si="1"/>
        <v/>
      </c>
      <c r="AO274" s="10" t="str">
        <f t="shared" si="2"/>
        <v>|--</v>
      </c>
      <c r="AP274" s="10"/>
      <c r="AQ274" s="51" t="str">
        <f t="shared" si="3"/>
        <v>出荷指示削除</v>
      </c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</row>
    <row r="275" ht="15" spans="1:57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25">
        <v>8</v>
      </c>
      <c r="AA275" s="25"/>
      <c r="AB275" s="25"/>
      <c r="AC275" s="26">
        <v>1</v>
      </c>
      <c r="AD275" s="25"/>
      <c r="AE275" s="25"/>
      <c r="AF275" s="25">
        <v>8</v>
      </c>
      <c r="AG275" s="25"/>
      <c r="AH275" s="25"/>
      <c r="AI275" s="30" t="s">
        <v>117</v>
      </c>
      <c r="AJ275" s="48" t="str">
        <f t="shared" si="0"/>
        <v>運用会社管理</v>
      </c>
      <c r="AK275" s="10"/>
      <c r="AL275" s="10"/>
      <c r="AM275" s="10"/>
      <c r="AN275" s="10" t="str">
        <f t="shared" si="1"/>
        <v/>
      </c>
      <c r="AO275" s="10" t="str">
        <f t="shared" si="2"/>
        <v>|--</v>
      </c>
      <c r="AP275" s="10"/>
      <c r="AQ275" s="51" t="str">
        <f t="shared" si="3"/>
        <v>引当処理</v>
      </c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</row>
    <row r="276" ht="15" spans="1:57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25">
        <v>9</v>
      </c>
      <c r="AA276" s="25"/>
      <c r="AB276" s="25"/>
      <c r="AC276" s="26">
        <v>1</v>
      </c>
      <c r="AD276" s="25"/>
      <c r="AE276" s="25"/>
      <c r="AF276" s="25">
        <v>9</v>
      </c>
      <c r="AG276" s="25"/>
      <c r="AH276" s="25"/>
      <c r="AI276" s="30" t="s">
        <v>117</v>
      </c>
      <c r="AJ276" s="48" t="str">
        <f t="shared" si="0"/>
        <v>運用会社管理</v>
      </c>
      <c r="AK276" s="10"/>
      <c r="AL276" s="10"/>
      <c r="AM276" s="10"/>
      <c r="AN276" s="10" t="str">
        <f t="shared" si="1"/>
        <v/>
      </c>
      <c r="AO276" s="10" t="str">
        <f t="shared" si="2"/>
        <v>|--</v>
      </c>
      <c r="AP276" s="10"/>
      <c r="AQ276" s="51" t="str">
        <f t="shared" si="3"/>
        <v>引当修正</v>
      </c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</row>
    <row r="277" ht="15" spans="1:5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25">
        <v>10</v>
      </c>
      <c r="AA277" s="25"/>
      <c r="AB277" s="25"/>
      <c r="AC277" s="26">
        <v>1</v>
      </c>
      <c r="AD277" s="25"/>
      <c r="AE277" s="25"/>
      <c r="AF277" s="25">
        <v>10</v>
      </c>
      <c r="AG277" s="25"/>
      <c r="AH277" s="25"/>
      <c r="AI277" s="30" t="s">
        <v>117</v>
      </c>
      <c r="AJ277" s="48" t="str">
        <f t="shared" si="0"/>
        <v>運用会社管理</v>
      </c>
      <c r="AK277" s="10"/>
      <c r="AL277" s="10"/>
      <c r="AM277" s="10"/>
      <c r="AN277" s="10" t="str">
        <f t="shared" si="1"/>
        <v/>
      </c>
      <c r="AO277" s="10" t="str">
        <f t="shared" si="2"/>
        <v>|--</v>
      </c>
      <c r="AP277" s="10"/>
      <c r="AQ277" s="51" t="str">
        <f t="shared" si="3"/>
        <v>欠品明細照会</v>
      </c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</row>
    <row r="278" ht="15" spans="1:57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25">
        <v>11</v>
      </c>
      <c r="AA278" s="25"/>
      <c r="AB278" s="25"/>
      <c r="AC278" s="26">
        <v>1</v>
      </c>
      <c r="AD278" s="25"/>
      <c r="AE278" s="25"/>
      <c r="AF278" s="25">
        <v>11</v>
      </c>
      <c r="AG278" s="25"/>
      <c r="AH278" s="25"/>
      <c r="AI278" s="30" t="s">
        <v>117</v>
      </c>
      <c r="AJ278" s="48" t="str">
        <f t="shared" si="0"/>
        <v>運用会社管理</v>
      </c>
      <c r="AK278" s="10"/>
      <c r="AL278" s="10"/>
      <c r="AM278" s="10"/>
      <c r="AN278" s="10" t="str">
        <f t="shared" si="1"/>
        <v/>
      </c>
      <c r="AO278" s="10" t="str">
        <f t="shared" si="2"/>
        <v>|--</v>
      </c>
      <c r="AP278" s="10"/>
      <c r="AQ278" s="51" t="str">
        <f t="shared" si="3"/>
        <v>欠品伝票照会</v>
      </c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</row>
    <row r="279" ht="15" spans="1:57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25">
        <v>12</v>
      </c>
      <c r="AA279" s="25"/>
      <c r="AB279" s="25"/>
      <c r="AC279" s="26">
        <v>1</v>
      </c>
      <c r="AD279" s="25"/>
      <c r="AE279" s="25"/>
      <c r="AF279" s="25">
        <v>12</v>
      </c>
      <c r="AG279" s="25"/>
      <c r="AH279" s="25"/>
      <c r="AI279" s="30" t="s">
        <v>117</v>
      </c>
      <c r="AJ279" s="48" t="str">
        <f t="shared" si="0"/>
        <v>運用会社管理</v>
      </c>
      <c r="AK279" s="10"/>
      <c r="AL279" s="10"/>
      <c r="AM279" s="10"/>
      <c r="AN279" s="10" t="str">
        <f t="shared" si="1"/>
        <v/>
      </c>
      <c r="AO279" s="10" t="str">
        <f t="shared" si="2"/>
        <v>|--</v>
      </c>
      <c r="AP279" s="10"/>
      <c r="AQ279" s="51" t="str">
        <f t="shared" si="3"/>
        <v>ピッキングリスト（トータル）</v>
      </c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</row>
    <row r="280" ht="15" spans="1:57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25">
        <v>13</v>
      </c>
      <c r="AA280" s="25"/>
      <c r="AB280" s="25"/>
      <c r="AC280" s="26">
        <v>1</v>
      </c>
      <c r="AD280" s="25"/>
      <c r="AE280" s="25"/>
      <c r="AF280" s="25">
        <v>13</v>
      </c>
      <c r="AG280" s="25"/>
      <c r="AH280" s="25"/>
      <c r="AI280" s="30" t="s">
        <v>117</v>
      </c>
      <c r="AJ280" s="48" t="str">
        <f t="shared" si="0"/>
        <v>運用会社管理</v>
      </c>
      <c r="AK280" s="10"/>
      <c r="AL280" s="10"/>
      <c r="AM280" s="10"/>
      <c r="AN280" s="10" t="str">
        <f t="shared" si="1"/>
        <v/>
      </c>
      <c r="AO280" s="10" t="str">
        <f t="shared" si="2"/>
        <v>|--</v>
      </c>
      <c r="AP280" s="10"/>
      <c r="AQ280" s="51" t="str">
        <f t="shared" si="3"/>
        <v>ピッキングリスト（シングル）</v>
      </c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</row>
    <row r="281" ht="15" spans="1:57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25">
        <v>14</v>
      </c>
      <c r="AA281" s="25"/>
      <c r="AB281" s="25"/>
      <c r="AC281" s="26">
        <v>1</v>
      </c>
      <c r="AD281" s="25"/>
      <c r="AE281" s="25"/>
      <c r="AF281" s="25">
        <v>14</v>
      </c>
      <c r="AG281" s="25"/>
      <c r="AH281" s="25"/>
      <c r="AI281" s="30" t="s">
        <v>117</v>
      </c>
      <c r="AJ281" s="48" t="str">
        <f t="shared" si="0"/>
        <v>運用会社管理</v>
      </c>
      <c r="AK281" s="10"/>
      <c r="AL281" s="10"/>
      <c r="AM281" s="10"/>
      <c r="AN281" s="10" t="str">
        <f t="shared" si="1"/>
        <v/>
      </c>
      <c r="AO281" s="10" t="str">
        <f t="shared" si="2"/>
        <v>|--</v>
      </c>
      <c r="AP281" s="10"/>
      <c r="AQ281" s="51" t="str">
        <f t="shared" si="3"/>
        <v>出庫入力</v>
      </c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</row>
    <row r="282" ht="15" spans="1:57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25">
        <v>15</v>
      </c>
      <c r="AA282" s="25"/>
      <c r="AB282" s="25"/>
      <c r="AC282" s="26">
        <v>1</v>
      </c>
      <c r="AD282" s="25"/>
      <c r="AE282" s="25"/>
      <c r="AF282" s="25">
        <v>15</v>
      </c>
      <c r="AG282" s="25"/>
      <c r="AH282" s="25"/>
      <c r="AI282" s="30" t="s">
        <v>117</v>
      </c>
      <c r="AJ282" s="48" t="str">
        <f t="shared" si="0"/>
        <v>運用会社管理</v>
      </c>
      <c r="AK282" s="10"/>
      <c r="AL282" s="10"/>
      <c r="AM282" s="10"/>
      <c r="AN282" s="10" t="str">
        <f t="shared" si="1"/>
        <v/>
      </c>
      <c r="AO282" s="10" t="str">
        <f t="shared" si="2"/>
        <v>|--</v>
      </c>
      <c r="AP282" s="10"/>
      <c r="AQ282" s="51" t="str">
        <f t="shared" si="3"/>
        <v>出庫削除</v>
      </c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</row>
    <row r="283" ht="15" spans="1:57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25">
        <v>16</v>
      </c>
      <c r="AA283" s="25"/>
      <c r="AB283" s="25"/>
      <c r="AC283" s="26">
        <v>1</v>
      </c>
      <c r="AD283" s="25"/>
      <c r="AE283" s="25"/>
      <c r="AF283" s="25">
        <v>16</v>
      </c>
      <c r="AG283" s="25"/>
      <c r="AH283" s="25"/>
      <c r="AI283" s="30" t="s">
        <v>117</v>
      </c>
      <c r="AJ283" s="48" t="str">
        <f t="shared" si="0"/>
        <v>運用会社管理</v>
      </c>
      <c r="AK283" s="10"/>
      <c r="AL283" s="10"/>
      <c r="AM283" s="10"/>
      <c r="AN283" s="10" t="str">
        <f t="shared" si="1"/>
        <v/>
      </c>
      <c r="AO283" s="10" t="str">
        <f t="shared" si="2"/>
        <v>|--</v>
      </c>
      <c r="AP283" s="10"/>
      <c r="AQ283" s="51" t="str">
        <f t="shared" si="3"/>
        <v>出庫照会</v>
      </c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</row>
    <row r="284" ht="15" spans="1:57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25">
        <v>17</v>
      </c>
      <c r="AA284" s="25"/>
      <c r="AB284" s="25"/>
      <c r="AC284" s="26">
        <v>1</v>
      </c>
      <c r="AD284" s="25"/>
      <c r="AE284" s="25"/>
      <c r="AF284" s="25">
        <v>17</v>
      </c>
      <c r="AG284" s="25"/>
      <c r="AH284" s="25"/>
      <c r="AI284" s="30" t="s">
        <v>117</v>
      </c>
      <c r="AJ284" s="48" t="str">
        <f t="shared" si="0"/>
        <v>運用会社管理</v>
      </c>
      <c r="AK284" s="10"/>
      <c r="AL284" s="10"/>
      <c r="AM284" s="10"/>
      <c r="AN284" s="10" t="str">
        <f t="shared" si="1"/>
        <v/>
      </c>
      <c r="AO284" s="10" t="str">
        <f t="shared" si="2"/>
        <v>|--</v>
      </c>
      <c r="AP284" s="10"/>
      <c r="AQ284" s="51" t="str">
        <f t="shared" si="3"/>
        <v>出荷検品</v>
      </c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</row>
    <row r="285" ht="15" spans="1:57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25">
        <v>18</v>
      </c>
      <c r="AA285" s="25"/>
      <c r="AB285" s="25"/>
      <c r="AC285" s="26">
        <v>1</v>
      </c>
      <c r="AD285" s="25"/>
      <c r="AE285" s="25"/>
      <c r="AF285" s="25">
        <v>18</v>
      </c>
      <c r="AG285" s="25"/>
      <c r="AH285" s="25"/>
      <c r="AI285" s="30" t="s">
        <v>117</v>
      </c>
      <c r="AJ285" s="48" t="str">
        <f t="shared" si="0"/>
        <v>運用会社管理</v>
      </c>
      <c r="AK285" s="10"/>
      <c r="AL285" s="10"/>
      <c r="AM285" s="10"/>
      <c r="AN285" s="10" t="str">
        <f t="shared" si="1"/>
        <v/>
      </c>
      <c r="AO285" s="10" t="str">
        <f t="shared" si="2"/>
        <v>|--</v>
      </c>
      <c r="AP285" s="10"/>
      <c r="AQ285" s="51" t="str">
        <f t="shared" si="3"/>
        <v>出荷一括検品</v>
      </c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</row>
    <row r="286" ht="15" spans="1:57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25">
        <v>19</v>
      </c>
      <c r="AA286" s="25"/>
      <c r="AB286" s="25"/>
      <c r="AC286" s="26">
        <v>1</v>
      </c>
      <c r="AD286" s="25"/>
      <c r="AE286" s="25"/>
      <c r="AF286" s="25">
        <v>19</v>
      </c>
      <c r="AG286" s="25"/>
      <c r="AH286" s="25"/>
      <c r="AI286" s="30" t="s">
        <v>117</v>
      </c>
      <c r="AJ286" s="48" t="str">
        <f t="shared" si="0"/>
        <v>運用会社管理</v>
      </c>
      <c r="AK286" s="10"/>
      <c r="AL286" s="10"/>
      <c r="AM286" s="10"/>
      <c r="AN286" s="10" t="str">
        <f t="shared" si="1"/>
        <v/>
      </c>
      <c r="AO286" s="10" t="str">
        <f t="shared" si="2"/>
        <v>|--</v>
      </c>
      <c r="AP286" s="10"/>
      <c r="AQ286" s="51" t="str">
        <f t="shared" si="3"/>
        <v>納品書</v>
      </c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</row>
    <row r="287" ht="15" spans="1:5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25">
        <v>20</v>
      </c>
      <c r="AA287" s="25"/>
      <c r="AB287" s="25"/>
      <c r="AC287" s="26">
        <v>1</v>
      </c>
      <c r="AD287" s="25"/>
      <c r="AE287" s="25"/>
      <c r="AF287" s="25">
        <v>20</v>
      </c>
      <c r="AG287" s="25"/>
      <c r="AH287" s="25"/>
      <c r="AI287" s="30" t="s">
        <v>117</v>
      </c>
      <c r="AJ287" s="48" t="str">
        <f t="shared" si="0"/>
        <v>運用会社管理</v>
      </c>
      <c r="AK287" s="10"/>
      <c r="AL287" s="10"/>
      <c r="AM287" s="10"/>
      <c r="AN287" s="10" t="str">
        <f t="shared" si="1"/>
        <v/>
      </c>
      <c r="AO287" s="10" t="str">
        <f t="shared" si="2"/>
        <v>|--</v>
      </c>
      <c r="AP287" s="10"/>
      <c r="AQ287" s="51" t="str">
        <f t="shared" si="3"/>
        <v>梱包</v>
      </c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</row>
    <row r="288" ht="15" spans="1:57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25">
        <v>21</v>
      </c>
      <c r="AA288" s="25"/>
      <c r="AB288" s="25"/>
      <c r="AC288" s="26">
        <v>1</v>
      </c>
      <c r="AD288" s="25"/>
      <c r="AE288" s="25"/>
      <c r="AF288" s="25">
        <v>21</v>
      </c>
      <c r="AG288" s="25"/>
      <c r="AH288" s="25"/>
      <c r="AI288" s="30" t="s">
        <v>117</v>
      </c>
      <c r="AJ288" s="48" t="str">
        <f t="shared" si="0"/>
        <v>運用会社管理</v>
      </c>
      <c r="AK288" s="10"/>
      <c r="AL288" s="10"/>
      <c r="AM288" s="10"/>
      <c r="AN288" s="10" t="str">
        <f t="shared" si="1"/>
        <v/>
      </c>
      <c r="AO288" s="10" t="str">
        <f t="shared" si="2"/>
        <v>|--</v>
      </c>
      <c r="AP288" s="10"/>
      <c r="AQ288" s="51" t="str">
        <f t="shared" si="3"/>
        <v>出荷ラベル</v>
      </c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</row>
    <row r="289" ht="15" spans="1:57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25">
        <v>22</v>
      </c>
      <c r="AA289" s="25"/>
      <c r="AB289" s="25"/>
      <c r="AC289" s="26">
        <v>1</v>
      </c>
      <c r="AD289" s="25"/>
      <c r="AE289" s="25"/>
      <c r="AF289" s="25">
        <v>22</v>
      </c>
      <c r="AG289" s="25"/>
      <c r="AH289" s="25"/>
      <c r="AI289" s="30" t="s">
        <v>117</v>
      </c>
      <c r="AJ289" s="48" t="str">
        <f t="shared" si="0"/>
        <v>運用会社管理</v>
      </c>
      <c r="AK289" s="10"/>
      <c r="AL289" s="10"/>
      <c r="AM289" s="10"/>
      <c r="AN289" s="10" t="str">
        <f t="shared" si="1"/>
        <v/>
      </c>
      <c r="AO289" s="10" t="str">
        <f t="shared" si="2"/>
        <v>|--</v>
      </c>
      <c r="AP289" s="10"/>
      <c r="AQ289" s="51" t="str">
        <f t="shared" si="3"/>
        <v>送り状データ取込（CSV）</v>
      </c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</row>
    <row r="290" ht="15" spans="1:57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25">
        <v>23</v>
      </c>
      <c r="AA290" s="25"/>
      <c r="AB290" s="25"/>
      <c r="AC290" s="26">
        <v>1</v>
      </c>
      <c r="AD290" s="25"/>
      <c r="AE290" s="25"/>
      <c r="AF290" s="25">
        <v>23</v>
      </c>
      <c r="AG290" s="25"/>
      <c r="AH290" s="25"/>
      <c r="AI290" s="30" t="s">
        <v>117</v>
      </c>
      <c r="AJ290" s="48" t="str">
        <f t="shared" si="0"/>
        <v>運用会社管理</v>
      </c>
      <c r="AK290" s="10"/>
      <c r="AL290" s="10"/>
      <c r="AM290" s="10"/>
      <c r="AN290" s="10" t="str">
        <f t="shared" si="1"/>
        <v/>
      </c>
      <c r="AO290" s="10" t="str">
        <f t="shared" si="2"/>
        <v>|--</v>
      </c>
      <c r="AP290" s="10"/>
      <c r="AQ290" s="51" t="str">
        <f t="shared" si="3"/>
        <v>送り状データ取込（API）</v>
      </c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</row>
    <row r="291" ht="15" spans="1:57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25">
        <v>24</v>
      </c>
      <c r="AA291" s="25"/>
      <c r="AB291" s="25"/>
      <c r="AC291" s="26">
        <v>1</v>
      </c>
      <c r="AD291" s="25"/>
      <c r="AE291" s="25"/>
      <c r="AF291" s="25">
        <v>24</v>
      </c>
      <c r="AG291" s="25"/>
      <c r="AH291" s="25"/>
      <c r="AI291" s="30" t="s">
        <v>117</v>
      </c>
      <c r="AJ291" s="48" t="str">
        <f t="shared" si="0"/>
        <v>運用会社管理</v>
      </c>
      <c r="AK291" s="10"/>
      <c r="AL291" s="10"/>
      <c r="AM291" s="10"/>
      <c r="AN291" s="10" t="str">
        <f t="shared" si="1"/>
        <v/>
      </c>
      <c r="AO291" s="10" t="str">
        <f t="shared" si="2"/>
        <v>|--</v>
      </c>
      <c r="AP291" s="10"/>
      <c r="AQ291" s="51" t="str">
        <f t="shared" si="3"/>
        <v>送り状データ出力（CSV）</v>
      </c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</row>
    <row r="292" ht="15" spans="1:57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25">
        <v>25</v>
      </c>
      <c r="AA292" s="25"/>
      <c r="AB292" s="25"/>
      <c r="AC292" s="26">
        <v>1</v>
      </c>
      <c r="AD292" s="25"/>
      <c r="AE292" s="25"/>
      <c r="AF292" s="25">
        <v>25</v>
      </c>
      <c r="AG292" s="25"/>
      <c r="AH292" s="25"/>
      <c r="AI292" s="30" t="s">
        <v>117</v>
      </c>
      <c r="AJ292" s="48" t="str">
        <f t="shared" si="0"/>
        <v>運用会社管理</v>
      </c>
      <c r="AK292" s="10"/>
      <c r="AL292" s="10"/>
      <c r="AM292" s="10"/>
      <c r="AN292" s="10" t="str">
        <f t="shared" si="1"/>
        <v/>
      </c>
      <c r="AO292" s="10" t="str">
        <f t="shared" si="2"/>
        <v>|--</v>
      </c>
      <c r="AP292" s="10"/>
      <c r="AQ292" s="51" t="str">
        <f t="shared" si="3"/>
        <v>送り状データ出力（API）</v>
      </c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</row>
    <row r="293" ht="15" spans="1:57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25">
        <v>26</v>
      </c>
      <c r="AA293" s="25"/>
      <c r="AB293" s="25"/>
      <c r="AC293" s="26">
        <v>1</v>
      </c>
      <c r="AD293" s="25"/>
      <c r="AE293" s="25"/>
      <c r="AF293" s="25">
        <v>26</v>
      </c>
      <c r="AG293" s="25"/>
      <c r="AH293" s="25"/>
      <c r="AI293" s="30" t="s">
        <v>117</v>
      </c>
      <c r="AJ293" s="48" t="str">
        <f t="shared" si="0"/>
        <v>運用会社管理</v>
      </c>
      <c r="AK293" s="10"/>
      <c r="AL293" s="10"/>
      <c r="AM293" s="10"/>
      <c r="AN293" s="10" t="str">
        <f t="shared" si="1"/>
        <v/>
      </c>
      <c r="AO293" s="10" t="str">
        <f t="shared" si="2"/>
        <v>|--</v>
      </c>
      <c r="AP293" s="10"/>
      <c r="AQ293" s="51" t="str">
        <f t="shared" si="3"/>
        <v>出荷確定</v>
      </c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</row>
    <row r="294" ht="15" spans="1:57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25">
        <v>27</v>
      </c>
      <c r="AA294" s="25"/>
      <c r="AB294" s="25"/>
      <c r="AC294" s="26">
        <v>1</v>
      </c>
      <c r="AD294" s="25"/>
      <c r="AE294" s="25"/>
      <c r="AF294" s="25">
        <v>27</v>
      </c>
      <c r="AG294" s="25"/>
      <c r="AH294" s="25"/>
      <c r="AI294" s="30" t="s">
        <v>117</v>
      </c>
      <c r="AJ294" s="48" t="str">
        <f t="shared" si="0"/>
        <v>運用会社管理</v>
      </c>
      <c r="AK294" s="10"/>
      <c r="AL294" s="10"/>
      <c r="AM294" s="10"/>
      <c r="AN294" s="10" t="str">
        <f t="shared" si="1"/>
        <v/>
      </c>
      <c r="AO294" s="10" t="str">
        <f t="shared" si="2"/>
        <v>|--</v>
      </c>
      <c r="AP294" s="10"/>
      <c r="AQ294" s="51" t="str">
        <f t="shared" si="3"/>
        <v>出荷確定取消</v>
      </c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</row>
    <row r="295" ht="15" spans="1:57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25">
        <v>28</v>
      </c>
      <c r="AA295" s="25"/>
      <c r="AB295" s="25"/>
      <c r="AC295" s="26">
        <v>1</v>
      </c>
      <c r="AD295" s="25"/>
      <c r="AE295" s="25"/>
      <c r="AF295" s="25">
        <v>28</v>
      </c>
      <c r="AG295" s="25"/>
      <c r="AH295" s="25"/>
      <c r="AI295" s="30" t="s">
        <v>117</v>
      </c>
      <c r="AJ295" s="48" t="str">
        <f t="shared" si="0"/>
        <v>運用会社管理</v>
      </c>
      <c r="AK295" s="10"/>
      <c r="AL295" s="10"/>
      <c r="AM295" s="10"/>
      <c r="AN295" s="10" t="str">
        <f t="shared" si="1"/>
        <v/>
      </c>
      <c r="AO295" s="10" t="str">
        <f t="shared" si="2"/>
        <v>|--</v>
      </c>
      <c r="AP295" s="10"/>
      <c r="AQ295" s="51" t="str">
        <f t="shared" si="3"/>
        <v>出荷確定照会</v>
      </c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</row>
    <row r="296" ht="15" spans="1:57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25">
        <v>29</v>
      </c>
      <c r="AA296" s="25"/>
      <c r="AB296" s="25"/>
      <c r="AC296" s="26">
        <v>1</v>
      </c>
      <c r="AD296" s="25"/>
      <c r="AE296" s="25"/>
      <c r="AF296" s="25">
        <v>29</v>
      </c>
      <c r="AG296" s="25"/>
      <c r="AH296" s="25"/>
      <c r="AI296" s="30" t="s">
        <v>117</v>
      </c>
      <c r="AJ296" s="48" t="str">
        <f t="shared" si="0"/>
        <v>運用会社管理</v>
      </c>
      <c r="AK296" s="10"/>
      <c r="AL296" s="10"/>
      <c r="AM296" s="10"/>
      <c r="AN296" s="10" t="str">
        <f t="shared" si="1"/>
        <v/>
      </c>
      <c r="AO296" s="10" t="str">
        <f t="shared" si="2"/>
        <v>|--</v>
      </c>
      <c r="AP296" s="10"/>
      <c r="AQ296" s="51" t="str">
        <f t="shared" si="3"/>
        <v>出荷確定データ出力（CSV）</v>
      </c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</row>
    <row r="297" ht="15" spans="1:5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25">
        <v>30</v>
      </c>
      <c r="AA297" s="25"/>
      <c r="AB297" s="25"/>
      <c r="AC297" s="26">
        <v>1</v>
      </c>
      <c r="AD297" s="25"/>
      <c r="AE297" s="25"/>
      <c r="AF297" s="25">
        <v>30</v>
      </c>
      <c r="AG297" s="25"/>
      <c r="AH297" s="25"/>
      <c r="AI297" s="30" t="s">
        <v>117</v>
      </c>
      <c r="AJ297" s="48" t="str">
        <f t="shared" si="0"/>
        <v>運用会社管理</v>
      </c>
      <c r="AK297" s="10"/>
      <c r="AL297" s="10"/>
      <c r="AM297" s="10"/>
      <c r="AN297" s="10" t="str">
        <f t="shared" si="1"/>
        <v/>
      </c>
      <c r="AO297" s="10" t="str">
        <f t="shared" si="2"/>
        <v>|--</v>
      </c>
      <c r="AP297" s="10"/>
      <c r="AQ297" s="51" t="str">
        <f t="shared" si="3"/>
        <v>出荷確定データ出力（API）</v>
      </c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</row>
    <row r="298" ht="15" spans="1:57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25">
        <v>31</v>
      </c>
      <c r="AA298" s="25"/>
      <c r="AB298" s="25"/>
      <c r="AC298" s="26">
        <v>1</v>
      </c>
      <c r="AD298" s="25"/>
      <c r="AE298" s="25"/>
      <c r="AF298" s="25">
        <v>31</v>
      </c>
      <c r="AG298" s="25"/>
      <c r="AH298" s="25"/>
      <c r="AI298" s="30" t="s">
        <v>117</v>
      </c>
      <c r="AJ298" s="48" t="str">
        <f t="shared" si="0"/>
        <v>運用会社管理</v>
      </c>
      <c r="AK298" s="10"/>
      <c r="AL298" s="10"/>
      <c r="AM298" s="10"/>
      <c r="AN298" s="10" t="str">
        <f t="shared" si="1"/>
        <v/>
      </c>
      <c r="AO298" s="10" t="str">
        <f t="shared" si="2"/>
        <v>|--</v>
      </c>
      <c r="AP298" s="10"/>
      <c r="AQ298" s="51" t="str">
        <f t="shared" si="3"/>
        <v>出荷状況照会（取引先用）</v>
      </c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</row>
    <row r="299" ht="15" spans="1:57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25">
        <v>32</v>
      </c>
      <c r="AA299" s="25"/>
      <c r="AB299" s="25"/>
      <c r="AC299" s="26">
        <v>1</v>
      </c>
      <c r="AD299" s="25"/>
      <c r="AE299" s="25"/>
      <c r="AF299" s="25">
        <v>32</v>
      </c>
      <c r="AG299" s="25"/>
      <c r="AH299" s="25"/>
      <c r="AI299" s="30" t="s">
        <v>117</v>
      </c>
      <c r="AJ299" s="48" t="str">
        <f t="shared" si="0"/>
        <v>運用会社管理</v>
      </c>
      <c r="AK299" s="10"/>
      <c r="AL299" s="10"/>
      <c r="AM299" s="10"/>
      <c r="AN299" s="10" t="str">
        <f t="shared" si="1"/>
        <v>|----</v>
      </c>
      <c r="AO299" s="10" t="str">
        <f t="shared" si="2"/>
        <v/>
      </c>
      <c r="AP299" s="10"/>
      <c r="AQ299" s="51" t="str">
        <f t="shared" si="3"/>
        <v>入荷</v>
      </c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</row>
    <row r="300" ht="15" spans="1:57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25">
        <v>33</v>
      </c>
      <c r="AA300" s="25"/>
      <c r="AB300" s="25"/>
      <c r="AC300" s="26">
        <v>1</v>
      </c>
      <c r="AD300" s="25"/>
      <c r="AE300" s="25"/>
      <c r="AF300" s="25">
        <v>33</v>
      </c>
      <c r="AG300" s="25"/>
      <c r="AH300" s="25"/>
      <c r="AI300" s="30" t="s">
        <v>117</v>
      </c>
      <c r="AJ300" s="48" t="str">
        <f t="shared" si="0"/>
        <v>運用会社管理</v>
      </c>
      <c r="AK300" s="10"/>
      <c r="AL300" s="10"/>
      <c r="AM300" s="10"/>
      <c r="AN300" s="10" t="str">
        <f t="shared" si="1"/>
        <v/>
      </c>
      <c r="AO300" s="10" t="str">
        <f t="shared" si="2"/>
        <v>|--</v>
      </c>
      <c r="AP300" s="10"/>
      <c r="AQ300" s="51" t="str">
        <f t="shared" si="3"/>
        <v>入荷予定データ取込（CSV）</v>
      </c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</row>
    <row r="301" ht="15" spans="1:57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25">
        <v>34</v>
      </c>
      <c r="AA301" s="25"/>
      <c r="AB301" s="25"/>
      <c r="AC301" s="26">
        <v>1</v>
      </c>
      <c r="AD301" s="25"/>
      <c r="AE301" s="25"/>
      <c r="AF301" s="25">
        <v>34</v>
      </c>
      <c r="AG301" s="25"/>
      <c r="AH301" s="25"/>
      <c r="AI301" s="30" t="s">
        <v>117</v>
      </c>
      <c r="AJ301" s="48" t="str">
        <f t="shared" si="0"/>
        <v>運用会社管理</v>
      </c>
      <c r="AK301" s="10"/>
      <c r="AL301" s="10"/>
      <c r="AM301" s="10"/>
      <c r="AN301" s="10" t="str">
        <f t="shared" si="1"/>
        <v/>
      </c>
      <c r="AO301" s="10" t="str">
        <f t="shared" si="2"/>
        <v>|--</v>
      </c>
      <c r="AP301" s="10"/>
      <c r="AQ301" s="51" t="str">
        <f t="shared" si="3"/>
        <v>入荷予定データ取込（API）</v>
      </c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</row>
    <row r="302" ht="15" spans="1:57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25">
        <v>35</v>
      </c>
      <c r="AA302" s="25"/>
      <c r="AB302" s="25"/>
      <c r="AC302" s="26">
        <v>1</v>
      </c>
      <c r="AD302" s="25"/>
      <c r="AE302" s="25"/>
      <c r="AF302" s="25">
        <v>35</v>
      </c>
      <c r="AG302" s="25"/>
      <c r="AH302" s="25"/>
      <c r="AI302" s="30" t="s">
        <v>117</v>
      </c>
      <c r="AJ302" s="48" t="str">
        <f t="shared" si="0"/>
        <v>運用会社管理</v>
      </c>
      <c r="AK302" s="10"/>
      <c r="AL302" s="10"/>
      <c r="AM302" s="10"/>
      <c r="AN302" s="10" t="str">
        <f t="shared" si="1"/>
        <v/>
      </c>
      <c r="AO302" s="10" t="str">
        <f t="shared" si="2"/>
        <v>|--</v>
      </c>
      <c r="AP302" s="10"/>
      <c r="AQ302" s="51" t="str">
        <f t="shared" si="3"/>
        <v>入荷予定照会</v>
      </c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</row>
    <row r="303" ht="15" spans="1:57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25">
        <v>36</v>
      </c>
      <c r="AA303" s="25"/>
      <c r="AB303" s="25"/>
      <c r="AC303" s="26">
        <v>1</v>
      </c>
      <c r="AD303" s="25"/>
      <c r="AE303" s="25"/>
      <c r="AF303" s="25">
        <v>36</v>
      </c>
      <c r="AG303" s="25"/>
      <c r="AH303" s="25"/>
      <c r="AI303" s="30" t="s">
        <v>117</v>
      </c>
      <c r="AJ303" s="48" t="str">
        <f t="shared" si="0"/>
        <v>運用会社管理</v>
      </c>
      <c r="AK303" s="10"/>
      <c r="AL303" s="10"/>
      <c r="AM303" s="10"/>
      <c r="AN303" s="10" t="str">
        <f t="shared" si="1"/>
        <v/>
      </c>
      <c r="AO303" s="10" t="str">
        <f t="shared" si="2"/>
        <v>|--</v>
      </c>
      <c r="AP303" s="10"/>
      <c r="AQ303" s="51" t="str">
        <f t="shared" si="3"/>
        <v>入荷予定入力</v>
      </c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</row>
    <row r="304" ht="15" spans="1:57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25">
        <v>37</v>
      </c>
      <c r="AA304" s="25"/>
      <c r="AB304" s="25"/>
      <c r="AC304" s="26">
        <v>1</v>
      </c>
      <c r="AD304" s="25"/>
      <c r="AE304" s="25"/>
      <c r="AF304" s="25">
        <v>37</v>
      </c>
      <c r="AG304" s="25"/>
      <c r="AH304" s="25"/>
      <c r="AI304" s="30" t="s">
        <v>117</v>
      </c>
      <c r="AJ304" s="48" t="str">
        <f t="shared" si="0"/>
        <v>運用会社管理</v>
      </c>
      <c r="AK304" s="10"/>
      <c r="AL304" s="10"/>
      <c r="AM304" s="10"/>
      <c r="AN304" s="10" t="str">
        <f t="shared" si="1"/>
        <v/>
      </c>
      <c r="AO304" s="10" t="str">
        <f t="shared" si="2"/>
        <v>|--</v>
      </c>
      <c r="AP304" s="10"/>
      <c r="AQ304" s="51" t="str">
        <f t="shared" si="3"/>
        <v>入荷予定削除</v>
      </c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</row>
    <row r="305" ht="15" spans="1:57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25">
        <v>38</v>
      </c>
      <c r="AA305" s="25"/>
      <c r="AB305" s="25"/>
      <c r="AC305" s="26">
        <v>1</v>
      </c>
      <c r="AD305" s="25"/>
      <c r="AE305" s="25"/>
      <c r="AF305" s="25">
        <v>38</v>
      </c>
      <c r="AG305" s="25"/>
      <c r="AH305" s="25"/>
      <c r="AI305" s="30" t="s">
        <v>117</v>
      </c>
      <c r="AJ305" s="48" t="str">
        <f t="shared" si="0"/>
        <v>運用会社管理</v>
      </c>
      <c r="AK305" s="10"/>
      <c r="AL305" s="10"/>
      <c r="AM305" s="10"/>
      <c r="AN305" s="10" t="str">
        <f t="shared" si="1"/>
        <v/>
      </c>
      <c r="AO305" s="10" t="str">
        <f t="shared" si="2"/>
        <v>|--</v>
      </c>
      <c r="AP305" s="10"/>
      <c r="AQ305" s="51" t="str">
        <f t="shared" si="3"/>
        <v>入荷検品</v>
      </c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</row>
    <row r="306" ht="15" spans="1:57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25">
        <v>39</v>
      </c>
      <c r="AA306" s="25"/>
      <c r="AB306" s="25"/>
      <c r="AC306" s="26">
        <v>1</v>
      </c>
      <c r="AD306" s="25"/>
      <c r="AE306" s="25"/>
      <c r="AF306" s="25">
        <v>39</v>
      </c>
      <c r="AG306" s="25"/>
      <c r="AH306" s="25"/>
      <c r="AI306" s="30" t="s">
        <v>117</v>
      </c>
      <c r="AJ306" s="48" t="str">
        <f t="shared" si="0"/>
        <v>運用会社管理</v>
      </c>
      <c r="AK306" s="10"/>
      <c r="AL306" s="10"/>
      <c r="AM306" s="10"/>
      <c r="AN306" s="10" t="str">
        <f t="shared" si="1"/>
        <v/>
      </c>
      <c r="AO306" s="10" t="str">
        <f t="shared" si="2"/>
        <v>|--</v>
      </c>
      <c r="AP306" s="10"/>
      <c r="AQ306" s="51" t="str">
        <f t="shared" si="3"/>
        <v>入荷一括検品</v>
      </c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</row>
    <row r="307" ht="15" spans="1:5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25">
        <v>40</v>
      </c>
      <c r="AA307" s="25"/>
      <c r="AB307" s="25"/>
      <c r="AC307" s="26">
        <v>1</v>
      </c>
      <c r="AD307" s="25"/>
      <c r="AE307" s="25"/>
      <c r="AF307" s="25">
        <v>40</v>
      </c>
      <c r="AG307" s="25"/>
      <c r="AH307" s="25"/>
      <c r="AI307" s="30" t="s">
        <v>117</v>
      </c>
      <c r="AJ307" s="48" t="str">
        <f t="shared" si="0"/>
        <v>運用会社管理</v>
      </c>
      <c r="AK307" s="10"/>
      <c r="AL307" s="10"/>
      <c r="AM307" s="10"/>
      <c r="AN307" s="10" t="str">
        <f t="shared" si="1"/>
        <v/>
      </c>
      <c r="AO307" s="10" t="str">
        <f t="shared" si="2"/>
        <v>|--</v>
      </c>
      <c r="AP307" s="10"/>
      <c r="AQ307" s="51" t="str">
        <f t="shared" si="3"/>
        <v>入庫入力</v>
      </c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</row>
    <row r="308" ht="15" spans="1:57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25">
        <v>41</v>
      </c>
      <c r="AA308" s="25"/>
      <c r="AB308" s="25"/>
      <c r="AC308" s="26">
        <v>1</v>
      </c>
      <c r="AD308" s="25"/>
      <c r="AE308" s="25"/>
      <c r="AF308" s="25">
        <v>41</v>
      </c>
      <c r="AG308" s="25"/>
      <c r="AH308" s="25"/>
      <c r="AI308" s="30" t="s">
        <v>117</v>
      </c>
      <c r="AJ308" s="48" t="str">
        <f t="shared" si="0"/>
        <v>運用会社管理</v>
      </c>
      <c r="AK308" s="10"/>
      <c r="AL308" s="10"/>
      <c r="AM308" s="10"/>
      <c r="AN308" s="10" t="str">
        <f t="shared" si="1"/>
        <v/>
      </c>
      <c r="AO308" s="10" t="str">
        <f t="shared" si="2"/>
        <v>|--</v>
      </c>
      <c r="AP308" s="10"/>
      <c r="AQ308" s="51" t="str">
        <f t="shared" si="3"/>
        <v>入庫削除</v>
      </c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</row>
    <row r="309" ht="15" spans="1:57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25">
        <v>42</v>
      </c>
      <c r="AA309" s="25"/>
      <c r="AB309" s="25"/>
      <c r="AC309" s="26">
        <v>1</v>
      </c>
      <c r="AD309" s="25"/>
      <c r="AE309" s="25"/>
      <c r="AF309" s="25">
        <v>42</v>
      </c>
      <c r="AG309" s="25"/>
      <c r="AH309" s="25"/>
      <c r="AI309" s="30" t="s">
        <v>117</v>
      </c>
      <c r="AJ309" s="48" t="str">
        <f t="shared" si="0"/>
        <v>運用会社管理</v>
      </c>
      <c r="AK309" s="10"/>
      <c r="AL309" s="10"/>
      <c r="AM309" s="10"/>
      <c r="AN309" s="10" t="str">
        <f t="shared" si="1"/>
        <v/>
      </c>
      <c r="AO309" s="10" t="str">
        <f t="shared" si="2"/>
        <v>|--</v>
      </c>
      <c r="AP309" s="10"/>
      <c r="AQ309" s="51" t="str">
        <f t="shared" si="3"/>
        <v>入庫照会</v>
      </c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</row>
    <row r="310" ht="15" spans="1:57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25">
        <v>43</v>
      </c>
      <c r="AA310" s="25"/>
      <c r="AB310" s="25"/>
      <c r="AC310" s="26">
        <v>1</v>
      </c>
      <c r="AD310" s="25"/>
      <c r="AE310" s="25"/>
      <c r="AF310" s="25">
        <v>43</v>
      </c>
      <c r="AG310" s="25"/>
      <c r="AH310" s="25"/>
      <c r="AI310" s="30" t="s">
        <v>117</v>
      </c>
      <c r="AJ310" s="48" t="str">
        <f t="shared" si="0"/>
        <v>運用会社管理</v>
      </c>
      <c r="AK310" s="10"/>
      <c r="AL310" s="10"/>
      <c r="AM310" s="10"/>
      <c r="AN310" s="10" t="str">
        <f t="shared" si="1"/>
        <v/>
      </c>
      <c r="AO310" s="10" t="str">
        <f t="shared" si="2"/>
        <v>|--</v>
      </c>
      <c r="AP310" s="10"/>
      <c r="AQ310" s="51" t="str">
        <f t="shared" si="3"/>
        <v>入庫ラベル</v>
      </c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</row>
    <row r="311" ht="15" spans="1:57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25">
        <v>44</v>
      </c>
      <c r="AA311" s="25"/>
      <c r="AB311" s="25"/>
      <c r="AC311" s="26">
        <v>1</v>
      </c>
      <c r="AD311" s="25"/>
      <c r="AE311" s="25"/>
      <c r="AF311" s="25">
        <v>44</v>
      </c>
      <c r="AG311" s="25"/>
      <c r="AH311" s="25"/>
      <c r="AI311" s="30" t="s">
        <v>117</v>
      </c>
      <c r="AJ311" s="48" t="str">
        <f t="shared" si="0"/>
        <v>運用会社管理</v>
      </c>
      <c r="AK311" s="10"/>
      <c r="AL311" s="10"/>
      <c r="AM311" s="10"/>
      <c r="AN311" s="10" t="str">
        <f t="shared" si="1"/>
        <v/>
      </c>
      <c r="AO311" s="10" t="str">
        <f t="shared" si="2"/>
        <v>|--</v>
      </c>
      <c r="AP311" s="10"/>
      <c r="AQ311" s="51" t="str">
        <f t="shared" si="3"/>
        <v>入荷確定</v>
      </c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</row>
    <row r="312" ht="15" spans="1:57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25">
        <v>45</v>
      </c>
      <c r="AA312" s="25"/>
      <c r="AB312" s="25"/>
      <c r="AC312" s="26">
        <v>1</v>
      </c>
      <c r="AD312" s="25"/>
      <c r="AE312" s="25"/>
      <c r="AF312" s="25">
        <v>45</v>
      </c>
      <c r="AG312" s="25"/>
      <c r="AH312" s="25"/>
      <c r="AI312" s="30" t="s">
        <v>117</v>
      </c>
      <c r="AJ312" s="48" t="str">
        <f t="shared" si="0"/>
        <v>運用会社管理</v>
      </c>
      <c r="AK312" s="10"/>
      <c r="AL312" s="10"/>
      <c r="AM312" s="10"/>
      <c r="AN312" s="10" t="str">
        <f t="shared" si="1"/>
        <v/>
      </c>
      <c r="AO312" s="10" t="str">
        <f t="shared" si="2"/>
        <v>|--</v>
      </c>
      <c r="AP312" s="10"/>
      <c r="AQ312" s="51" t="str">
        <f t="shared" si="3"/>
        <v>入荷確定取消</v>
      </c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</row>
    <row r="313" ht="15" spans="1:57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25">
        <v>46</v>
      </c>
      <c r="AA313" s="25"/>
      <c r="AB313" s="25"/>
      <c r="AC313" s="26">
        <v>1</v>
      </c>
      <c r="AD313" s="25"/>
      <c r="AE313" s="25"/>
      <c r="AF313" s="25">
        <v>46</v>
      </c>
      <c r="AG313" s="25"/>
      <c r="AH313" s="25"/>
      <c r="AI313" s="30" t="s">
        <v>117</v>
      </c>
      <c r="AJ313" s="48" t="str">
        <f t="shared" si="0"/>
        <v>運用会社管理</v>
      </c>
      <c r="AK313" s="10"/>
      <c r="AL313" s="10"/>
      <c r="AM313" s="10"/>
      <c r="AN313" s="10" t="str">
        <f t="shared" si="1"/>
        <v/>
      </c>
      <c r="AO313" s="10" t="str">
        <f t="shared" si="2"/>
        <v>|--</v>
      </c>
      <c r="AP313" s="10"/>
      <c r="AQ313" s="51" t="str">
        <f t="shared" si="3"/>
        <v>入荷確定照会</v>
      </c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</row>
    <row r="314" ht="15" spans="1:57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25">
        <v>47</v>
      </c>
      <c r="AA314" s="25"/>
      <c r="AB314" s="25"/>
      <c r="AC314" s="26">
        <v>1</v>
      </c>
      <c r="AD314" s="25"/>
      <c r="AE314" s="25"/>
      <c r="AF314" s="25">
        <v>47</v>
      </c>
      <c r="AG314" s="25"/>
      <c r="AH314" s="25"/>
      <c r="AI314" s="30" t="s">
        <v>117</v>
      </c>
      <c r="AJ314" s="48" t="str">
        <f t="shared" si="0"/>
        <v>運用会社管理</v>
      </c>
      <c r="AK314" s="10"/>
      <c r="AL314" s="10"/>
      <c r="AM314" s="10"/>
      <c r="AN314" s="10" t="str">
        <f t="shared" si="1"/>
        <v/>
      </c>
      <c r="AO314" s="10" t="str">
        <f t="shared" si="2"/>
        <v>|--</v>
      </c>
      <c r="AP314" s="10"/>
      <c r="AQ314" s="51" t="str">
        <f t="shared" si="3"/>
        <v>入荷確定データ出力（CSV）</v>
      </c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</row>
    <row r="315" ht="15" spans="1:57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25">
        <v>48</v>
      </c>
      <c r="AA315" s="25"/>
      <c r="AB315" s="25"/>
      <c r="AC315" s="26">
        <v>1</v>
      </c>
      <c r="AD315" s="25"/>
      <c r="AE315" s="25"/>
      <c r="AF315" s="25">
        <v>48</v>
      </c>
      <c r="AG315" s="25"/>
      <c r="AH315" s="25"/>
      <c r="AI315" s="30" t="s">
        <v>117</v>
      </c>
      <c r="AJ315" s="48" t="str">
        <f t="shared" si="0"/>
        <v>運用会社管理</v>
      </c>
      <c r="AK315" s="10"/>
      <c r="AL315" s="10"/>
      <c r="AM315" s="10"/>
      <c r="AN315" s="10" t="str">
        <f t="shared" si="1"/>
        <v/>
      </c>
      <c r="AO315" s="10" t="str">
        <f t="shared" si="2"/>
        <v>|--</v>
      </c>
      <c r="AP315" s="10"/>
      <c r="AQ315" s="51" t="str">
        <f t="shared" si="3"/>
        <v>入荷確定データ出力（API）</v>
      </c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</row>
    <row r="316" ht="15" spans="1:57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25">
        <v>49</v>
      </c>
      <c r="AA316" s="25"/>
      <c r="AB316" s="25"/>
      <c r="AC316" s="26">
        <v>1</v>
      </c>
      <c r="AD316" s="25"/>
      <c r="AE316" s="25"/>
      <c r="AF316" s="25">
        <v>49</v>
      </c>
      <c r="AG316" s="25"/>
      <c r="AH316" s="25"/>
      <c r="AI316" s="30" t="s">
        <v>117</v>
      </c>
      <c r="AJ316" s="48" t="str">
        <f t="shared" si="0"/>
        <v>運用会社管理</v>
      </c>
      <c r="AK316" s="10"/>
      <c r="AL316" s="10"/>
      <c r="AM316" s="10"/>
      <c r="AN316" s="10" t="str">
        <f t="shared" si="1"/>
        <v/>
      </c>
      <c r="AO316" s="10" t="str">
        <f t="shared" si="2"/>
        <v>|--</v>
      </c>
      <c r="AP316" s="10"/>
      <c r="AQ316" s="51" t="str">
        <f t="shared" si="3"/>
        <v>入荷状況照会（取引先用）</v>
      </c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</row>
    <row r="317" ht="15" spans="1:5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25">
        <v>50</v>
      </c>
      <c r="AA317" s="25"/>
      <c r="AB317" s="25"/>
      <c r="AC317" s="26">
        <v>1</v>
      </c>
      <c r="AD317" s="25"/>
      <c r="AE317" s="25"/>
      <c r="AF317" s="25">
        <v>50</v>
      </c>
      <c r="AG317" s="25"/>
      <c r="AH317" s="25"/>
      <c r="AI317" s="30" t="s">
        <v>117</v>
      </c>
      <c r="AJ317" s="48" t="str">
        <f t="shared" si="0"/>
        <v>運用会社管理</v>
      </c>
      <c r="AK317" s="10"/>
      <c r="AL317" s="10"/>
      <c r="AM317" s="10"/>
      <c r="AN317" s="10" t="str">
        <f t="shared" si="1"/>
        <v>|----</v>
      </c>
      <c r="AO317" s="10" t="str">
        <f t="shared" si="2"/>
        <v/>
      </c>
      <c r="AP317" s="10"/>
      <c r="AQ317" s="51" t="str">
        <f t="shared" si="3"/>
        <v>在庫</v>
      </c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</row>
    <row r="318" ht="15" spans="1:57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25">
        <v>51</v>
      </c>
      <c r="AA318" s="25"/>
      <c r="AB318" s="25"/>
      <c r="AC318" s="26">
        <v>1</v>
      </c>
      <c r="AD318" s="25"/>
      <c r="AE318" s="25"/>
      <c r="AF318" s="25">
        <v>51</v>
      </c>
      <c r="AG318" s="25"/>
      <c r="AH318" s="25"/>
      <c r="AI318" s="30" t="s">
        <v>117</v>
      </c>
      <c r="AJ318" s="48" t="str">
        <f t="shared" si="0"/>
        <v>運用会社管理</v>
      </c>
      <c r="AK318" s="10"/>
      <c r="AL318" s="10"/>
      <c r="AM318" s="10"/>
      <c r="AN318" s="10" t="str">
        <f t="shared" si="1"/>
        <v/>
      </c>
      <c r="AO318" s="10" t="str">
        <f t="shared" si="2"/>
        <v>|--</v>
      </c>
      <c r="AP318" s="10"/>
      <c r="AQ318" s="51" t="str">
        <f t="shared" si="3"/>
        <v>在庫データ取込（CSV）</v>
      </c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</row>
    <row r="319" ht="15" spans="1:57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25">
        <v>52</v>
      </c>
      <c r="AA319" s="25"/>
      <c r="AB319" s="25"/>
      <c r="AC319" s="26">
        <v>1</v>
      </c>
      <c r="AD319" s="25"/>
      <c r="AE319" s="25"/>
      <c r="AF319" s="25">
        <v>52</v>
      </c>
      <c r="AG319" s="25"/>
      <c r="AH319" s="25"/>
      <c r="AI319" s="30" t="s">
        <v>117</v>
      </c>
      <c r="AJ319" s="48" t="str">
        <f t="shared" si="0"/>
        <v>運用会社管理</v>
      </c>
      <c r="AK319" s="10"/>
      <c r="AL319" s="10"/>
      <c r="AM319" s="10"/>
      <c r="AN319" s="10" t="str">
        <f t="shared" si="1"/>
        <v/>
      </c>
      <c r="AO319" s="10" t="str">
        <f t="shared" si="2"/>
        <v>|--</v>
      </c>
      <c r="AP319" s="10"/>
      <c r="AQ319" s="51" t="str">
        <f t="shared" si="3"/>
        <v>在庫データ取込（API）</v>
      </c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</row>
    <row r="320" ht="15" spans="1:57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25">
        <v>53</v>
      </c>
      <c r="AA320" s="25"/>
      <c r="AB320" s="25"/>
      <c r="AC320" s="26">
        <v>1</v>
      </c>
      <c r="AD320" s="25"/>
      <c r="AE320" s="25"/>
      <c r="AF320" s="25">
        <v>53</v>
      </c>
      <c r="AG320" s="25"/>
      <c r="AH320" s="25"/>
      <c r="AI320" s="30" t="s">
        <v>117</v>
      </c>
      <c r="AJ320" s="48" t="str">
        <f t="shared" si="0"/>
        <v>運用会社管理</v>
      </c>
      <c r="AK320" s="10"/>
      <c r="AL320" s="10"/>
      <c r="AM320" s="10"/>
      <c r="AN320" s="10" t="str">
        <f t="shared" si="1"/>
        <v/>
      </c>
      <c r="AO320" s="10" t="str">
        <f t="shared" si="2"/>
        <v>|--</v>
      </c>
      <c r="AP320" s="10"/>
      <c r="AQ320" s="51" t="str">
        <f t="shared" si="3"/>
        <v>在庫照会</v>
      </c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</row>
    <row r="321" ht="15" spans="1:57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25">
        <v>54</v>
      </c>
      <c r="AA321" s="25"/>
      <c r="AB321" s="25"/>
      <c r="AC321" s="26">
        <v>1</v>
      </c>
      <c r="AD321" s="25"/>
      <c r="AE321" s="25"/>
      <c r="AF321" s="25">
        <v>54</v>
      </c>
      <c r="AG321" s="25"/>
      <c r="AH321" s="25"/>
      <c r="AI321" s="30" t="s">
        <v>117</v>
      </c>
      <c r="AJ321" s="48" t="str">
        <f t="shared" si="0"/>
        <v>運用会社管理</v>
      </c>
      <c r="AK321" s="10"/>
      <c r="AL321" s="10"/>
      <c r="AM321" s="10"/>
      <c r="AN321" s="10" t="str">
        <f t="shared" si="1"/>
        <v/>
      </c>
      <c r="AO321" s="10" t="str">
        <f t="shared" si="2"/>
        <v>|--</v>
      </c>
      <c r="AP321" s="10"/>
      <c r="AQ321" s="51" t="str">
        <f t="shared" si="3"/>
        <v>在庫照会（取引先用）</v>
      </c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</row>
    <row r="322" ht="15" spans="1:57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25">
        <v>55</v>
      </c>
      <c r="AA322" s="25"/>
      <c r="AB322" s="25"/>
      <c r="AC322" s="26">
        <v>1</v>
      </c>
      <c r="AD322" s="25"/>
      <c r="AE322" s="25"/>
      <c r="AF322" s="25">
        <v>55</v>
      </c>
      <c r="AG322" s="25"/>
      <c r="AH322" s="25"/>
      <c r="AI322" s="30" t="s">
        <v>117</v>
      </c>
      <c r="AJ322" s="48" t="str">
        <f t="shared" si="0"/>
        <v>運用会社管理</v>
      </c>
      <c r="AK322" s="10"/>
      <c r="AL322" s="10"/>
      <c r="AM322" s="10"/>
      <c r="AN322" s="10" t="str">
        <f t="shared" si="1"/>
        <v/>
      </c>
      <c r="AO322" s="10" t="str">
        <f t="shared" si="2"/>
        <v>|--</v>
      </c>
      <c r="AP322" s="10"/>
      <c r="AQ322" s="51" t="str">
        <f t="shared" si="3"/>
        <v>在庫照会（取引先用）API</v>
      </c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</row>
    <row r="323" ht="15" spans="1:57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25">
        <v>56</v>
      </c>
      <c r="AA323" s="25"/>
      <c r="AB323" s="25"/>
      <c r="AC323" s="26">
        <v>1</v>
      </c>
      <c r="AD323" s="25"/>
      <c r="AE323" s="25"/>
      <c r="AF323" s="25">
        <v>56</v>
      </c>
      <c r="AG323" s="25"/>
      <c r="AH323" s="25"/>
      <c r="AI323" s="30" t="s">
        <v>117</v>
      </c>
      <c r="AJ323" s="48" t="str">
        <f t="shared" si="0"/>
        <v>運用会社管理</v>
      </c>
      <c r="AK323" s="10"/>
      <c r="AL323" s="10"/>
      <c r="AM323" s="10"/>
      <c r="AN323" s="10" t="str">
        <f t="shared" si="1"/>
        <v/>
      </c>
      <c r="AO323" s="10" t="str">
        <f t="shared" si="2"/>
        <v>|--</v>
      </c>
      <c r="AP323" s="10"/>
      <c r="AQ323" s="51" t="str">
        <f t="shared" si="3"/>
        <v>受払照会</v>
      </c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</row>
    <row r="324" ht="15" spans="1:57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25">
        <v>57</v>
      </c>
      <c r="AA324" s="25"/>
      <c r="AB324" s="25"/>
      <c r="AC324" s="26">
        <v>1</v>
      </c>
      <c r="AD324" s="25"/>
      <c r="AE324" s="25"/>
      <c r="AF324" s="25">
        <v>57</v>
      </c>
      <c r="AG324" s="25"/>
      <c r="AH324" s="25"/>
      <c r="AI324" s="30" t="s">
        <v>117</v>
      </c>
      <c r="AJ324" s="48" t="str">
        <f t="shared" si="0"/>
        <v>運用会社管理</v>
      </c>
      <c r="AK324" s="10"/>
      <c r="AL324" s="10"/>
      <c r="AM324" s="10"/>
      <c r="AN324" s="10" t="str">
        <f t="shared" si="1"/>
        <v/>
      </c>
      <c r="AO324" s="10" t="str">
        <f t="shared" si="2"/>
        <v>|--</v>
      </c>
      <c r="AP324" s="10"/>
      <c r="AQ324" s="51" t="str">
        <f t="shared" si="3"/>
        <v>商品構成指示入力</v>
      </c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</row>
    <row r="325" ht="15" spans="1:57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25">
        <v>58</v>
      </c>
      <c r="AA325" s="25"/>
      <c r="AB325" s="25"/>
      <c r="AC325" s="26">
        <v>1</v>
      </c>
      <c r="AD325" s="25"/>
      <c r="AE325" s="25"/>
      <c r="AF325" s="25">
        <v>58</v>
      </c>
      <c r="AG325" s="25"/>
      <c r="AH325" s="25"/>
      <c r="AI325" s="30" t="s">
        <v>117</v>
      </c>
      <c r="AJ325" s="48" t="str">
        <f t="shared" si="0"/>
        <v>運用会社管理</v>
      </c>
      <c r="AK325" s="10"/>
      <c r="AL325" s="10"/>
      <c r="AM325" s="10"/>
      <c r="AN325" s="10" t="str">
        <f t="shared" si="1"/>
        <v/>
      </c>
      <c r="AO325" s="10" t="str">
        <f t="shared" si="2"/>
        <v>|--</v>
      </c>
      <c r="AP325" s="10"/>
      <c r="AQ325" s="51" t="str">
        <f t="shared" si="3"/>
        <v>商品構成指示書</v>
      </c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</row>
    <row r="326" ht="15" spans="1:57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25">
        <v>59</v>
      </c>
      <c r="AA326" s="25"/>
      <c r="AB326" s="25"/>
      <c r="AC326" s="26">
        <v>1</v>
      </c>
      <c r="AD326" s="25"/>
      <c r="AE326" s="25"/>
      <c r="AF326" s="25">
        <v>59</v>
      </c>
      <c r="AG326" s="25"/>
      <c r="AH326" s="25"/>
      <c r="AI326" s="30" t="s">
        <v>117</v>
      </c>
      <c r="AJ326" s="48" t="str">
        <f t="shared" si="0"/>
        <v>運用会社管理</v>
      </c>
      <c r="AK326" s="10"/>
      <c r="AL326" s="10"/>
      <c r="AM326" s="10"/>
      <c r="AN326" s="10" t="str">
        <f t="shared" si="1"/>
        <v/>
      </c>
      <c r="AO326" s="10" t="str">
        <f t="shared" si="2"/>
        <v>|--</v>
      </c>
      <c r="AP326" s="10"/>
      <c r="AQ326" s="51" t="str">
        <f t="shared" si="3"/>
        <v>商品構成完了入力</v>
      </c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</row>
    <row r="327" ht="15" spans="1:5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25">
        <v>60</v>
      </c>
      <c r="AA327" s="25"/>
      <c r="AB327" s="25"/>
      <c r="AC327" s="26">
        <v>1</v>
      </c>
      <c r="AD327" s="25"/>
      <c r="AE327" s="25"/>
      <c r="AF327" s="25">
        <v>60</v>
      </c>
      <c r="AG327" s="25"/>
      <c r="AH327" s="25"/>
      <c r="AI327" s="30" t="s">
        <v>117</v>
      </c>
      <c r="AJ327" s="48" t="str">
        <f t="shared" si="0"/>
        <v>運用会社管理</v>
      </c>
      <c r="AK327" s="10"/>
      <c r="AL327" s="10"/>
      <c r="AM327" s="10"/>
      <c r="AN327" s="10" t="str">
        <f t="shared" si="1"/>
        <v/>
      </c>
      <c r="AO327" s="10" t="str">
        <f t="shared" si="2"/>
        <v>|--</v>
      </c>
      <c r="AP327" s="10"/>
      <c r="AQ327" s="51" t="str">
        <f t="shared" si="3"/>
        <v>返品入力</v>
      </c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</row>
    <row r="328" ht="15" spans="1:57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25">
        <v>61</v>
      </c>
      <c r="AA328" s="25"/>
      <c r="AB328" s="25"/>
      <c r="AC328" s="26">
        <v>1</v>
      </c>
      <c r="AD328" s="25"/>
      <c r="AE328" s="25"/>
      <c r="AF328" s="25">
        <v>61</v>
      </c>
      <c r="AG328" s="25"/>
      <c r="AH328" s="25"/>
      <c r="AI328" s="30" t="s">
        <v>117</v>
      </c>
      <c r="AJ328" s="48" t="str">
        <f t="shared" si="0"/>
        <v>運用会社管理</v>
      </c>
      <c r="AK328" s="10"/>
      <c r="AL328" s="10"/>
      <c r="AM328" s="10"/>
      <c r="AN328" s="10" t="str">
        <f t="shared" si="1"/>
        <v/>
      </c>
      <c r="AO328" s="10" t="str">
        <f t="shared" si="2"/>
        <v>|--</v>
      </c>
      <c r="AP328" s="10"/>
      <c r="AQ328" s="51" t="str">
        <f t="shared" si="3"/>
        <v>返品削除</v>
      </c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</row>
    <row r="329" ht="15" spans="1:57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25">
        <v>62</v>
      </c>
      <c r="AA329" s="25"/>
      <c r="AB329" s="25"/>
      <c r="AC329" s="26">
        <v>1</v>
      </c>
      <c r="AD329" s="25"/>
      <c r="AE329" s="25"/>
      <c r="AF329" s="25">
        <v>62</v>
      </c>
      <c r="AG329" s="25"/>
      <c r="AH329" s="25"/>
      <c r="AI329" s="30" t="s">
        <v>117</v>
      </c>
      <c r="AJ329" s="48" t="str">
        <f t="shared" si="0"/>
        <v>運用会社管理</v>
      </c>
      <c r="AK329" s="10"/>
      <c r="AL329" s="10"/>
      <c r="AM329" s="10"/>
      <c r="AN329" s="10" t="str">
        <f t="shared" si="1"/>
        <v/>
      </c>
      <c r="AO329" s="10" t="str">
        <f t="shared" si="2"/>
        <v>|--</v>
      </c>
      <c r="AP329" s="10"/>
      <c r="AQ329" s="51" t="str">
        <f t="shared" si="3"/>
        <v>返品照会</v>
      </c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</row>
    <row r="330" ht="15" spans="1:57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25">
        <v>63</v>
      </c>
      <c r="AA330" s="25"/>
      <c r="AB330" s="25"/>
      <c r="AC330" s="26">
        <v>1</v>
      </c>
      <c r="AD330" s="25"/>
      <c r="AE330" s="25"/>
      <c r="AF330" s="25">
        <v>63</v>
      </c>
      <c r="AG330" s="25"/>
      <c r="AH330" s="25"/>
      <c r="AI330" s="30" t="s">
        <v>117</v>
      </c>
      <c r="AJ330" s="48" t="str">
        <f t="shared" si="0"/>
        <v>運用会社管理</v>
      </c>
      <c r="AK330" s="10"/>
      <c r="AL330" s="10"/>
      <c r="AM330" s="10"/>
      <c r="AN330" s="10" t="str">
        <f t="shared" si="1"/>
        <v/>
      </c>
      <c r="AO330" s="10" t="str">
        <f t="shared" si="2"/>
        <v>|--</v>
      </c>
      <c r="AP330" s="10"/>
      <c r="AQ330" s="51" t="str">
        <f t="shared" si="3"/>
        <v>在庫移動（出庫）</v>
      </c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</row>
    <row r="331" ht="15" spans="1:57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25">
        <v>64</v>
      </c>
      <c r="AA331" s="25"/>
      <c r="AB331" s="25"/>
      <c r="AC331" s="26">
        <v>1</v>
      </c>
      <c r="AD331" s="25"/>
      <c r="AE331" s="25"/>
      <c r="AF331" s="25">
        <v>64</v>
      </c>
      <c r="AG331" s="25"/>
      <c r="AH331" s="25"/>
      <c r="AI331" s="30" t="s">
        <v>117</v>
      </c>
      <c r="AJ331" s="48" t="str">
        <f t="shared" si="0"/>
        <v>運用会社管理</v>
      </c>
      <c r="AK331" s="10"/>
      <c r="AL331" s="10"/>
      <c r="AM331" s="10"/>
      <c r="AN331" s="10" t="str">
        <f t="shared" si="1"/>
        <v/>
      </c>
      <c r="AO331" s="10" t="str">
        <f t="shared" si="2"/>
        <v>|--</v>
      </c>
      <c r="AP331" s="10"/>
      <c r="AQ331" s="51" t="str">
        <f t="shared" si="3"/>
        <v>在庫移動（入庫）</v>
      </c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</row>
    <row r="332" ht="15" spans="1:57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25">
        <v>65</v>
      </c>
      <c r="AA332" s="25"/>
      <c r="AB332" s="25"/>
      <c r="AC332" s="26">
        <v>1</v>
      </c>
      <c r="AD332" s="25"/>
      <c r="AE332" s="25"/>
      <c r="AF332" s="25">
        <v>65</v>
      </c>
      <c r="AG332" s="25"/>
      <c r="AH332" s="25"/>
      <c r="AI332" s="30" t="s">
        <v>117</v>
      </c>
      <c r="AJ332" s="48" t="str">
        <f t="shared" ref="AJ332:AJ395" si="4">VLOOKUP(AC332,$Z$26:$AH$28,4,FALSE)</f>
        <v>運用会社管理</v>
      </c>
      <c r="AK332" s="10"/>
      <c r="AL332" s="10"/>
      <c r="AM332" s="10"/>
      <c r="AN332" s="10" t="str">
        <f t="shared" ref="AN332:AN395" si="5">IF(VLOOKUP(AF332,$Z$109:$AI$263,4,FALSE),"","|----")</f>
        <v/>
      </c>
      <c r="AO332" s="10" t="str">
        <f t="shared" ref="AO332:AO395" si="6">IF(VLOOKUP(AF332,$Z$109:$AI$263,4,FALSE),"|--","")</f>
        <v>|--</v>
      </c>
      <c r="AP332" s="10"/>
      <c r="AQ332" s="51" t="str">
        <f t="shared" ref="AQ332:AQ395" si="7">VLOOKUP(AF332,$Z$109:$AI$263,7,FALSE)</f>
        <v>在庫移動指示書</v>
      </c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</row>
    <row r="333" ht="15" spans="1:57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25">
        <v>66</v>
      </c>
      <c r="AA333" s="25"/>
      <c r="AB333" s="25"/>
      <c r="AC333" s="26">
        <v>1</v>
      </c>
      <c r="AD333" s="25"/>
      <c r="AE333" s="25"/>
      <c r="AF333" s="25">
        <v>66</v>
      </c>
      <c r="AG333" s="25"/>
      <c r="AH333" s="25"/>
      <c r="AI333" s="30" t="s">
        <v>117</v>
      </c>
      <c r="AJ333" s="48" t="str">
        <f t="shared" si="4"/>
        <v>運用会社管理</v>
      </c>
      <c r="AK333" s="10"/>
      <c r="AL333" s="10"/>
      <c r="AM333" s="10"/>
      <c r="AN333" s="10" t="str">
        <f t="shared" si="5"/>
        <v/>
      </c>
      <c r="AO333" s="10" t="str">
        <f t="shared" si="6"/>
        <v>|--</v>
      </c>
      <c r="AP333" s="10"/>
      <c r="AQ333" s="51" t="str">
        <f t="shared" si="7"/>
        <v>在庫調整</v>
      </c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</row>
    <row r="334" ht="15" spans="1:57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25">
        <v>67</v>
      </c>
      <c r="AA334" s="25"/>
      <c r="AB334" s="25"/>
      <c r="AC334" s="26">
        <v>1</v>
      </c>
      <c r="AD334" s="25"/>
      <c r="AE334" s="25"/>
      <c r="AF334" s="25">
        <v>67</v>
      </c>
      <c r="AG334" s="25"/>
      <c r="AH334" s="25"/>
      <c r="AI334" s="30" t="s">
        <v>117</v>
      </c>
      <c r="AJ334" s="48" t="str">
        <f t="shared" si="4"/>
        <v>運用会社管理</v>
      </c>
      <c r="AK334" s="10"/>
      <c r="AL334" s="10"/>
      <c r="AM334" s="10"/>
      <c r="AN334" s="10" t="str">
        <f t="shared" si="5"/>
        <v/>
      </c>
      <c r="AO334" s="10" t="str">
        <f t="shared" si="6"/>
        <v>|--</v>
      </c>
      <c r="AP334" s="10"/>
      <c r="AQ334" s="51" t="str">
        <f t="shared" si="7"/>
        <v>荷姿変更</v>
      </c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</row>
    <row r="335" ht="15" spans="1:57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25">
        <v>68</v>
      </c>
      <c r="AA335" s="25"/>
      <c r="AB335" s="25"/>
      <c r="AC335" s="26">
        <v>1</v>
      </c>
      <c r="AD335" s="25"/>
      <c r="AE335" s="25"/>
      <c r="AF335" s="25">
        <v>68</v>
      </c>
      <c r="AG335" s="25"/>
      <c r="AH335" s="25"/>
      <c r="AI335" s="30" t="s">
        <v>117</v>
      </c>
      <c r="AJ335" s="48" t="str">
        <f t="shared" si="4"/>
        <v>運用会社管理</v>
      </c>
      <c r="AK335" s="10"/>
      <c r="AL335" s="10"/>
      <c r="AM335" s="10"/>
      <c r="AN335" s="10" t="str">
        <f t="shared" si="5"/>
        <v/>
      </c>
      <c r="AO335" s="10" t="str">
        <f t="shared" si="6"/>
        <v>|--</v>
      </c>
      <c r="AP335" s="10"/>
      <c r="AQ335" s="51" t="str">
        <f t="shared" si="7"/>
        <v>在庫移動照会</v>
      </c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</row>
    <row r="336" ht="15" spans="1:57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25">
        <v>69</v>
      </c>
      <c r="AA336" s="25"/>
      <c r="AB336" s="25"/>
      <c r="AC336" s="26">
        <v>1</v>
      </c>
      <c r="AD336" s="25"/>
      <c r="AE336" s="25"/>
      <c r="AF336" s="25">
        <v>69</v>
      </c>
      <c r="AG336" s="25"/>
      <c r="AH336" s="25"/>
      <c r="AI336" s="30" t="s">
        <v>117</v>
      </c>
      <c r="AJ336" s="48" t="str">
        <f t="shared" si="4"/>
        <v>運用会社管理</v>
      </c>
      <c r="AK336" s="10"/>
      <c r="AL336" s="10"/>
      <c r="AM336" s="10"/>
      <c r="AN336" s="10" t="str">
        <f t="shared" si="5"/>
        <v/>
      </c>
      <c r="AO336" s="10" t="str">
        <f t="shared" si="6"/>
        <v>|--</v>
      </c>
      <c r="AP336" s="10"/>
      <c r="AQ336" s="51" t="str">
        <f t="shared" si="7"/>
        <v>在庫調整照会</v>
      </c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</row>
    <row r="337" ht="15" spans="1:5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25">
        <v>70</v>
      </c>
      <c r="AA337" s="25"/>
      <c r="AB337" s="25"/>
      <c r="AC337" s="26">
        <v>1</v>
      </c>
      <c r="AD337" s="25"/>
      <c r="AE337" s="25"/>
      <c r="AF337" s="25">
        <v>70</v>
      </c>
      <c r="AG337" s="25"/>
      <c r="AH337" s="25"/>
      <c r="AI337" s="30" t="s">
        <v>117</v>
      </c>
      <c r="AJ337" s="48" t="str">
        <f t="shared" si="4"/>
        <v>運用会社管理</v>
      </c>
      <c r="AK337" s="10"/>
      <c r="AL337" s="10"/>
      <c r="AM337" s="10"/>
      <c r="AN337" s="10" t="str">
        <f t="shared" si="5"/>
        <v/>
      </c>
      <c r="AO337" s="10" t="str">
        <f t="shared" si="6"/>
        <v>|--</v>
      </c>
      <c r="AP337" s="10"/>
      <c r="AQ337" s="51" t="str">
        <f t="shared" si="7"/>
        <v>荷姿変更照会</v>
      </c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</row>
    <row r="338" ht="15" spans="1:57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25">
        <v>71</v>
      </c>
      <c r="AA338" s="25"/>
      <c r="AB338" s="25"/>
      <c r="AC338" s="26">
        <v>1</v>
      </c>
      <c r="AD338" s="25"/>
      <c r="AE338" s="25"/>
      <c r="AF338" s="25">
        <v>71</v>
      </c>
      <c r="AG338" s="25"/>
      <c r="AH338" s="25"/>
      <c r="AI338" s="30" t="s">
        <v>117</v>
      </c>
      <c r="AJ338" s="48" t="str">
        <f t="shared" si="4"/>
        <v>運用会社管理</v>
      </c>
      <c r="AK338" s="10"/>
      <c r="AL338" s="10"/>
      <c r="AM338" s="10"/>
      <c r="AN338" s="10" t="str">
        <f t="shared" si="5"/>
        <v>|----</v>
      </c>
      <c r="AO338" s="10" t="str">
        <f t="shared" si="6"/>
        <v/>
      </c>
      <c r="AP338" s="10"/>
      <c r="AQ338" s="51" t="str">
        <f t="shared" si="7"/>
        <v>棚卸</v>
      </c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</row>
    <row r="339" ht="15" spans="1:57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25">
        <v>72</v>
      </c>
      <c r="AA339" s="25"/>
      <c r="AB339" s="25"/>
      <c r="AC339" s="26">
        <v>1</v>
      </c>
      <c r="AD339" s="25"/>
      <c r="AE339" s="25"/>
      <c r="AF339" s="25">
        <v>72</v>
      </c>
      <c r="AG339" s="25"/>
      <c r="AH339" s="25"/>
      <c r="AI339" s="30" t="s">
        <v>117</v>
      </c>
      <c r="AJ339" s="48" t="str">
        <f t="shared" si="4"/>
        <v>運用会社管理</v>
      </c>
      <c r="AK339" s="10"/>
      <c r="AL339" s="10"/>
      <c r="AM339" s="10"/>
      <c r="AN339" s="10" t="str">
        <f t="shared" si="5"/>
        <v/>
      </c>
      <c r="AO339" s="10" t="str">
        <f t="shared" si="6"/>
        <v>|--</v>
      </c>
      <c r="AP339" s="10"/>
      <c r="AQ339" s="51" t="str">
        <f t="shared" si="7"/>
        <v>棚卸開始処理</v>
      </c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</row>
    <row r="340" ht="15" spans="1:57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25">
        <v>73</v>
      </c>
      <c r="AA340" s="25"/>
      <c r="AB340" s="25"/>
      <c r="AC340" s="26">
        <v>1</v>
      </c>
      <c r="AD340" s="25"/>
      <c r="AE340" s="25"/>
      <c r="AF340" s="25">
        <v>73</v>
      </c>
      <c r="AG340" s="25"/>
      <c r="AH340" s="25"/>
      <c r="AI340" s="30" t="s">
        <v>117</v>
      </c>
      <c r="AJ340" s="48" t="str">
        <f t="shared" si="4"/>
        <v>運用会社管理</v>
      </c>
      <c r="AK340" s="10"/>
      <c r="AL340" s="10"/>
      <c r="AM340" s="10"/>
      <c r="AN340" s="10" t="str">
        <f t="shared" si="5"/>
        <v/>
      </c>
      <c r="AO340" s="10" t="str">
        <f t="shared" si="6"/>
        <v>|--</v>
      </c>
      <c r="AP340" s="10"/>
      <c r="AQ340" s="51" t="str">
        <f t="shared" si="7"/>
        <v>棚卸記入表</v>
      </c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</row>
    <row r="341" ht="15" spans="1:57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25">
        <v>74</v>
      </c>
      <c r="AA341" s="25"/>
      <c r="AB341" s="25"/>
      <c r="AC341" s="26">
        <v>1</v>
      </c>
      <c r="AD341" s="25"/>
      <c r="AE341" s="25"/>
      <c r="AF341" s="25">
        <v>74</v>
      </c>
      <c r="AG341" s="25"/>
      <c r="AH341" s="25"/>
      <c r="AI341" s="30" t="s">
        <v>117</v>
      </c>
      <c r="AJ341" s="48" t="str">
        <f t="shared" si="4"/>
        <v>運用会社管理</v>
      </c>
      <c r="AK341" s="10"/>
      <c r="AL341" s="10"/>
      <c r="AM341" s="10"/>
      <c r="AN341" s="10" t="str">
        <f t="shared" si="5"/>
        <v/>
      </c>
      <c r="AO341" s="10" t="str">
        <f t="shared" si="6"/>
        <v>|--</v>
      </c>
      <c r="AP341" s="10"/>
      <c r="AQ341" s="51" t="str">
        <f t="shared" si="7"/>
        <v>実棚明細入力</v>
      </c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</row>
    <row r="342" ht="15" spans="1:57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25">
        <v>75</v>
      </c>
      <c r="AA342" s="25"/>
      <c r="AB342" s="25"/>
      <c r="AC342" s="26">
        <v>1</v>
      </c>
      <c r="AD342" s="25"/>
      <c r="AE342" s="25"/>
      <c r="AF342" s="25">
        <v>75</v>
      </c>
      <c r="AG342" s="25"/>
      <c r="AH342" s="25"/>
      <c r="AI342" s="30" t="s">
        <v>117</v>
      </c>
      <c r="AJ342" s="48" t="str">
        <f t="shared" si="4"/>
        <v>運用会社管理</v>
      </c>
      <c r="AK342" s="10"/>
      <c r="AL342" s="10"/>
      <c r="AM342" s="10"/>
      <c r="AN342" s="10" t="str">
        <f t="shared" si="5"/>
        <v/>
      </c>
      <c r="AO342" s="10" t="str">
        <f t="shared" si="6"/>
        <v>|--</v>
      </c>
      <c r="AP342" s="10"/>
      <c r="AQ342" s="51" t="str">
        <f t="shared" si="7"/>
        <v>実棚明細削除</v>
      </c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</row>
    <row r="343" ht="15" spans="1:57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25">
        <v>76</v>
      </c>
      <c r="AA343" s="25"/>
      <c r="AB343" s="25"/>
      <c r="AC343" s="26">
        <v>1</v>
      </c>
      <c r="AD343" s="25"/>
      <c r="AE343" s="25"/>
      <c r="AF343" s="25">
        <v>76</v>
      </c>
      <c r="AG343" s="25"/>
      <c r="AH343" s="25"/>
      <c r="AI343" s="30" t="s">
        <v>117</v>
      </c>
      <c r="AJ343" s="48" t="str">
        <f t="shared" si="4"/>
        <v>運用会社管理</v>
      </c>
      <c r="AK343" s="10"/>
      <c r="AL343" s="10"/>
      <c r="AM343" s="10"/>
      <c r="AN343" s="10" t="str">
        <f t="shared" si="5"/>
        <v/>
      </c>
      <c r="AO343" s="10" t="str">
        <f t="shared" si="6"/>
        <v>|--</v>
      </c>
      <c r="AP343" s="10"/>
      <c r="AQ343" s="51" t="str">
        <f t="shared" si="7"/>
        <v>棚卸照会</v>
      </c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</row>
    <row r="344" ht="15" spans="1:57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25">
        <v>77</v>
      </c>
      <c r="AA344" s="25"/>
      <c r="AB344" s="25"/>
      <c r="AC344" s="26">
        <v>1</v>
      </c>
      <c r="AD344" s="25"/>
      <c r="AE344" s="25"/>
      <c r="AF344" s="25">
        <v>77</v>
      </c>
      <c r="AG344" s="25"/>
      <c r="AH344" s="25"/>
      <c r="AI344" s="30" t="s">
        <v>117</v>
      </c>
      <c r="AJ344" s="48" t="str">
        <f t="shared" si="4"/>
        <v>運用会社管理</v>
      </c>
      <c r="AK344" s="10"/>
      <c r="AL344" s="10"/>
      <c r="AM344" s="10"/>
      <c r="AN344" s="10" t="str">
        <f t="shared" si="5"/>
        <v/>
      </c>
      <c r="AO344" s="10" t="str">
        <f t="shared" si="6"/>
        <v>|--</v>
      </c>
      <c r="AP344" s="10"/>
      <c r="AQ344" s="51" t="str">
        <f t="shared" si="7"/>
        <v>棚卸確定処理</v>
      </c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</row>
    <row r="345" ht="15" spans="1:57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25">
        <v>78</v>
      </c>
      <c r="AA345" s="25"/>
      <c r="AB345" s="25"/>
      <c r="AC345" s="26">
        <v>1</v>
      </c>
      <c r="AD345" s="25"/>
      <c r="AE345" s="25"/>
      <c r="AF345" s="25">
        <v>78</v>
      </c>
      <c r="AG345" s="25"/>
      <c r="AH345" s="25"/>
      <c r="AI345" s="30" t="s">
        <v>117</v>
      </c>
      <c r="AJ345" s="48" t="str">
        <f t="shared" si="4"/>
        <v>運用会社管理</v>
      </c>
      <c r="AK345" s="10"/>
      <c r="AL345" s="10"/>
      <c r="AM345" s="10"/>
      <c r="AN345" s="10" t="str">
        <f t="shared" si="5"/>
        <v/>
      </c>
      <c r="AO345" s="10" t="str">
        <f t="shared" si="6"/>
        <v>|--</v>
      </c>
      <c r="AP345" s="10"/>
      <c r="AQ345" s="51" t="str">
        <f t="shared" si="7"/>
        <v>棚卸確定取消</v>
      </c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</row>
    <row r="346" ht="15" spans="1:57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25">
        <v>79</v>
      </c>
      <c r="AA346" s="25"/>
      <c r="AB346" s="25"/>
      <c r="AC346" s="26">
        <v>1</v>
      </c>
      <c r="AD346" s="25"/>
      <c r="AE346" s="25"/>
      <c r="AF346" s="25">
        <v>79</v>
      </c>
      <c r="AG346" s="25"/>
      <c r="AH346" s="25"/>
      <c r="AI346" s="30" t="s">
        <v>117</v>
      </c>
      <c r="AJ346" s="48" t="str">
        <f t="shared" si="4"/>
        <v>運用会社管理</v>
      </c>
      <c r="AK346" s="10"/>
      <c r="AL346" s="10"/>
      <c r="AM346" s="10"/>
      <c r="AN346" s="10" t="str">
        <f t="shared" si="5"/>
        <v/>
      </c>
      <c r="AO346" s="10" t="str">
        <f t="shared" si="6"/>
        <v>|--</v>
      </c>
      <c r="AP346" s="10"/>
      <c r="AQ346" s="51" t="str">
        <f t="shared" si="7"/>
        <v>棚卸データ出力（CSV）</v>
      </c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</row>
    <row r="347" ht="15" spans="1:5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25">
        <v>80</v>
      </c>
      <c r="AA347" s="25"/>
      <c r="AB347" s="25"/>
      <c r="AC347" s="26">
        <v>1</v>
      </c>
      <c r="AD347" s="25"/>
      <c r="AE347" s="25"/>
      <c r="AF347" s="25">
        <v>80</v>
      </c>
      <c r="AG347" s="25"/>
      <c r="AH347" s="25"/>
      <c r="AI347" s="30" t="s">
        <v>117</v>
      </c>
      <c r="AJ347" s="48" t="str">
        <f t="shared" si="4"/>
        <v>運用会社管理</v>
      </c>
      <c r="AK347" s="10"/>
      <c r="AL347" s="10"/>
      <c r="AM347" s="10"/>
      <c r="AN347" s="10" t="str">
        <f t="shared" si="5"/>
        <v/>
      </c>
      <c r="AO347" s="10" t="str">
        <f t="shared" si="6"/>
        <v>|--</v>
      </c>
      <c r="AP347" s="10"/>
      <c r="AQ347" s="51" t="str">
        <f t="shared" si="7"/>
        <v>棚卸データ出力（API）</v>
      </c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</row>
    <row r="348" ht="15" spans="1:57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25">
        <v>81</v>
      </c>
      <c r="AA348" s="25"/>
      <c r="AB348" s="25"/>
      <c r="AC348" s="26">
        <v>1</v>
      </c>
      <c r="AD348" s="25"/>
      <c r="AE348" s="25"/>
      <c r="AF348" s="25">
        <v>81</v>
      </c>
      <c r="AG348" s="25"/>
      <c r="AH348" s="25"/>
      <c r="AI348" s="30" t="s">
        <v>117</v>
      </c>
      <c r="AJ348" s="48" t="str">
        <f t="shared" si="4"/>
        <v>運用会社管理</v>
      </c>
      <c r="AK348" s="10"/>
      <c r="AL348" s="10"/>
      <c r="AM348" s="10"/>
      <c r="AN348" s="10" t="str">
        <f t="shared" si="5"/>
        <v/>
      </c>
      <c r="AO348" s="10" t="str">
        <f t="shared" si="6"/>
        <v>|--</v>
      </c>
      <c r="AP348" s="10"/>
      <c r="AQ348" s="51" t="str">
        <f t="shared" si="7"/>
        <v>棚卸仕訳データ出力（CSV）</v>
      </c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</row>
    <row r="349" ht="15" spans="1:57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25">
        <v>82</v>
      </c>
      <c r="AA349" s="25"/>
      <c r="AB349" s="25"/>
      <c r="AC349" s="26">
        <v>1</v>
      </c>
      <c r="AD349" s="25"/>
      <c r="AE349" s="25"/>
      <c r="AF349" s="25">
        <v>82</v>
      </c>
      <c r="AG349" s="25"/>
      <c r="AH349" s="25"/>
      <c r="AI349" s="30" t="s">
        <v>117</v>
      </c>
      <c r="AJ349" s="48" t="str">
        <f t="shared" si="4"/>
        <v>運用会社管理</v>
      </c>
      <c r="AK349" s="10"/>
      <c r="AL349" s="10"/>
      <c r="AM349" s="10"/>
      <c r="AN349" s="10" t="str">
        <f t="shared" si="5"/>
        <v/>
      </c>
      <c r="AO349" s="10" t="str">
        <f t="shared" si="6"/>
        <v>|--</v>
      </c>
      <c r="AP349" s="10"/>
      <c r="AQ349" s="51" t="str">
        <f t="shared" si="7"/>
        <v>棚卸仕訳データ出力（API）</v>
      </c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</row>
    <row r="350" ht="15" spans="1:57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25">
        <v>83</v>
      </c>
      <c r="AA350" s="25"/>
      <c r="AB350" s="25"/>
      <c r="AC350" s="26">
        <v>1</v>
      </c>
      <c r="AD350" s="25"/>
      <c r="AE350" s="25"/>
      <c r="AF350" s="25">
        <v>83</v>
      </c>
      <c r="AG350" s="25"/>
      <c r="AH350" s="25"/>
      <c r="AI350" s="30" t="s">
        <v>117</v>
      </c>
      <c r="AJ350" s="48" t="str">
        <f t="shared" si="4"/>
        <v>運用会社管理</v>
      </c>
      <c r="AK350" s="10"/>
      <c r="AL350" s="10"/>
      <c r="AM350" s="10"/>
      <c r="AN350" s="10" t="str">
        <f t="shared" si="5"/>
        <v>|----</v>
      </c>
      <c r="AO350" s="10" t="str">
        <f t="shared" si="6"/>
        <v/>
      </c>
      <c r="AP350" s="10"/>
      <c r="AQ350" s="51" t="str">
        <f t="shared" si="7"/>
        <v>分析</v>
      </c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</row>
    <row r="351" ht="15" spans="1:57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25">
        <v>84</v>
      </c>
      <c r="AA351" s="25"/>
      <c r="AB351" s="25"/>
      <c r="AC351" s="26">
        <v>1</v>
      </c>
      <c r="AD351" s="25"/>
      <c r="AE351" s="25"/>
      <c r="AF351" s="25">
        <v>84</v>
      </c>
      <c r="AG351" s="25"/>
      <c r="AH351" s="25"/>
      <c r="AI351" s="30" t="s">
        <v>117</v>
      </c>
      <c r="AJ351" s="48" t="str">
        <f t="shared" si="4"/>
        <v>運用会社管理</v>
      </c>
      <c r="AK351" s="10"/>
      <c r="AL351" s="10"/>
      <c r="AM351" s="10"/>
      <c r="AN351" s="10" t="str">
        <f t="shared" si="5"/>
        <v/>
      </c>
      <c r="AO351" s="10" t="str">
        <f t="shared" si="6"/>
        <v>|--</v>
      </c>
      <c r="AP351" s="10"/>
      <c r="AQ351" s="51" t="str">
        <f t="shared" si="7"/>
        <v>ABC分析</v>
      </c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</row>
    <row r="352" ht="15" spans="1:57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25">
        <v>85</v>
      </c>
      <c r="AA352" s="25"/>
      <c r="AB352" s="25"/>
      <c r="AC352" s="26">
        <v>1</v>
      </c>
      <c r="AD352" s="25"/>
      <c r="AE352" s="25"/>
      <c r="AF352" s="25">
        <v>85</v>
      </c>
      <c r="AG352" s="25"/>
      <c r="AH352" s="25"/>
      <c r="AI352" s="30" t="s">
        <v>117</v>
      </c>
      <c r="AJ352" s="48" t="str">
        <f t="shared" si="4"/>
        <v>運用会社管理</v>
      </c>
      <c r="AK352" s="10"/>
      <c r="AL352" s="10"/>
      <c r="AM352" s="10"/>
      <c r="AN352" s="10" t="str">
        <f t="shared" si="5"/>
        <v/>
      </c>
      <c r="AO352" s="10" t="str">
        <f t="shared" si="6"/>
        <v>|--</v>
      </c>
      <c r="AP352" s="10"/>
      <c r="AQ352" s="51" t="str">
        <f t="shared" si="7"/>
        <v>在庫回転率</v>
      </c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</row>
    <row r="353" ht="15" spans="1:57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25">
        <v>86</v>
      </c>
      <c r="AA353" s="25"/>
      <c r="AB353" s="25"/>
      <c r="AC353" s="26">
        <v>1</v>
      </c>
      <c r="AD353" s="25"/>
      <c r="AE353" s="25"/>
      <c r="AF353" s="25">
        <v>86</v>
      </c>
      <c r="AG353" s="25"/>
      <c r="AH353" s="25"/>
      <c r="AI353" s="30" t="s">
        <v>117</v>
      </c>
      <c r="AJ353" s="48" t="str">
        <f t="shared" si="4"/>
        <v>運用会社管理</v>
      </c>
      <c r="AK353" s="10"/>
      <c r="AL353" s="10"/>
      <c r="AM353" s="10"/>
      <c r="AN353" s="10" t="str">
        <f t="shared" si="5"/>
        <v/>
      </c>
      <c r="AO353" s="10" t="str">
        <f t="shared" si="6"/>
        <v>|--</v>
      </c>
      <c r="AP353" s="10"/>
      <c r="AQ353" s="51" t="str">
        <f t="shared" si="7"/>
        <v>発注点割れ</v>
      </c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</row>
    <row r="354" ht="15" spans="1:57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25">
        <v>87</v>
      </c>
      <c r="AA354" s="25"/>
      <c r="AB354" s="25"/>
      <c r="AC354" s="26">
        <v>1</v>
      </c>
      <c r="AD354" s="25"/>
      <c r="AE354" s="25"/>
      <c r="AF354" s="25">
        <v>87</v>
      </c>
      <c r="AG354" s="25"/>
      <c r="AH354" s="25"/>
      <c r="AI354" s="30" t="s">
        <v>117</v>
      </c>
      <c r="AJ354" s="48" t="str">
        <f t="shared" si="4"/>
        <v>運用会社管理</v>
      </c>
      <c r="AK354" s="10"/>
      <c r="AL354" s="10"/>
      <c r="AM354" s="10"/>
      <c r="AN354" s="10" t="str">
        <f t="shared" si="5"/>
        <v/>
      </c>
      <c r="AO354" s="10" t="str">
        <f t="shared" si="6"/>
        <v>|--</v>
      </c>
      <c r="AP354" s="10"/>
      <c r="AQ354" s="51" t="str">
        <f t="shared" si="7"/>
        <v>欠品</v>
      </c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</row>
    <row r="355" ht="15" spans="1:57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25">
        <v>88</v>
      </c>
      <c r="AA355" s="25"/>
      <c r="AB355" s="25"/>
      <c r="AC355" s="26">
        <v>1</v>
      </c>
      <c r="AD355" s="25"/>
      <c r="AE355" s="25"/>
      <c r="AF355" s="25">
        <v>88</v>
      </c>
      <c r="AG355" s="25"/>
      <c r="AH355" s="25"/>
      <c r="AI355" s="30" t="s">
        <v>117</v>
      </c>
      <c r="AJ355" s="48" t="str">
        <f t="shared" si="4"/>
        <v>運用会社管理</v>
      </c>
      <c r="AK355" s="10"/>
      <c r="AL355" s="10"/>
      <c r="AM355" s="10"/>
      <c r="AN355" s="10" t="str">
        <f t="shared" si="5"/>
        <v/>
      </c>
      <c r="AO355" s="10" t="str">
        <f t="shared" si="6"/>
        <v>|--</v>
      </c>
      <c r="AP355" s="10"/>
      <c r="AQ355" s="51" t="str">
        <f t="shared" si="7"/>
        <v>返品</v>
      </c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</row>
    <row r="356" ht="15" spans="1:57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25">
        <v>89</v>
      </c>
      <c r="AA356" s="25"/>
      <c r="AB356" s="25"/>
      <c r="AC356" s="26">
        <v>1</v>
      </c>
      <c r="AD356" s="25"/>
      <c r="AE356" s="25"/>
      <c r="AF356" s="25">
        <v>89</v>
      </c>
      <c r="AG356" s="25"/>
      <c r="AH356" s="25"/>
      <c r="AI356" s="30" t="s">
        <v>117</v>
      </c>
      <c r="AJ356" s="48" t="str">
        <f t="shared" si="4"/>
        <v>運用会社管理</v>
      </c>
      <c r="AK356" s="10"/>
      <c r="AL356" s="10"/>
      <c r="AM356" s="10"/>
      <c r="AN356" s="10" t="str">
        <f t="shared" si="5"/>
        <v/>
      </c>
      <c r="AO356" s="10" t="str">
        <f t="shared" si="6"/>
        <v>|--</v>
      </c>
      <c r="AP356" s="10"/>
      <c r="AQ356" s="51" t="str">
        <f t="shared" si="7"/>
        <v>商品追跡照会</v>
      </c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</row>
    <row r="357" ht="15" spans="1: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25">
        <v>90</v>
      </c>
      <c r="AA357" s="25"/>
      <c r="AB357" s="25"/>
      <c r="AC357" s="26">
        <v>1</v>
      </c>
      <c r="AD357" s="25"/>
      <c r="AE357" s="25"/>
      <c r="AF357" s="25">
        <v>90</v>
      </c>
      <c r="AG357" s="25"/>
      <c r="AH357" s="25"/>
      <c r="AI357" s="30" t="s">
        <v>117</v>
      </c>
      <c r="AJ357" s="48" t="str">
        <f t="shared" si="4"/>
        <v>運用会社管理</v>
      </c>
      <c r="AK357" s="10"/>
      <c r="AL357" s="10"/>
      <c r="AM357" s="10"/>
      <c r="AN357" s="10" t="str">
        <f t="shared" si="5"/>
        <v/>
      </c>
      <c r="AO357" s="10" t="str">
        <f t="shared" si="6"/>
        <v>|--</v>
      </c>
      <c r="AP357" s="10"/>
      <c r="AQ357" s="51" t="str">
        <f t="shared" si="7"/>
        <v>担当者別ピッキング実績</v>
      </c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</row>
    <row r="358" ht="15" spans="1:57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25">
        <v>91</v>
      </c>
      <c r="AA358" s="25"/>
      <c r="AB358" s="25"/>
      <c r="AC358" s="26">
        <v>1</v>
      </c>
      <c r="AD358" s="25"/>
      <c r="AE358" s="25"/>
      <c r="AF358" s="25">
        <v>91</v>
      </c>
      <c r="AG358" s="25"/>
      <c r="AH358" s="25"/>
      <c r="AI358" s="30" t="s">
        <v>117</v>
      </c>
      <c r="AJ358" s="48" t="str">
        <f t="shared" si="4"/>
        <v>運用会社管理</v>
      </c>
      <c r="AK358" s="10"/>
      <c r="AL358" s="10"/>
      <c r="AM358" s="10"/>
      <c r="AN358" s="10" t="str">
        <f t="shared" si="5"/>
        <v/>
      </c>
      <c r="AO358" s="10" t="str">
        <f t="shared" si="6"/>
        <v>|--</v>
      </c>
      <c r="AP358" s="10"/>
      <c r="AQ358" s="51" t="str">
        <f t="shared" si="7"/>
        <v>出荷状況照会</v>
      </c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</row>
    <row r="359" ht="15" spans="1:57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25">
        <v>92</v>
      </c>
      <c r="AA359" s="25"/>
      <c r="AB359" s="25"/>
      <c r="AC359" s="26">
        <v>1</v>
      </c>
      <c r="AD359" s="25"/>
      <c r="AE359" s="25"/>
      <c r="AF359" s="25">
        <v>92</v>
      </c>
      <c r="AG359" s="25"/>
      <c r="AH359" s="25"/>
      <c r="AI359" s="30" t="s">
        <v>117</v>
      </c>
      <c r="AJ359" s="48" t="str">
        <f t="shared" si="4"/>
        <v>運用会社管理</v>
      </c>
      <c r="AK359" s="10"/>
      <c r="AL359" s="10"/>
      <c r="AM359" s="10"/>
      <c r="AN359" s="10" t="str">
        <f t="shared" si="5"/>
        <v/>
      </c>
      <c r="AO359" s="10" t="str">
        <f t="shared" si="6"/>
        <v>|--</v>
      </c>
      <c r="AP359" s="10"/>
      <c r="AQ359" s="51" t="str">
        <f t="shared" si="7"/>
        <v>入荷状況照会</v>
      </c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</row>
    <row r="360" ht="15" spans="1:57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25">
        <v>93</v>
      </c>
      <c r="AA360" s="25"/>
      <c r="AB360" s="25"/>
      <c r="AC360" s="26">
        <v>1</v>
      </c>
      <c r="AD360" s="25"/>
      <c r="AE360" s="25"/>
      <c r="AF360" s="25">
        <v>93</v>
      </c>
      <c r="AG360" s="25"/>
      <c r="AH360" s="25"/>
      <c r="AI360" s="30" t="s">
        <v>117</v>
      </c>
      <c r="AJ360" s="48" t="str">
        <f t="shared" si="4"/>
        <v>運用会社管理</v>
      </c>
      <c r="AK360" s="10"/>
      <c r="AL360" s="10"/>
      <c r="AM360" s="10"/>
      <c r="AN360" s="10" t="str">
        <f t="shared" si="5"/>
        <v/>
      </c>
      <c r="AO360" s="10" t="str">
        <f t="shared" si="6"/>
        <v>|--</v>
      </c>
      <c r="AP360" s="10"/>
      <c r="AQ360" s="51" t="str">
        <f t="shared" si="7"/>
        <v>棚卸状況照会</v>
      </c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</row>
    <row r="361" ht="15" spans="1:57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25">
        <v>94</v>
      </c>
      <c r="AA361" s="25"/>
      <c r="AB361" s="25"/>
      <c r="AC361" s="26">
        <v>1</v>
      </c>
      <c r="AD361" s="25"/>
      <c r="AE361" s="25"/>
      <c r="AF361" s="25">
        <v>94</v>
      </c>
      <c r="AG361" s="25"/>
      <c r="AH361" s="25"/>
      <c r="AI361" s="30" t="s">
        <v>117</v>
      </c>
      <c r="AJ361" s="48" t="str">
        <f t="shared" si="4"/>
        <v>運用会社管理</v>
      </c>
      <c r="AK361" s="10"/>
      <c r="AL361" s="10"/>
      <c r="AM361" s="10"/>
      <c r="AN361" s="10" t="str">
        <f t="shared" si="5"/>
        <v/>
      </c>
      <c r="AO361" s="10" t="str">
        <f t="shared" si="6"/>
        <v>|--</v>
      </c>
      <c r="AP361" s="10"/>
      <c r="AQ361" s="51" t="str">
        <f t="shared" si="7"/>
        <v>商品別予定推移</v>
      </c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</row>
    <row r="362" ht="15" spans="1:57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25">
        <v>95</v>
      </c>
      <c r="AA362" s="25"/>
      <c r="AB362" s="25"/>
      <c r="AC362" s="26">
        <v>1</v>
      </c>
      <c r="AD362" s="25"/>
      <c r="AE362" s="25"/>
      <c r="AF362" s="25">
        <v>95</v>
      </c>
      <c r="AG362" s="25"/>
      <c r="AH362" s="25"/>
      <c r="AI362" s="30" t="s">
        <v>117</v>
      </c>
      <c r="AJ362" s="48" t="str">
        <f t="shared" si="4"/>
        <v>運用会社管理</v>
      </c>
      <c r="AK362" s="10"/>
      <c r="AL362" s="10"/>
      <c r="AM362" s="10"/>
      <c r="AN362" s="10" t="str">
        <f t="shared" si="5"/>
        <v>|----</v>
      </c>
      <c r="AO362" s="10" t="str">
        <f t="shared" si="6"/>
        <v/>
      </c>
      <c r="AP362" s="10"/>
      <c r="AQ362" s="51" t="str">
        <f t="shared" si="7"/>
        <v>リスト</v>
      </c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</row>
    <row r="363" ht="15" spans="1:57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25">
        <v>96</v>
      </c>
      <c r="AA363" s="25"/>
      <c r="AB363" s="25"/>
      <c r="AC363" s="26">
        <v>1</v>
      </c>
      <c r="AD363" s="25"/>
      <c r="AE363" s="25"/>
      <c r="AF363" s="25">
        <v>96</v>
      </c>
      <c r="AG363" s="25"/>
      <c r="AH363" s="25"/>
      <c r="AI363" s="30" t="s">
        <v>117</v>
      </c>
      <c r="AJ363" s="48" t="str">
        <f t="shared" si="4"/>
        <v>運用会社管理</v>
      </c>
      <c r="AK363" s="10"/>
      <c r="AL363" s="10"/>
      <c r="AM363" s="10"/>
      <c r="AN363" s="10" t="str">
        <f t="shared" si="5"/>
        <v/>
      </c>
      <c r="AO363" s="10" t="str">
        <f t="shared" si="6"/>
        <v>|--</v>
      </c>
      <c r="AP363" s="10"/>
      <c r="AQ363" s="51" t="str">
        <f t="shared" si="7"/>
        <v>商品ラベル</v>
      </c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</row>
    <row r="364" ht="15" spans="1:57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25">
        <v>97</v>
      </c>
      <c r="AA364" s="25"/>
      <c r="AB364" s="25"/>
      <c r="AC364" s="26">
        <v>1</v>
      </c>
      <c r="AD364" s="25"/>
      <c r="AE364" s="25"/>
      <c r="AF364" s="25">
        <v>97</v>
      </c>
      <c r="AG364" s="25"/>
      <c r="AH364" s="25"/>
      <c r="AI364" s="30" t="s">
        <v>117</v>
      </c>
      <c r="AJ364" s="48" t="str">
        <f t="shared" si="4"/>
        <v>運用会社管理</v>
      </c>
      <c r="AK364" s="10"/>
      <c r="AL364" s="10"/>
      <c r="AM364" s="10"/>
      <c r="AN364" s="10" t="str">
        <f t="shared" si="5"/>
        <v/>
      </c>
      <c r="AO364" s="10" t="str">
        <f t="shared" si="6"/>
        <v>|--</v>
      </c>
      <c r="AP364" s="10"/>
      <c r="AQ364" s="51" t="str">
        <f t="shared" si="7"/>
        <v>ロケーションラベル</v>
      </c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</row>
    <row r="365" ht="15" spans="1:57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25">
        <v>98</v>
      </c>
      <c r="AA365" s="25"/>
      <c r="AB365" s="25"/>
      <c r="AC365" s="26">
        <v>1</v>
      </c>
      <c r="AD365" s="25"/>
      <c r="AE365" s="25"/>
      <c r="AF365" s="25">
        <v>98</v>
      </c>
      <c r="AG365" s="25"/>
      <c r="AH365" s="25"/>
      <c r="AI365" s="30" t="s">
        <v>117</v>
      </c>
      <c r="AJ365" s="48" t="str">
        <f t="shared" si="4"/>
        <v>運用会社管理</v>
      </c>
      <c r="AK365" s="10"/>
      <c r="AL365" s="10"/>
      <c r="AM365" s="10"/>
      <c r="AN365" s="10" t="str">
        <f t="shared" si="5"/>
        <v/>
      </c>
      <c r="AO365" s="10" t="str">
        <f t="shared" si="6"/>
        <v>|--</v>
      </c>
      <c r="AP365" s="10"/>
      <c r="AQ365" s="51" t="str">
        <f t="shared" si="7"/>
        <v>箱ラベル</v>
      </c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</row>
    <row r="366" ht="15" spans="1:57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25">
        <v>99</v>
      </c>
      <c r="AA366" s="25"/>
      <c r="AB366" s="25"/>
      <c r="AC366" s="26">
        <v>1</v>
      </c>
      <c r="AD366" s="25"/>
      <c r="AE366" s="25"/>
      <c r="AF366" s="25">
        <v>99</v>
      </c>
      <c r="AG366" s="25"/>
      <c r="AH366" s="25"/>
      <c r="AI366" s="30" t="s">
        <v>117</v>
      </c>
      <c r="AJ366" s="48" t="str">
        <f t="shared" si="4"/>
        <v>運用会社管理</v>
      </c>
      <c r="AK366" s="10"/>
      <c r="AL366" s="10"/>
      <c r="AM366" s="10"/>
      <c r="AN366" s="10" t="str">
        <f t="shared" si="5"/>
        <v>|----</v>
      </c>
      <c r="AO366" s="10" t="str">
        <f t="shared" si="6"/>
        <v/>
      </c>
      <c r="AP366" s="10"/>
      <c r="AQ366" s="51" t="str">
        <f t="shared" si="7"/>
        <v>マスタデータ</v>
      </c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</row>
    <row r="367" ht="15" spans="1:5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25">
        <v>100</v>
      </c>
      <c r="AA367" s="25"/>
      <c r="AB367" s="25"/>
      <c r="AC367" s="26">
        <v>1</v>
      </c>
      <c r="AD367" s="25"/>
      <c r="AE367" s="25"/>
      <c r="AF367" s="25">
        <v>100</v>
      </c>
      <c r="AG367" s="25"/>
      <c r="AH367" s="25"/>
      <c r="AI367" s="30" t="s">
        <v>117</v>
      </c>
      <c r="AJ367" s="48" t="str">
        <f t="shared" si="4"/>
        <v>運用会社管理</v>
      </c>
      <c r="AK367" s="10"/>
      <c r="AL367" s="10"/>
      <c r="AM367" s="10"/>
      <c r="AN367" s="10" t="str">
        <f t="shared" si="5"/>
        <v/>
      </c>
      <c r="AO367" s="10" t="str">
        <f t="shared" si="6"/>
        <v>|--</v>
      </c>
      <c r="AP367" s="10"/>
      <c r="AQ367" s="51" t="str">
        <f t="shared" si="7"/>
        <v>会社マスタ</v>
      </c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</row>
    <row r="368" ht="15" spans="1:57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25">
        <v>101</v>
      </c>
      <c r="AA368" s="25"/>
      <c r="AB368" s="25"/>
      <c r="AC368" s="26">
        <v>1</v>
      </c>
      <c r="AD368" s="25"/>
      <c r="AE368" s="25"/>
      <c r="AF368" s="25">
        <v>101</v>
      </c>
      <c r="AG368" s="25"/>
      <c r="AH368" s="25"/>
      <c r="AI368" s="30" t="s">
        <v>117</v>
      </c>
      <c r="AJ368" s="48" t="str">
        <f t="shared" si="4"/>
        <v>運用会社管理</v>
      </c>
      <c r="AK368" s="10"/>
      <c r="AL368" s="10"/>
      <c r="AM368" s="10"/>
      <c r="AN368" s="10" t="str">
        <f t="shared" si="5"/>
        <v/>
      </c>
      <c r="AO368" s="10" t="str">
        <f t="shared" si="6"/>
        <v>|--</v>
      </c>
      <c r="AP368" s="10"/>
      <c r="AQ368" s="51" t="str">
        <f t="shared" si="7"/>
        <v>組織マスタ</v>
      </c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</row>
    <row r="369" ht="15" spans="1:57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25">
        <v>102</v>
      </c>
      <c r="AA369" s="25"/>
      <c r="AB369" s="25"/>
      <c r="AC369" s="26">
        <v>1</v>
      </c>
      <c r="AD369" s="25"/>
      <c r="AE369" s="25"/>
      <c r="AF369" s="25">
        <v>102</v>
      </c>
      <c r="AG369" s="25"/>
      <c r="AH369" s="25"/>
      <c r="AI369" s="30" t="s">
        <v>117</v>
      </c>
      <c r="AJ369" s="48" t="str">
        <f t="shared" si="4"/>
        <v>運用会社管理</v>
      </c>
      <c r="AK369" s="10"/>
      <c r="AL369" s="10"/>
      <c r="AM369" s="10"/>
      <c r="AN369" s="10" t="str">
        <f t="shared" si="5"/>
        <v/>
      </c>
      <c r="AO369" s="10" t="str">
        <f t="shared" si="6"/>
        <v>|--</v>
      </c>
      <c r="AP369" s="10"/>
      <c r="AQ369" s="51" t="str">
        <f t="shared" si="7"/>
        <v>従業員マスタ</v>
      </c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</row>
    <row r="370" ht="15" spans="1:57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25">
        <v>103</v>
      </c>
      <c r="AA370" s="25"/>
      <c r="AB370" s="25"/>
      <c r="AC370" s="26">
        <v>1</v>
      </c>
      <c r="AD370" s="25"/>
      <c r="AE370" s="25"/>
      <c r="AF370" s="25">
        <v>103</v>
      </c>
      <c r="AG370" s="25"/>
      <c r="AH370" s="25"/>
      <c r="AI370" s="30" t="s">
        <v>117</v>
      </c>
      <c r="AJ370" s="48" t="str">
        <f t="shared" si="4"/>
        <v>運用会社管理</v>
      </c>
      <c r="AK370" s="10"/>
      <c r="AL370" s="10"/>
      <c r="AM370" s="10"/>
      <c r="AN370" s="10" t="str">
        <f t="shared" si="5"/>
        <v/>
      </c>
      <c r="AO370" s="10" t="str">
        <f t="shared" si="6"/>
        <v>|--</v>
      </c>
      <c r="AP370" s="10"/>
      <c r="AQ370" s="51" t="str">
        <f t="shared" si="7"/>
        <v>告知マスタ</v>
      </c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</row>
    <row r="371" ht="15" spans="1:57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25">
        <v>104</v>
      </c>
      <c r="AA371" s="25"/>
      <c r="AB371" s="25"/>
      <c r="AC371" s="26">
        <v>1</v>
      </c>
      <c r="AD371" s="25"/>
      <c r="AE371" s="25"/>
      <c r="AF371" s="25">
        <v>104</v>
      </c>
      <c r="AG371" s="25"/>
      <c r="AH371" s="25"/>
      <c r="AI371" s="30" t="s">
        <v>117</v>
      </c>
      <c r="AJ371" s="48" t="str">
        <f t="shared" si="4"/>
        <v>運用会社管理</v>
      </c>
      <c r="AK371" s="10"/>
      <c r="AL371" s="10"/>
      <c r="AM371" s="10"/>
      <c r="AN371" s="10" t="str">
        <f t="shared" si="5"/>
        <v/>
      </c>
      <c r="AO371" s="10" t="str">
        <f t="shared" si="6"/>
        <v>|--</v>
      </c>
      <c r="AP371" s="10"/>
      <c r="AQ371" s="51" t="str">
        <f t="shared" si="7"/>
        <v>得意先マスタ</v>
      </c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</row>
    <row r="372" ht="15" spans="1:57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25">
        <v>105</v>
      </c>
      <c r="AA372" s="25"/>
      <c r="AB372" s="25"/>
      <c r="AC372" s="26">
        <v>1</v>
      </c>
      <c r="AD372" s="25"/>
      <c r="AE372" s="25"/>
      <c r="AF372" s="25">
        <v>105</v>
      </c>
      <c r="AG372" s="25"/>
      <c r="AH372" s="25"/>
      <c r="AI372" s="30" t="s">
        <v>117</v>
      </c>
      <c r="AJ372" s="48" t="str">
        <f t="shared" si="4"/>
        <v>運用会社管理</v>
      </c>
      <c r="AK372" s="10"/>
      <c r="AL372" s="10"/>
      <c r="AM372" s="10"/>
      <c r="AN372" s="10" t="str">
        <f t="shared" si="5"/>
        <v/>
      </c>
      <c r="AO372" s="10" t="str">
        <f t="shared" si="6"/>
        <v>|--</v>
      </c>
      <c r="AP372" s="10"/>
      <c r="AQ372" s="51" t="str">
        <f t="shared" si="7"/>
        <v>納入先マスタ</v>
      </c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</row>
    <row r="373" ht="15" spans="1:57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25">
        <v>106</v>
      </c>
      <c r="AA373" s="25"/>
      <c r="AB373" s="25"/>
      <c r="AC373" s="26">
        <v>1</v>
      </c>
      <c r="AD373" s="25"/>
      <c r="AE373" s="25"/>
      <c r="AF373" s="25">
        <v>106</v>
      </c>
      <c r="AG373" s="25"/>
      <c r="AH373" s="25"/>
      <c r="AI373" s="30" t="s">
        <v>117</v>
      </c>
      <c r="AJ373" s="48" t="str">
        <f t="shared" si="4"/>
        <v>運用会社管理</v>
      </c>
      <c r="AK373" s="10"/>
      <c r="AL373" s="10"/>
      <c r="AM373" s="10"/>
      <c r="AN373" s="10" t="str">
        <f t="shared" si="5"/>
        <v/>
      </c>
      <c r="AO373" s="10" t="str">
        <f t="shared" si="6"/>
        <v>|--</v>
      </c>
      <c r="AP373" s="10"/>
      <c r="AQ373" s="51" t="str">
        <f t="shared" si="7"/>
        <v>仕入先マスタ</v>
      </c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</row>
    <row r="374" ht="15" spans="1:57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25">
        <v>107</v>
      </c>
      <c r="AA374" s="25"/>
      <c r="AB374" s="25"/>
      <c r="AC374" s="26">
        <v>1</v>
      </c>
      <c r="AD374" s="25"/>
      <c r="AE374" s="25"/>
      <c r="AF374" s="25">
        <v>107</v>
      </c>
      <c r="AG374" s="25"/>
      <c r="AH374" s="25"/>
      <c r="AI374" s="30" t="s">
        <v>117</v>
      </c>
      <c r="AJ374" s="48" t="str">
        <f t="shared" si="4"/>
        <v>運用会社管理</v>
      </c>
      <c r="AK374" s="10"/>
      <c r="AL374" s="10"/>
      <c r="AM374" s="10"/>
      <c r="AN374" s="10" t="str">
        <f t="shared" si="5"/>
        <v/>
      </c>
      <c r="AO374" s="10" t="str">
        <f t="shared" si="6"/>
        <v>|--</v>
      </c>
      <c r="AP374" s="10"/>
      <c r="AQ374" s="51" t="str">
        <f t="shared" si="7"/>
        <v>荷主マスタ</v>
      </c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</row>
    <row r="375" ht="15" spans="1:57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25">
        <v>108</v>
      </c>
      <c r="AA375" s="25"/>
      <c r="AB375" s="25"/>
      <c r="AC375" s="26">
        <v>1</v>
      </c>
      <c r="AD375" s="25"/>
      <c r="AE375" s="25"/>
      <c r="AF375" s="25">
        <v>108</v>
      </c>
      <c r="AG375" s="25"/>
      <c r="AH375" s="25"/>
      <c r="AI375" s="30" t="s">
        <v>117</v>
      </c>
      <c r="AJ375" s="48" t="str">
        <f t="shared" si="4"/>
        <v>運用会社管理</v>
      </c>
      <c r="AK375" s="10"/>
      <c r="AL375" s="10"/>
      <c r="AM375" s="10"/>
      <c r="AN375" s="10" t="str">
        <f t="shared" si="5"/>
        <v/>
      </c>
      <c r="AO375" s="10" t="str">
        <f t="shared" si="6"/>
        <v>|--</v>
      </c>
      <c r="AP375" s="10"/>
      <c r="AQ375" s="51" t="str">
        <f t="shared" si="7"/>
        <v>配送業者マスタ</v>
      </c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</row>
    <row r="376" ht="15" spans="1:57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25">
        <v>109</v>
      </c>
      <c r="AA376" s="25"/>
      <c r="AB376" s="25"/>
      <c r="AC376" s="26">
        <v>1</v>
      </c>
      <c r="AD376" s="25"/>
      <c r="AE376" s="25"/>
      <c r="AF376" s="25">
        <v>109</v>
      </c>
      <c r="AG376" s="25"/>
      <c r="AH376" s="25"/>
      <c r="AI376" s="30" t="s">
        <v>117</v>
      </c>
      <c r="AJ376" s="48" t="str">
        <f t="shared" si="4"/>
        <v>運用会社管理</v>
      </c>
      <c r="AK376" s="10"/>
      <c r="AL376" s="10"/>
      <c r="AM376" s="10"/>
      <c r="AN376" s="10" t="str">
        <f t="shared" si="5"/>
        <v/>
      </c>
      <c r="AO376" s="10" t="str">
        <f t="shared" si="6"/>
        <v>|--</v>
      </c>
      <c r="AP376" s="10"/>
      <c r="AQ376" s="51" t="str">
        <f t="shared" si="7"/>
        <v>商品マスタ</v>
      </c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</row>
    <row r="377" ht="15" spans="1:5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25">
        <v>110</v>
      </c>
      <c r="AA377" s="25"/>
      <c r="AB377" s="25"/>
      <c r="AC377" s="26">
        <v>1</v>
      </c>
      <c r="AD377" s="25"/>
      <c r="AE377" s="25"/>
      <c r="AF377" s="25">
        <v>110</v>
      </c>
      <c r="AG377" s="25"/>
      <c r="AH377" s="25"/>
      <c r="AI377" s="30" t="s">
        <v>117</v>
      </c>
      <c r="AJ377" s="48" t="str">
        <f t="shared" si="4"/>
        <v>運用会社管理</v>
      </c>
      <c r="AK377" s="10"/>
      <c r="AL377" s="10"/>
      <c r="AM377" s="10"/>
      <c r="AN377" s="10" t="str">
        <f t="shared" si="5"/>
        <v/>
      </c>
      <c r="AO377" s="10" t="str">
        <f t="shared" si="6"/>
        <v>|--</v>
      </c>
      <c r="AP377" s="10"/>
      <c r="AQ377" s="51" t="str">
        <f t="shared" si="7"/>
        <v>商品単価マスタ</v>
      </c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</row>
    <row r="378" ht="15" spans="1:57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25">
        <v>111</v>
      </c>
      <c r="AA378" s="25"/>
      <c r="AB378" s="25"/>
      <c r="AC378" s="26">
        <v>1</v>
      </c>
      <c r="AD378" s="25"/>
      <c r="AE378" s="25"/>
      <c r="AF378" s="25">
        <v>111</v>
      </c>
      <c r="AG378" s="25"/>
      <c r="AH378" s="25"/>
      <c r="AI378" s="30" t="s">
        <v>117</v>
      </c>
      <c r="AJ378" s="48" t="str">
        <f t="shared" si="4"/>
        <v>運用会社管理</v>
      </c>
      <c r="AK378" s="10"/>
      <c r="AL378" s="10"/>
      <c r="AM378" s="10"/>
      <c r="AN378" s="10" t="str">
        <f t="shared" si="5"/>
        <v/>
      </c>
      <c r="AO378" s="10" t="str">
        <f t="shared" si="6"/>
        <v>|--</v>
      </c>
      <c r="AP378" s="10"/>
      <c r="AQ378" s="51" t="str">
        <f t="shared" si="7"/>
        <v>得意先商品マスタ</v>
      </c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</row>
    <row r="379" ht="15" spans="1:57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25">
        <v>112</v>
      </c>
      <c r="AA379" s="25"/>
      <c r="AB379" s="25"/>
      <c r="AC379" s="26">
        <v>1</v>
      </c>
      <c r="AD379" s="25"/>
      <c r="AE379" s="25"/>
      <c r="AF379" s="25">
        <v>112</v>
      </c>
      <c r="AG379" s="25"/>
      <c r="AH379" s="25"/>
      <c r="AI379" s="30" t="s">
        <v>117</v>
      </c>
      <c r="AJ379" s="48" t="str">
        <f t="shared" si="4"/>
        <v>運用会社管理</v>
      </c>
      <c r="AK379" s="10"/>
      <c r="AL379" s="10"/>
      <c r="AM379" s="10"/>
      <c r="AN379" s="10" t="str">
        <f t="shared" si="5"/>
        <v/>
      </c>
      <c r="AO379" s="10" t="str">
        <f t="shared" si="6"/>
        <v>|--</v>
      </c>
      <c r="AP379" s="10"/>
      <c r="AQ379" s="51" t="str">
        <f t="shared" si="7"/>
        <v>仕入先別商品マスタ</v>
      </c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</row>
    <row r="380" ht="15" spans="1:57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25">
        <v>113</v>
      </c>
      <c r="AA380" s="25"/>
      <c r="AB380" s="25"/>
      <c r="AC380" s="26">
        <v>1</v>
      </c>
      <c r="AD380" s="25"/>
      <c r="AE380" s="25"/>
      <c r="AF380" s="25">
        <v>113</v>
      </c>
      <c r="AG380" s="25"/>
      <c r="AH380" s="25"/>
      <c r="AI380" s="30" t="s">
        <v>117</v>
      </c>
      <c r="AJ380" s="48" t="str">
        <f t="shared" si="4"/>
        <v>運用会社管理</v>
      </c>
      <c r="AK380" s="10"/>
      <c r="AL380" s="10"/>
      <c r="AM380" s="10"/>
      <c r="AN380" s="10" t="str">
        <f t="shared" si="5"/>
        <v/>
      </c>
      <c r="AO380" s="10" t="str">
        <f t="shared" si="6"/>
        <v>|--</v>
      </c>
      <c r="AP380" s="10"/>
      <c r="AQ380" s="51" t="str">
        <f t="shared" si="7"/>
        <v>得意先納入先別商品単価マスタ</v>
      </c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</row>
    <row r="381" ht="15" spans="1:57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25">
        <v>114</v>
      </c>
      <c r="AA381" s="25"/>
      <c r="AB381" s="25"/>
      <c r="AC381" s="26">
        <v>1</v>
      </c>
      <c r="AD381" s="25"/>
      <c r="AE381" s="25"/>
      <c r="AF381" s="25">
        <v>114</v>
      </c>
      <c r="AG381" s="25"/>
      <c r="AH381" s="25"/>
      <c r="AI381" s="30" t="s">
        <v>117</v>
      </c>
      <c r="AJ381" s="48" t="str">
        <f t="shared" si="4"/>
        <v>運用会社管理</v>
      </c>
      <c r="AK381" s="10"/>
      <c r="AL381" s="10"/>
      <c r="AM381" s="10"/>
      <c r="AN381" s="10" t="str">
        <f t="shared" si="5"/>
        <v/>
      </c>
      <c r="AO381" s="10" t="str">
        <f t="shared" si="6"/>
        <v>|--</v>
      </c>
      <c r="AP381" s="10"/>
      <c r="AQ381" s="51" t="str">
        <f t="shared" si="7"/>
        <v>仕入先商品単価マスタ</v>
      </c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</row>
    <row r="382" ht="15" spans="1:57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25">
        <v>115</v>
      </c>
      <c r="AA382" s="25"/>
      <c r="AB382" s="25"/>
      <c r="AC382" s="26">
        <v>1</v>
      </c>
      <c r="AD382" s="25"/>
      <c r="AE382" s="25"/>
      <c r="AF382" s="25">
        <v>115</v>
      </c>
      <c r="AG382" s="25"/>
      <c r="AH382" s="25"/>
      <c r="AI382" s="30" t="s">
        <v>117</v>
      </c>
      <c r="AJ382" s="48" t="str">
        <f t="shared" si="4"/>
        <v>運用会社管理</v>
      </c>
      <c r="AK382" s="10"/>
      <c r="AL382" s="10"/>
      <c r="AM382" s="10"/>
      <c r="AN382" s="10" t="str">
        <f t="shared" si="5"/>
        <v/>
      </c>
      <c r="AO382" s="10" t="str">
        <f t="shared" si="6"/>
        <v>|--</v>
      </c>
      <c r="AP382" s="10"/>
      <c r="AQ382" s="51" t="str">
        <f t="shared" si="7"/>
        <v>商品荷姿マスタ</v>
      </c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</row>
    <row r="383" ht="15" spans="1:57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25">
        <v>116</v>
      </c>
      <c r="AA383" s="25"/>
      <c r="AB383" s="25"/>
      <c r="AC383" s="26">
        <v>1</v>
      </c>
      <c r="AD383" s="25"/>
      <c r="AE383" s="25"/>
      <c r="AF383" s="25">
        <v>116</v>
      </c>
      <c r="AG383" s="25"/>
      <c r="AH383" s="25"/>
      <c r="AI383" s="30" t="s">
        <v>117</v>
      </c>
      <c r="AJ383" s="48" t="str">
        <f t="shared" si="4"/>
        <v>運用会社管理</v>
      </c>
      <c r="AK383" s="10"/>
      <c r="AL383" s="10"/>
      <c r="AM383" s="10"/>
      <c r="AN383" s="10" t="str">
        <f t="shared" si="5"/>
        <v/>
      </c>
      <c r="AO383" s="10" t="str">
        <f t="shared" si="6"/>
        <v>|--</v>
      </c>
      <c r="AP383" s="10"/>
      <c r="AQ383" s="51" t="str">
        <f t="shared" si="7"/>
        <v>商品構成マスタ</v>
      </c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</row>
    <row r="384" ht="15" spans="1:57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25">
        <v>117</v>
      </c>
      <c r="AA384" s="25"/>
      <c r="AB384" s="25"/>
      <c r="AC384" s="26">
        <v>1</v>
      </c>
      <c r="AD384" s="25"/>
      <c r="AE384" s="25"/>
      <c r="AF384" s="25">
        <v>117</v>
      </c>
      <c r="AG384" s="25"/>
      <c r="AH384" s="25"/>
      <c r="AI384" s="30" t="s">
        <v>117</v>
      </c>
      <c r="AJ384" s="48" t="str">
        <f t="shared" si="4"/>
        <v>運用会社管理</v>
      </c>
      <c r="AK384" s="10"/>
      <c r="AL384" s="10"/>
      <c r="AM384" s="10"/>
      <c r="AN384" s="10" t="str">
        <f t="shared" si="5"/>
        <v/>
      </c>
      <c r="AO384" s="10" t="str">
        <f t="shared" si="6"/>
        <v>|--</v>
      </c>
      <c r="AP384" s="10"/>
      <c r="AQ384" s="51" t="str">
        <f t="shared" si="7"/>
        <v>セット出荷マスタ</v>
      </c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</row>
    <row r="385" ht="15" spans="1:57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25">
        <v>118</v>
      </c>
      <c r="AA385" s="25"/>
      <c r="AB385" s="25"/>
      <c r="AC385" s="26">
        <v>1</v>
      </c>
      <c r="AD385" s="25"/>
      <c r="AE385" s="25"/>
      <c r="AF385" s="25">
        <v>118</v>
      </c>
      <c r="AG385" s="25"/>
      <c r="AH385" s="25"/>
      <c r="AI385" s="30" t="s">
        <v>117</v>
      </c>
      <c r="AJ385" s="48" t="str">
        <f t="shared" si="4"/>
        <v>運用会社管理</v>
      </c>
      <c r="AK385" s="10"/>
      <c r="AL385" s="10"/>
      <c r="AM385" s="10"/>
      <c r="AN385" s="10" t="str">
        <f t="shared" si="5"/>
        <v/>
      </c>
      <c r="AO385" s="10" t="str">
        <f t="shared" si="6"/>
        <v>|--</v>
      </c>
      <c r="AP385" s="10"/>
      <c r="AQ385" s="51" t="str">
        <f t="shared" si="7"/>
        <v>倉庫マスタ</v>
      </c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</row>
    <row r="386" ht="15" spans="1:57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25">
        <v>119</v>
      </c>
      <c r="AA386" s="25"/>
      <c r="AB386" s="25"/>
      <c r="AC386" s="26">
        <v>1</v>
      </c>
      <c r="AD386" s="25"/>
      <c r="AE386" s="25"/>
      <c r="AF386" s="25">
        <v>119</v>
      </c>
      <c r="AG386" s="25"/>
      <c r="AH386" s="25"/>
      <c r="AI386" s="30" t="s">
        <v>117</v>
      </c>
      <c r="AJ386" s="48" t="str">
        <f t="shared" si="4"/>
        <v>運用会社管理</v>
      </c>
      <c r="AK386" s="10"/>
      <c r="AL386" s="10"/>
      <c r="AM386" s="10"/>
      <c r="AN386" s="10" t="str">
        <f t="shared" si="5"/>
        <v/>
      </c>
      <c r="AO386" s="10" t="str">
        <f t="shared" si="6"/>
        <v>|--</v>
      </c>
      <c r="AP386" s="10"/>
      <c r="AQ386" s="51" t="str">
        <f t="shared" si="7"/>
        <v>ロケーションマスタ</v>
      </c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</row>
    <row r="387" ht="15" spans="1:5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25">
        <v>120</v>
      </c>
      <c r="AA387" s="25"/>
      <c r="AB387" s="25"/>
      <c r="AC387" s="26">
        <v>1</v>
      </c>
      <c r="AD387" s="25"/>
      <c r="AE387" s="25"/>
      <c r="AF387" s="25">
        <v>120</v>
      </c>
      <c r="AG387" s="25"/>
      <c r="AH387" s="25"/>
      <c r="AI387" s="30" t="s">
        <v>117</v>
      </c>
      <c r="AJ387" s="48" t="str">
        <f t="shared" si="4"/>
        <v>運用会社管理</v>
      </c>
      <c r="AK387" s="10"/>
      <c r="AL387" s="10"/>
      <c r="AM387" s="10"/>
      <c r="AN387" s="10" t="str">
        <f t="shared" si="5"/>
        <v/>
      </c>
      <c r="AO387" s="10" t="str">
        <f t="shared" si="6"/>
        <v>|--</v>
      </c>
      <c r="AP387" s="10"/>
      <c r="AQ387" s="51" t="str">
        <f t="shared" si="7"/>
        <v>在庫情報マスタ</v>
      </c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</row>
    <row r="388" ht="15" spans="1:57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25">
        <v>121</v>
      </c>
      <c r="AA388" s="25"/>
      <c r="AB388" s="25"/>
      <c r="AC388" s="26">
        <v>1</v>
      </c>
      <c r="AD388" s="25"/>
      <c r="AE388" s="25"/>
      <c r="AF388" s="25">
        <v>121</v>
      </c>
      <c r="AG388" s="25"/>
      <c r="AH388" s="25"/>
      <c r="AI388" s="30" t="s">
        <v>117</v>
      </c>
      <c r="AJ388" s="48" t="str">
        <f t="shared" si="4"/>
        <v>運用会社管理</v>
      </c>
      <c r="AK388" s="10"/>
      <c r="AL388" s="10"/>
      <c r="AM388" s="10"/>
      <c r="AN388" s="10" t="str">
        <f t="shared" si="5"/>
        <v/>
      </c>
      <c r="AO388" s="10" t="str">
        <f t="shared" si="6"/>
        <v>|--</v>
      </c>
      <c r="AP388" s="10"/>
      <c r="AQ388" s="51" t="str">
        <f t="shared" si="7"/>
        <v>カレンダーマスタ</v>
      </c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</row>
    <row r="389" ht="15" spans="1:57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25">
        <v>122</v>
      </c>
      <c r="AA389" s="25"/>
      <c r="AB389" s="25"/>
      <c r="AC389" s="26">
        <v>1</v>
      </c>
      <c r="AD389" s="25"/>
      <c r="AE389" s="25"/>
      <c r="AF389" s="25">
        <v>122</v>
      </c>
      <c r="AG389" s="25"/>
      <c r="AH389" s="25"/>
      <c r="AI389" s="30" t="s">
        <v>117</v>
      </c>
      <c r="AJ389" s="48" t="str">
        <f t="shared" si="4"/>
        <v>運用会社管理</v>
      </c>
      <c r="AK389" s="10"/>
      <c r="AL389" s="10"/>
      <c r="AM389" s="10"/>
      <c r="AN389" s="10" t="str">
        <f t="shared" si="5"/>
        <v>|----</v>
      </c>
      <c r="AO389" s="10" t="str">
        <f t="shared" si="6"/>
        <v/>
      </c>
      <c r="AP389" s="10"/>
      <c r="AQ389" s="51" t="str">
        <f t="shared" si="7"/>
        <v>設定</v>
      </c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</row>
    <row r="390" ht="15" spans="1:57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25">
        <v>123</v>
      </c>
      <c r="AA390" s="25"/>
      <c r="AB390" s="25"/>
      <c r="AC390" s="26">
        <v>1</v>
      </c>
      <c r="AD390" s="25"/>
      <c r="AE390" s="25"/>
      <c r="AF390" s="25">
        <v>123</v>
      </c>
      <c r="AG390" s="25"/>
      <c r="AH390" s="25"/>
      <c r="AI390" s="30" t="s">
        <v>117</v>
      </c>
      <c r="AJ390" s="48" t="str">
        <f t="shared" si="4"/>
        <v>運用会社管理</v>
      </c>
      <c r="AK390" s="10"/>
      <c r="AL390" s="10"/>
      <c r="AM390" s="10"/>
      <c r="AN390" s="10" t="str">
        <f t="shared" si="5"/>
        <v/>
      </c>
      <c r="AO390" s="10" t="str">
        <f t="shared" si="6"/>
        <v>|--</v>
      </c>
      <c r="AP390" s="10"/>
      <c r="AQ390" s="51" t="str">
        <f t="shared" si="7"/>
        <v>帳票紐付け</v>
      </c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</row>
    <row r="391" ht="15" spans="1:57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25">
        <v>124</v>
      </c>
      <c r="AA391" s="25"/>
      <c r="AB391" s="25"/>
      <c r="AC391" s="26">
        <v>1</v>
      </c>
      <c r="AD391" s="25"/>
      <c r="AE391" s="25"/>
      <c r="AF391" s="25">
        <v>124</v>
      </c>
      <c r="AG391" s="25"/>
      <c r="AH391" s="25"/>
      <c r="AI391" s="30" t="s">
        <v>117</v>
      </c>
      <c r="AJ391" s="48" t="str">
        <f t="shared" si="4"/>
        <v>運用会社管理</v>
      </c>
      <c r="AK391" s="10"/>
      <c r="AL391" s="10"/>
      <c r="AM391" s="10"/>
      <c r="AN391" s="10" t="str">
        <f t="shared" si="5"/>
        <v/>
      </c>
      <c r="AO391" s="10" t="str">
        <f t="shared" si="6"/>
        <v>|--</v>
      </c>
      <c r="AP391" s="10"/>
      <c r="AQ391" s="51" t="str">
        <f t="shared" si="7"/>
        <v>メニューマスタ</v>
      </c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</row>
    <row r="392" ht="15" spans="1:57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25">
        <v>125</v>
      </c>
      <c r="AA392" s="25"/>
      <c r="AB392" s="25"/>
      <c r="AC392" s="26">
        <v>1</v>
      </c>
      <c r="AD392" s="25"/>
      <c r="AE392" s="25"/>
      <c r="AF392" s="25">
        <v>125</v>
      </c>
      <c r="AG392" s="25"/>
      <c r="AH392" s="25"/>
      <c r="AI392" s="30" t="s">
        <v>117</v>
      </c>
      <c r="AJ392" s="48" t="str">
        <f t="shared" si="4"/>
        <v>運用会社管理</v>
      </c>
      <c r="AK392" s="10"/>
      <c r="AL392" s="10"/>
      <c r="AM392" s="10"/>
      <c r="AN392" s="10" t="str">
        <f t="shared" si="5"/>
        <v/>
      </c>
      <c r="AO392" s="10" t="str">
        <f t="shared" si="6"/>
        <v>|--</v>
      </c>
      <c r="AP392" s="10"/>
      <c r="AQ392" s="51" t="str">
        <f t="shared" si="7"/>
        <v>多言語マスタ</v>
      </c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</row>
    <row r="393" ht="15" spans="1:57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25">
        <v>126</v>
      </c>
      <c r="AA393" s="25"/>
      <c r="AB393" s="25"/>
      <c r="AC393" s="26">
        <v>1</v>
      </c>
      <c r="AD393" s="25"/>
      <c r="AE393" s="25"/>
      <c r="AF393" s="25">
        <v>126</v>
      </c>
      <c r="AG393" s="25"/>
      <c r="AH393" s="25"/>
      <c r="AI393" s="30" t="s">
        <v>117</v>
      </c>
      <c r="AJ393" s="48" t="str">
        <f t="shared" si="4"/>
        <v>運用会社管理</v>
      </c>
      <c r="AK393" s="10"/>
      <c r="AL393" s="10"/>
      <c r="AM393" s="10"/>
      <c r="AN393" s="10" t="str">
        <f t="shared" si="5"/>
        <v/>
      </c>
      <c r="AO393" s="10" t="str">
        <f t="shared" si="6"/>
        <v>|--</v>
      </c>
      <c r="AP393" s="10"/>
      <c r="AQ393" s="51" t="str">
        <f t="shared" si="7"/>
        <v>マスタ編集</v>
      </c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</row>
    <row r="394" ht="15" spans="1:57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25">
        <v>127</v>
      </c>
      <c r="AA394" s="25"/>
      <c r="AB394" s="25"/>
      <c r="AC394" s="26">
        <v>1</v>
      </c>
      <c r="AD394" s="25"/>
      <c r="AE394" s="25"/>
      <c r="AF394" s="25">
        <v>127</v>
      </c>
      <c r="AG394" s="25"/>
      <c r="AH394" s="25"/>
      <c r="AI394" s="30" t="s">
        <v>117</v>
      </c>
      <c r="AJ394" s="48" t="str">
        <f t="shared" si="4"/>
        <v>運用会社管理</v>
      </c>
      <c r="AK394" s="10"/>
      <c r="AL394" s="10"/>
      <c r="AM394" s="10"/>
      <c r="AN394" s="10" t="str">
        <f t="shared" si="5"/>
        <v/>
      </c>
      <c r="AO394" s="10" t="str">
        <f t="shared" si="6"/>
        <v>|--</v>
      </c>
      <c r="AP394" s="10"/>
      <c r="AQ394" s="51" t="str">
        <f t="shared" si="7"/>
        <v>帳票編集</v>
      </c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</row>
    <row r="395" ht="15" spans="1:57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25">
        <v>128</v>
      </c>
      <c r="AA395" s="25"/>
      <c r="AB395" s="25"/>
      <c r="AC395" s="26">
        <v>1</v>
      </c>
      <c r="AD395" s="25"/>
      <c r="AE395" s="25"/>
      <c r="AF395" s="25">
        <v>128</v>
      </c>
      <c r="AG395" s="25"/>
      <c r="AH395" s="25"/>
      <c r="AI395" s="30" t="s">
        <v>117</v>
      </c>
      <c r="AJ395" s="48" t="str">
        <f t="shared" si="4"/>
        <v>運用会社管理</v>
      </c>
      <c r="AK395" s="10"/>
      <c r="AL395" s="10"/>
      <c r="AM395" s="10"/>
      <c r="AN395" s="10" t="str">
        <f t="shared" si="5"/>
        <v/>
      </c>
      <c r="AO395" s="10" t="str">
        <f t="shared" si="6"/>
        <v>|--</v>
      </c>
      <c r="AP395" s="10"/>
      <c r="AQ395" s="51" t="str">
        <f t="shared" si="7"/>
        <v>画面編集</v>
      </c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</row>
    <row r="396" ht="15" spans="1:57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25">
        <v>129</v>
      </c>
      <c r="AA396" s="25"/>
      <c r="AB396" s="25"/>
      <c r="AC396" s="26">
        <v>1</v>
      </c>
      <c r="AD396" s="25"/>
      <c r="AE396" s="25"/>
      <c r="AF396" s="25">
        <v>129</v>
      </c>
      <c r="AG396" s="25"/>
      <c r="AH396" s="25"/>
      <c r="AI396" s="30" t="s">
        <v>117</v>
      </c>
      <c r="AJ396" s="48" t="str">
        <f t="shared" ref="AJ396:AJ459" si="8">VLOOKUP(AC396,$Z$26:$AH$28,4,FALSE)</f>
        <v>運用会社管理</v>
      </c>
      <c r="AK396" s="10"/>
      <c r="AL396" s="10"/>
      <c r="AM396" s="10"/>
      <c r="AN396" s="10" t="str">
        <f t="shared" ref="AN396:AN459" si="9">IF(VLOOKUP(AF396,$Z$109:$AI$263,4,FALSE),"","|----")</f>
        <v/>
      </c>
      <c r="AO396" s="10" t="str">
        <f t="shared" ref="AO396:AO459" si="10">IF(VLOOKUP(AF396,$Z$109:$AI$263,4,FALSE),"|--","")</f>
        <v>|--</v>
      </c>
      <c r="AP396" s="10"/>
      <c r="AQ396" s="51" t="str">
        <f t="shared" ref="AQ396:AQ459" si="11">VLOOKUP(AF396,$Z$109:$AI$263,7,FALSE)</f>
        <v>アイコン編集</v>
      </c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</row>
    <row r="397" ht="15" spans="1:5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25">
        <v>130</v>
      </c>
      <c r="AA397" s="25"/>
      <c r="AB397" s="25"/>
      <c r="AC397" s="26">
        <v>1</v>
      </c>
      <c r="AD397" s="25"/>
      <c r="AE397" s="25"/>
      <c r="AF397" s="25">
        <v>130</v>
      </c>
      <c r="AG397" s="25"/>
      <c r="AH397" s="25"/>
      <c r="AI397" s="30" t="s">
        <v>117</v>
      </c>
      <c r="AJ397" s="48" t="str">
        <f t="shared" si="8"/>
        <v>運用会社管理</v>
      </c>
      <c r="AK397" s="10"/>
      <c r="AL397" s="10"/>
      <c r="AM397" s="10"/>
      <c r="AN397" s="10" t="str">
        <f t="shared" si="9"/>
        <v/>
      </c>
      <c r="AO397" s="10" t="str">
        <f t="shared" si="10"/>
        <v>|--</v>
      </c>
      <c r="AP397" s="10"/>
      <c r="AQ397" s="51" t="str">
        <f t="shared" si="11"/>
        <v>ログイン情報</v>
      </c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</row>
    <row r="398" ht="15" spans="1:57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25">
        <v>131</v>
      </c>
      <c r="AA398" s="25"/>
      <c r="AB398" s="25"/>
      <c r="AC398" s="26">
        <v>1</v>
      </c>
      <c r="AD398" s="25"/>
      <c r="AE398" s="25"/>
      <c r="AF398" s="25">
        <v>131</v>
      </c>
      <c r="AG398" s="25"/>
      <c r="AH398" s="25"/>
      <c r="AI398" s="30" t="s">
        <v>117</v>
      </c>
      <c r="AJ398" s="48" t="str">
        <f t="shared" si="8"/>
        <v>運用会社管理</v>
      </c>
      <c r="AK398" s="10"/>
      <c r="AL398" s="10"/>
      <c r="AM398" s="10"/>
      <c r="AN398" s="10" t="str">
        <f t="shared" si="9"/>
        <v/>
      </c>
      <c r="AO398" s="10" t="str">
        <f t="shared" si="10"/>
        <v>|--</v>
      </c>
      <c r="AP398" s="10"/>
      <c r="AQ398" s="51" t="str">
        <f t="shared" si="11"/>
        <v>リポジトリ</v>
      </c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</row>
    <row r="399" ht="15" spans="1:57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25">
        <v>132</v>
      </c>
      <c r="AA399" s="25"/>
      <c r="AB399" s="25"/>
      <c r="AC399" s="26">
        <v>1</v>
      </c>
      <c r="AD399" s="25"/>
      <c r="AE399" s="25"/>
      <c r="AF399" s="25">
        <v>132</v>
      </c>
      <c r="AG399" s="25"/>
      <c r="AH399" s="25"/>
      <c r="AI399" s="30" t="s">
        <v>117</v>
      </c>
      <c r="AJ399" s="48" t="str">
        <f t="shared" si="8"/>
        <v>運用会社管理</v>
      </c>
      <c r="AK399" s="10"/>
      <c r="AL399" s="10"/>
      <c r="AM399" s="10"/>
      <c r="AN399" s="10" t="str">
        <f t="shared" si="9"/>
        <v/>
      </c>
      <c r="AO399" s="10" t="str">
        <f t="shared" si="10"/>
        <v>|--</v>
      </c>
      <c r="AP399" s="10"/>
      <c r="AQ399" s="51" t="str">
        <f t="shared" si="11"/>
        <v>権限マスタ</v>
      </c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</row>
    <row r="400" ht="15" spans="1:57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25">
        <v>133</v>
      </c>
      <c r="AA400" s="25"/>
      <c r="AB400" s="25"/>
      <c r="AC400" s="26">
        <v>1</v>
      </c>
      <c r="AD400" s="25"/>
      <c r="AE400" s="25"/>
      <c r="AF400" s="25">
        <v>133</v>
      </c>
      <c r="AG400" s="25"/>
      <c r="AH400" s="25"/>
      <c r="AI400" s="30" t="s">
        <v>117</v>
      </c>
      <c r="AJ400" s="48" t="str">
        <f t="shared" si="8"/>
        <v>運用会社管理</v>
      </c>
      <c r="AK400" s="10"/>
      <c r="AL400" s="10"/>
      <c r="AM400" s="10"/>
      <c r="AN400" s="10" t="str">
        <f t="shared" si="9"/>
        <v/>
      </c>
      <c r="AO400" s="10" t="str">
        <f t="shared" si="10"/>
        <v>|--</v>
      </c>
      <c r="AP400" s="10"/>
      <c r="AQ400" s="51" t="str">
        <f t="shared" si="11"/>
        <v>メッセージマスタ</v>
      </c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</row>
    <row r="401" ht="15" spans="1:57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25">
        <v>134</v>
      </c>
      <c r="AA401" s="25"/>
      <c r="AB401" s="25"/>
      <c r="AC401" s="26">
        <v>1</v>
      </c>
      <c r="AD401" s="25"/>
      <c r="AE401" s="25"/>
      <c r="AF401" s="25">
        <v>134</v>
      </c>
      <c r="AG401" s="25"/>
      <c r="AH401" s="25"/>
      <c r="AI401" s="30" t="s">
        <v>117</v>
      </c>
      <c r="AJ401" s="48" t="str">
        <f t="shared" si="8"/>
        <v>運用会社管理</v>
      </c>
      <c r="AK401" s="10"/>
      <c r="AL401" s="10"/>
      <c r="AM401" s="10"/>
      <c r="AN401" s="10" t="str">
        <f t="shared" si="9"/>
        <v/>
      </c>
      <c r="AO401" s="10" t="str">
        <f t="shared" si="10"/>
        <v>|--</v>
      </c>
      <c r="AP401" s="10"/>
      <c r="AQ401" s="51" t="str">
        <f t="shared" si="11"/>
        <v>汎用分類マスタ</v>
      </c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</row>
    <row r="402" ht="15" spans="1:57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25">
        <v>135</v>
      </c>
      <c r="AA402" s="25"/>
      <c r="AB402" s="25"/>
      <c r="AC402" s="26">
        <v>1</v>
      </c>
      <c r="AD402" s="25"/>
      <c r="AE402" s="25"/>
      <c r="AF402" s="25">
        <v>135</v>
      </c>
      <c r="AG402" s="25"/>
      <c r="AH402" s="25"/>
      <c r="AI402" s="30" t="s">
        <v>117</v>
      </c>
      <c r="AJ402" s="48" t="str">
        <f t="shared" si="8"/>
        <v>運用会社管理</v>
      </c>
      <c r="AK402" s="10"/>
      <c r="AL402" s="10"/>
      <c r="AM402" s="10"/>
      <c r="AN402" s="10" t="str">
        <f t="shared" si="9"/>
        <v/>
      </c>
      <c r="AO402" s="10" t="str">
        <f t="shared" si="10"/>
        <v>|--</v>
      </c>
      <c r="AP402" s="10"/>
      <c r="AQ402" s="51" t="str">
        <f t="shared" si="11"/>
        <v>汎用詳細マスタ</v>
      </c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</row>
    <row r="403" ht="15" spans="1:57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25">
        <v>136</v>
      </c>
      <c r="AA403" s="25"/>
      <c r="AB403" s="25"/>
      <c r="AC403" s="26">
        <v>1</v>
      </c>
      <c r="AD403" s="25"/>
      <c r="AE403" s="25"/>
      <c r="AF403" s="25">
        <v>136</v>
      </c>
      <c r="AG403" s="25"/>
      <c r="AH403" s="25"/>
      <c r="AI403" s="30" t="s">
        <v>117</v>
      </c>
      <c r="AJ403" s="48" t="str">
        <f t="shared" si="8"/>
        <v>運用会社管理</v>
      </c>
      <c r="AK403" s="10"/>
      <c r="AL403" s="10"/>
      <c r="AM403" s="10"/>
      <c r="AN403" s="10" t="str">
        <f t="shared" si="9"/>
        <v/>
      </c>
      <c r="AO403" s="10" t="str">
        <f t="shared" si="10"/>
        <v>|--</v>
      </c>
      <c r="AP403" s="10"/>
      <c r="AQ403" s="51" t="str">
        <f t="shared" si="11"/>
        <v>採番マスタ</v>
      </c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</row>
    <row r="404" ht="15" spans="1:57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25">
        <v>137</v>
      </c>
      <c r="AA404" s="25"/>
      <c r="AB404" s="25"/>
      <c r="AC404" s="26">
        <v>1</v>
      </c>
      <c r="AD404" s="25"/>
      <c r="AE404" s="25"/>
      <c r="AF404" s="25">
        <v>137</v>
      </c>
      <c r="AG404" s="25"/>
      <c r="AH404" s="25"/>
      <c r="AI404" s="30" t="s">
        <v>117</v>
      </c>
      <c r="AJ404" s="48" t="str">
        <f t="shared" si="8"/>
        <v>運用会社管理</v>
      </c>
      <c r="AK404" s="10"/>
      <c r="AL404" s="10"/>
      <c r="AM404" s="10"/>
      <c r="AN404" s="10" t="str">
        <f t="shared" si="9"/>
        <v/>
      </c>
      <c r="AO404" s="10" t="str">
        <f t="shared" si="10"/>
        <v>|--</v>
      </c>
      <c r="AP404" s="10"/>
      <c r="AQ404" s="51" t="str">
        <f t="shared" si="11"/>
        <v>システムマスタ</v>
      </c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</row>
    <row r="405" ht="15" spans="1:57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25">
        <v>138</v>
      </c>
      <c r="AA405" s="25"/>
      <c r="AB405" s="25"/>
      <c r="AC405" s="26">
        <v>1</v>
      </c>
      <c r="AD405" s="25"/>
      <c r="AE405" s="25"/>
      <c r="AF405" s="25">
        <v>138</v>
      </c>
      <c r="AG405" s="25"/>
      <c r="AH405" s="25"/>
      <c r="AI405" s="30" t="s">
        <v>117</v>
      </c>
      <c r="AJ405" s="48" t="str">
        <f t="shared" si="8"/>
        <v>運用会社管理</v>
      </c>
      <c r="AK405" s="10"/>
      <c r="AL405" s="10"/>
      <c r="AM405" s="10"/>
      <c r="AN405" s="10" t="str">
        <f t="shared" si="9"/>
        <v/>
      </c>
      <c r="AO405" s="10" t="str">
        <f t="shared" si="10"/>
        <v>|--</v>
      </c>
      <c r="AP405" s="10"/>
      <c r="AQ405" s="51" t="str">
        <f t="shared" si="11"/>
        <v>パスワード変更</v>
      </c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</row>
    <row r="406" ht="15" spans="1:57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25">
        <v>139</v>
      </c>
      <c r="AA406" s="25"/>
      <c r="AB406" s="25"/>
      <c r="AC406" s="26">
        <v>1</v>
      </c>
      <c r="AD406" s="25"/>
      <c r="AE406" s="25"/>
      <c r="AF406" s="25">
        <v>139</v>
      </c>
      <c r="AG406" s="25"/>
      <c r="AH406" s="25"/>
      <c r="AI406" s="30" t="s">
        <v>117</v>
      </c>
      <c r="AJ406" s="48" t="str">
        <f t="shared" si="8"/>
        <v>運用会社管理</v>
      </c>
      <c r="AK406" s="10"/>
      <c r="AL406" s="10"/>
      <c r="AM406" s="10"/>
      <c r="AN406" s="10" t="str">
        <f t="shared" si="9"/>
        <v/>
      </c>
      <c r="AO406" s="10" t="str">
        <f t="shared" si="10"/>
        <v>|--</v>
      </c>
      <c r="AP406" s="10"/>
      <c r="AQ406" s="51" t="str">
        <f t="shared" si="11"/>
        <v>月次締処理</v>
      </c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</row>
    <row r="407" ht="15" spans="1:5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25">
        <v>140</v>
      </c>
      <c r="AA407" s="25"/>
      <c r="AB407" s="25"/>
      <c r="AC407" s="26">
        <v>1</v>
      </c>
      <c r="AD407" s="25"/>
      <c r="AE407" s="25"/>
      <c r="AF407" s="25">
        <v>140</v>
      </c>
      <c r="AG407" s="25"/>
      <c r="AH407" s="25"/>
      <c r="AI407" s="30" t="s">
        <v>117</v>
      </c>
      <c r="AJ407" s="48" t="str">
        <f t="shared" si="8"/>
        <v>運用会社管理</v>
      </c>
      <c r="AK407" s="10"/>
      <c r="AL407" s="10"/>
      <c r="AM407" s="10"/>
      <c r="AN407" s="10" t="str">
        <f t="shared" si="9"/>
        <v/>
      </c>
      <c r="AO407" s="10" t="str">
        <f t="shared" si="10"/>
        <v>|--</v>
      </c>
      <c r="AP407" s="10"/>
      <c r="AQ407" s="51" t="str">
        <f t="shared" si="11"/>
        <v>データ繰越処理</v>
      </c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</row>
    <row r="408" ht="15" spans="1:57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25">
        <v>141</v>
      </c>
      <c r="AA408" s="25"/>
      <c r="AB408" s="25"/>
      <c r="AC408" s="26">
        <v>1</v>
      </c>
      <c r="AD408" s="25"/>
      <c r="AE408" s="25"/>
      <c r="AF408" s="25">
        <v>141</v>
      </c>
      <c r="AG408" s="25"/>
      <c r="AH408" s="25"/>
      <c r="AI408" s="30" t="s">
        <v>117</v>
      </c>
      <c r="AJ408" s="48" t="str">
        <f t="shared" si="8"/>
        <v>運用会社管理</v>
      </c>
      <c r="AK408" s="10"/>
      <c r="AL408" s="10"/>
      <c r="AM408" s="10"/>
      <c r="AN408" s="10" t="str">
        <f t="shared" si="9"/>
        <v/>
      </c>
      <c r="AO408" s="10" t="str">
        <f t="shared" si="10"/>
        <v>|--</v>
      </c>
      <c r="AP408" s="10"/>
      <c r="AQ408" s="51" t="str">
        <f t="shared" si="11"/>
        <v>バックアップ</v>
      </c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</row>
    <row r="409" ht="15" spans="1:57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25">
        <v>142</v>
      </c>
      <c r="AA409" s="25"/>
      <c r="AB409" s="25"/>
      <c r="AC409" s="26">
        <v>1</v>
      </c>
      <c r="AD409" s="25"/>
      <c r="AE409" s="25"/>
      <c r="AF409" s="25">
        <v>142</v>
      </c>
      <c r="AG409" s="25"/>
      <c r="AH409" s="25"/>
      <c r="AI409" s="30" t="s">
        <v>117</v>
      </c>
      <c r="AJ409" s="48" t="str">
        <f t="shared" si="8"/>
        <v>運用会社管理</v>
      </c>
      <c r="AK409" s="10"/>
      <c r="AL409" s="10"/>
      <c r="AM409" s="10"/>
      <c r="AN409" s="10" t="str">
        <f t="shared" si="9"/>
        <v/>
      </c>
      <c r="AO409" s="10" t="str">
        <f t="shared" si="10"/>
        <v>|--</v>
      </c>
      <c r="AP409" s="10"/>
      <c r="AQ409" s="51" t="str">
        <f t="shared" si="11"/>
        <v>リストア</v>
      </c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</row>
    <row r="410" ht="15" spans="1:57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25">
        <v>143</v>
      </c>
      <c r="AA410" s="25"/>
      <c r="AB410" s="25"/>
      <c r="AC410" s="26">
        <v>1</v>
      </c>
      <c r="AD410" s="25"/>
      <c r="AE410" s="25"/>
      <c r="AF410" s="25">
        <v>143</v>
      </c>
      <c r="AG410" s="25"/>
      <c r="AH410" s="25"/>
      <c r="AI410" s="30" t="s">
        <v>117</v>
      </c>
      <c r="AJ410" s="48" t="str">
        <f t="shared" si="8"/>
        <v>運用会社管理</v>
      </c>
      <c r="AK410" s="10"/>
      <c r="AL410" s="10"/>
      <c r="AM410" s="10"/>
      <c r="AN410" s="10" t="str">
        <f t="shared" si="9"/>
        <v/>
      </c>
      <c r="AO410" s="10" t="str">
        <f t="shared" si="10"/>
        <v>|--</v>
      </c>
      <c r="AP410" s="10"/>
      <c r="AQ410" s="51" t="str">
        <f t="shared" si="11"/>
        <v>月次評価単価</v>
      </c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</row>
    <row r="411" ht="15" spans="1:57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25">
        <v>144</v>
      </c>
      <c r="AA411" s="25"/>
      <c r="AB411" s="25"/>
      <c r="AC411" s="26">
        <v>1</v>
      </c>
      <c r="AD411" s="25"/>
      <c r="AE411" s="25"/>
      <c r="AF411" s="25">
        <v>144</v>
      </c>
      <c r="AG411" s="25"/>
      <c r="AH411" s="25"/>
      <c r="AI411" s="30" t="s">
        <v>117</v>
      </c>
      <c r="AJ411" s="48" t="str">
        <f t="shared" si="8"/>
        <v>運用会社管理</v>
      </c>
      <c r="AK411" s="10"/>
      <c r="AL411" s="10"/>
      <c r="AM411" s="10"/>
      <c r="AN411" s="10" t="str">
        <f t="shared" si="9"/>
        <v>|----</v>
      </c>
      <c r="AO411" s="10" t="str">
        <f t="shared" si="10"/>
        <v/>
      </c>
      <c r="AP411" s="10"/>
      <c r="AQ411" s="51" t="str">
        <f t="shared" si="11"/>
        <v>ヘルプ</v>
      </c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</row>
    <row r="412" ht="15" spans="1:57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25">
        <v>145</v>
      </c>
      <c r="AA412" s="25"/>
      <c r="AB412" s="25"/>
      <c r="AC412" s="26">
        <v>1</v>
      </c>
      <c r="AD412" s="25"/>
      <c r="AE412" s="25"/>
      <c r="AF412" s="25">
        <v>145</v>
      </c>
      <c r="AG412" s="25"/>
      <c r="AH412" s="25"/>
      <c r="AI412" s="30" t="s">
        <v>117</v>
      </c>
      <c r="AJ412" s="48" t="str">
        <f t="shared" si="8"/>
        <v>運用会社管理</v>
      </c>
      <c r="AK412" s="10"/>
      <c r="AL412" s="10"/>
      <c r="AM412" s="10"/>
      <c r="AN412" s="10" t="str">
        <f t="shared" si="9"/>
        <v/>
      </c>
      <c r="AO412" s="10" t="str">
        <f t="shared" si="10"/>
        <v>|--</v>
      </c>
      <c r="AP412" s="10"/>
      <c r="AQ412" s="51" t="str">
        <f t="shared" si="11"/>
        <v>設定ガイド</v>
      </c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</row>
    <row r="413" ht="15" spans="1:57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25">
        <v>146</v>
      </c>
      <c r="AA413" s="25"/>
      <c r="AB413" s="25"/>
      <c r="AC413" s="26">
        <v>1</v>
      </c>
      <c r="AD413" s="25"/>
      <c r="AE413" s="25"/>
      <c r="AF413" s="25">
        <v>146</v>
      </c>
      <c r="AG413" s="25"/>
      <c r="AH413" s="25"/>
      <c r="AI413" s="30" t="s">
        <v>117</v>
      </c>
      <c r="AJ413" s="48" t="str">
        <f t="shared" si="8"/>
        <v>運用会社管理</v>
      </c>
      <c r="AK413" s="10"/>
      <c r="AL413" s="10"/>
      <c r="AM413" s="10"/>
      <c r="AN413" s="10" t="str">
        <f t="shared" si="9"/>
        <v/>
      </c>
      <c r="AO413" s="10" t="str">
        <f t="shared" si="10"/>
        <v>|--</v>
      </c>
      <c r="AP413" s="10"/>
      <c r="AQ413" s="51" t="str">
        <f t="shared" si="11"/>
        <v>基本設定</v>
      </c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</row>
    <row r="414" ht="15" spans="1:57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25">
        <v>147</v>
      </c>
      <c r="AA414" s="25"/>
      <c r="AB414" s="25"/>
      <c r="AC414" s="26">
        <v>1</v>
      </c>
      <c r="AD414" s="25"/>
      <c r="AE414" s="25"/>
      <c r="AF414" s="25">
        <v>147</v>
      </c>
      <c r="AG414" s="25"/>
      <c r="AH414" s="25"/>
      <c r="AI414" s="30" t="s">
        <v>117</v>
      </c>
      <c r="AJ414" s="48" t="str">
        <f t="shared" si="8"/>
        <v>運用会社管理</v>
      </c>
      <c r="AK414" s="10"/>
      <c r="AL414" s="10"/>
      <c r="AM414" s="10"/>
      <c r="AN414" s="10" t="str">
        <f t="shared" si="9"/>
        <v/>
      </c>
      <c r="AO414" s="10" t="str">
        <f t="shared" si="10"/>
        <v>|--</v>
      </c>
      <c r="AP414" s="10"/>
      <c r="AQ414" s="51" t="str">
        <f t="shared" si="11"/>
        <v>在庫回転率</v>
      </c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</row>
    <row r="415" ht="15" spans="1:57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25">
        <v>148</v>
      </c>
      <c r="AA415" s="25"/>
      <c r="AB415" s="25"/>
      <c r="AC415" s="26">
        <v>1</v>
      </c>
      <c r="AD415" s="25"/>
      <c r="AE415" s="25"/>
      <c r="AF415" s="25">
        <v>148</v>
      </c>
      <c r="AG415" s="25"/>
      <c r="AH415" s="25"/>
      <c r="AI415" s="30" t="s">
        <v>117</v>
      </c>
      <c r="AJ415" s="48" t="str">
        <f t="shared" si="8"/>
        <v>運用会社管理</v>
      </c>
      <c r="AK415" s="10"/>
      <c r="AL415" s="10"/>
      <c r="AM415" s="10"/>
      <c r="AN415" s="10" t="str">
        <f t="shared" si="9"/>
        <v/>
      </c>
      <c r="AO415" s="10" t="str">
        <f t="shared" si="10"/>
        <v>|--</v>
      </c>
      <c r="AP415" s="10"/>
      <c r="AQ415" s="51" t="str">
        <f t="shared" si="11"/>
        <v>言語設定</v>
      </c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</row>
    <row r="416" ht="15" spans="1:57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25">
        <v>149</v>
      </c>
      <c r="AA416" s="25"/>
      <c r="AB416" s="25"/>
      <c r="AC416" s="26">
        <v>1</v>
      </c>
      <c r="AD416" s="25"/>
      <c r="AE416" s="25"/>
      <c r="AF416" s="25">
        <v>149</v>
      </c>
      <c r="AG416" s="25"/>
      <c r="AH416" s="25"/>
      <c r="AI416" s="30" t="s">
        <v>117</v>
      </c>
      <c r="AJ416" s="48" t="str">
        <f t="shared" si="8"/>
        <v>運用会社管理</v>
      </c>
      <c r="AK416" s="10"/>
      <c r="AL416" s="10"/>
      <c r="AM416" s="10"/>
      <c r="AN416" s="10" t="str">
        <f t="shared" si="9"/>
        <v/>
      </c>
      <c r="AO416" s="10" t="str">
        <f t="shared" si="10"/>
        <v>|--</v>
      </c>
      <c r="AP416" s="10"/>
      <c r="AQ416" s="51" t="str">
        <f t="shared" si="11"/>
        <v>お支払い</v>
      </c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</row>
    <row r="417" ht="15" spans="1:5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25">
        <v>150</v>
      </c>
      <c r="AA417" s="25"/>
      <c r="AB417" s="25"/>
      <c r="AC417" s="26">
        <v>1</v>
      </c>
      <c r="AD417" s="25"/>
      <c r="AE417" s="25"/>
      <c r="AF417" s="25">
        <v>150</v>
      </c>
      <c r="AG417" s="25"/>
      <c r="AH417" s="25"/>
      <c r="AI417" s="30" t="s">
        <v>117</v>
      </c>
      <c r="AJ417" s="48" t="str">
        <f t="shared" si="8"/>
        <v>運用会社管理</v>
      </c>
      <c r="AK417" s="10"/>
      <c r="AL417" s="10"/>
      <c r="AM417" s="10"/>
      <c r="AN417" s="10" t="str">
        <f t="shared" si="9"/>
        <v>|----</v>
      </c>
      <c r="AO417" s="10" t="str">
        <f t="shared" si="10"/>
        <v/>
      </c>
      <c r="AP417" s="10"/>
      <c r="AQ417" s="51" t="str">
        <f t="shared" si="11"/>
        <v>運営管理</v>
      </c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</row>
    <row r="418" ht="15" spans="1:57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25">
        <v>151</v>
      </c>
      <c r="AA418" s="25"/>
      <c r="AB418" s="25"/>
      <c r="AC418" s="26">
        <v>1</v>
      </c>
      <c r="AD418" s="25"/>
      <c r="AE418" s="25"/>
      <c r="AF418" s="25">
        <v>151</v>
      </c>
      <c r="AG418" s="25"/>
      <c r="AH418" s="25"/>
      <c r="AI418" s="30" t="s">
        <v>117</v>
      </c>
      <c r="AJ418" s="48" t="str">
        <f t="shared" si="8"/>
        <v>運用会社管理</v>
      </c>
      <c r="AK418" s="10"/>
      <c r="AL418" s="10"/>
      <c r="AM418" s="10"/>
      <c r="AN418" s="10" t="str">
        <f t="shared" si="9"/>
        <v/>
      </c>
      <c r="AO418" s="10" t="str">
        <f t="shared" si="10"/>
        <v>|--</v>
      </c>
      <c r="AP418" s="10"/>
      <c r="AQ418" s="51" t="str">
        <f t="shared" si="11"/>
        <v>法人管理</v>
      </c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</row>
    <row r="419" ht="15" spans="1:57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25">
        <v>152</v>
      </c>
      <c r="AA419" s="25"/>
      <c r="AB419" s="25"/>
      <c r="AC419" s="26">
        <v>1</v>
      </c>
      <c r="AD419" s="25"/>
      <c r="AE419" s="25"/>
      <c r="AF419" s="25">
        <v>152</v>
      </c>
      <c r="AG419" s="25"/>
      <c r="AH419" s="25"/>
      <c r="AI419" s="30" t="s">
        <v>117</v>
      </c>
      <c r="AJ419" s="48" t="str">
        <f t="shared" si="8"/>
        <v>運用会社管理</v>
      </c>
      <c r="AK419" s="10"/>
      <c r="AL419" s="10"/>
      <c r="AM419" s="10"/>
      <c r="AN419" s="10" t="str">
        <f t="shared" si="9"/>
        <v/>
      </c>
      <c r="AO419" s="10" t="str">
        <f t="shared" si="10"/>
        <v>|--</v>
      </c>
      <c r="AP419" s="10"/>
      <c r="AQ419" s="51" t="str">
        <f t="shared" si="11"/>
        <v>ライセンス管理</v>
      </c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</row>
    <row r="420" ht="15" spans="1:57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25">
        <v>153</v>
      </c>
      <c r="AA420" s="25"/>
      <c r="AB420" s="25"/>
      <c r="AC420" s="26">
        <v>1</v>
      </c>
      <c r="AD420" s="25"/>
      <c r="AE420" s="25"/>
      <c r="AF420" s="25">
        <v>153</v>
      </c>
      <c r="AG420" s="25"/>
      <c r="AH420" s="25"/>
      <c r="AI420" s="30" t="s">
        <v>117</v>
      </c>
      <c r="AJ420" s="48" t="str">
        <f t="shared" si="8"/>
        <v>運用会社管理</v>
      </c>
      <c r="AK420" s="10"/>
      <c r="AL420" s="10"/>
      <c r="AM420" s="10"/>
      <c r="AN420" s="10" t="str">
        <f t="shared" si="9"/>
        <v/>
      </c>
      <c r="AO420" s="10" t="str">
        <f t="shared" si="10"/>
        <v>|--</v>
      </c>
      <c r="AP420" s="10"/>
      <c r="AQ420" s="51" t="str">
        <f t="shared" si="11"/>
        <v>メッセージ管理</v>
      </c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</row>
    <row r="421" ht="15" spans="1:57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25">
        <v>154</v>
      </c>
      <c r="AA421" s="25"/>
      <c r="AB421" s="25"/>
      <c r="AC421" s="26">
        <v>1</v>
      </c>
      <c r="AD421" s="25"/>
      <c r="AE421" s="25"/>
      <c r="AF421" s="25">
        <v>154</v>
      </c>
      <c r="AG421" s="25"/>
      <c r="AH421" s="25"/>
      <c r="AI421" s="30" t="s">
        <v>117</v>
      </c>
      <c r="AJ421" s="48" t="str">
        <f t="shared" si="8"/>
        <v>運用会社管理</v>
      </c>
      <c r="AK421" s="10"/>
      <c r="AL421" s="10"/>
      <c r="AM421" s="10"/>
      <c r="AN421" s="10" t="str">
        <f t="shared" si="9"/>
        <v/>
      </c>
      <c r="AO421" s="10" t="str">
        <f t="shared" si="10"/>
        <v>|--</v>
      </c>
      <c r="AP421" s="10"/>
      <c r="AQ421" s="51" t="str">
        <f t="shared" si="11"/>
        <v>申込機能</v>
      </c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</row>
    <row r="422" ht="15" spans="1:57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25">
        <v>155</v>
      </c>
      <c r="AA422" s="25"/>
      <c r="AB422" s="25"/>
      <c r="AC422" s="26">
        <v>1</v>
      </c>
      <c r="AD422" s="25"/>
      <c r="AE422" s="25"/>
      <c r="AF422" s="25">
        <v>155</v>
      </c>
      <c r="AG422" s="25"/>
      <c r="AH422" s="25"/>
      <c r="AI422" s="30" t="s">
        <v>117</v>
      </c>
      <c r="AJ422" s="48" t="str">
        <f t="shared" si="8"/>
        <v>運用会社管理</v>
      </c>
      <c r="AK422" s="10"/>
      <c r="AL422" s="10"/>
      <c r="AM422" s="10"/>
      <c r="AN422" s="10" t="str">
        <f t="shared" si="9"/>
        <v/>
      </c>
      <c r="AO422" s="10" t="str">
        <f t="shared" si="10"/>
        <v>|--</v>
      </c>
      <c r="AP422" s="10"/>
      <c r="AQ422" s="51" t="str">
        <f t="shared" si="11"/>
        <v>解約機能</v>
      </c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</row>
    <row r="423" ht="15" spans="1:57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25">
        <v>156</v>
      </c>
      <c r="AA423" s="25"/>
      <c r="AB423" s="25"/>
      <c r="AC423" s="26">
        <v>2</v>
      </c>
      <c r="AD423" s="25"/>
      <c r="AE423" s="25"/>
      <c r="AF423" s="25">
        <v>1</v>
      </c>
      <c r="AG423" s="25"/>
      <c r="AH423" s="25"/>
      <c r="AI423" s="30" t="s">
        <v>117</v>
      </c>
      <c r="AJ423" s="48" t="str">
        <f t="shared" si="8"/>
        <v>会社管理</v>
      </c>
      <c r="AK423" s="10"/>
      <c r="AL423" s="10"/>
      <c r="AM423" s="10"/>
      <c r="AN423" s="10" t="str">
        <f t="shared" si="9"/>
        <v>|----</v>
      </c>
      <c r="AO423" s="10" t="str">
        <f t="shared" si="10"/>
        <v/>
      </c>
      <c r="AP423" s="10"/>
      <c r="AQ423" s="51" t="str">
        <f t="shared" si="11"/>
        <v>ホーム</v>
      </c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</row>
    <row r="424" ht="15" spans="1:57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25">
        <v>157</v>
      </c>
      <c r="AA424" s="25"/>
      <c r="AB424" s="25"/>
      <c r="AC424" s="26">
        <v>2</v>
      </c>
      <c r="AD424" s="25"/>
      <c r="AE424" s="25"/>
      <c r="AF424" s="25">
        <v>2</v>
      </c>
      <c r="AG424" s="25"/>
      <c r="AH424" s="25"/>
      <c r="AI424" s="30" t="s">
        <v>117</v>
      </c>
      <c r="AJ424" s="48" t="str">
        <f t="shared" si="8"/>
        <v>会社管理</v>
      </c>
      <c r="AK424" s="10"/>
      <c r="AL424" s="10"/>
      <c r="AM424" s="10"/>
      <c r="AN424" s="10" t="str">
        <f t="shared" si="9"/>
        <v>|----</v>
      </c>
      <c r="AO424" s="10" t="str">
        <f t="shared" si="10"/>
        <v/>
      </c>
      <c r="AP424" s="10"/>
      <c r="AQ424" s="51" t="str">
        <f t="shared" si="11"/>
        <v>出荷</v>
      </c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</row>
    <row r="425" ht="15" spans="1:57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25">
        <v>158</v>
      </c>
      <c r="AA425" s="25"/>
      <c r="AB425" s="25"/>
      <c r="AC425" s="26">
        <v>2</v>
      </c>
      <c r="AD425" s="25"/>
      <c r="AE425" s="25"/>
      <c r="AF425" s="25">
        <v>3</v>
      </c>
      <c r="AG425" s="25"/>
      <c r="AH425" s="25"/>
      <c r="AI425" s="30" t="s">
        <v>117</v>
      </c>
      <c r="AJ425" s="48" t="str">
        <f t="shared" si="8"/>
        <v>会社管理</v>
      </c>
      <c r="AK425" s="10"/>
      <c r="AL425" s="10"/>
      <c r="AM425" s="10"/>
      <c r="AN425" s="10" t="str">
        <f t="shared" si="9"/>
        <v/>
      </c>
      <c r="AO425" s="10" t="str">
        <f t="shared" si="10"/>
        <v>|--</v>
      </c>
      <c r="AP425" s="10"/>
      <c r="AQ425" s="51" t="str">
        <f t="shared" si="11"/>
        <v>出荷指示データ取込（CSV）</v>
      </c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</row>
    <row r="426" ht="15" spans="1:57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25">
        <v>159</v>
      </c>
      <c r="AA426" s="25"/>
      <c r="AB426" s="25"/>
      <c r="AC426" s="26">
        <v>2</v>
      </c>
      <c r="AD426" s="25"/>
      <c r="AE426" s="25"/>
      <c r="AF426" s="25">
        <v>4</v>
      </c>
      <c r="AG426" s="25"/>
      <c r="AH426" s="25"/>
      <c r="AI426" s="30" t="s">
        <v>117</v>
      </c>
      <c r="AJ426" s="48" t="str">
        <f t="shared" si="8"/>
        <v>会社管理</v>
      </c>
      <c r="AK426" s="10"/>
      <c r="AL426" s="10"/>
      <c r="AM426" s="10"/>
      <c r="AN426" s="10" t="str">
        <f t="shared" si="9"/>
        <v/>
      </c>
      <c r="AO426" s="10" t="str">
        <f t="shared" si="10"/>
        <v>|--</v>
      </c>
      <c r="AP426" s="10"/>
      <c r="AQ426" s="51" t="str">
        <f t="shared" si="11"/>
        <v>出荷指示データ取込（API）</v>
      </c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</row>
    <row r="427" ht="15" spans="1:5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25">
        <v>160</v>
      </c>
      <c r="AA427" s="25"/>
      <c r="AB427" s="25"/>
      <c r="AC427" s="26">
        <v>2</v>
      </c>
      <c r="AD427" s="25"/>
      <c r="AE427" s="25"/>
      <c r="AF427" s="25">
        <v>5</v>
      </c>
      <c r="AG427" s="25"/>
      <c r="AH427" s="25"/>
      <c r="AI427" s="30" t="s">
        <v>117</v>
      </c>
      <c r="AJ427" s="48" t="str">
        <f t="shared" si="8"/>
        <v>会社管理</v>
      </c>
      <c r="AK427" s="10"/>
      <c r="AL427" s="10"/>
      <c r="AM427" s="10"/>
      <c r="AN427" s="10" t="str">
        <f t="shared" si="9"/>
        <v/>
      </c>
      <c r="AO427" s="10" t="str">
        <f t="shared" si="10"/>
        <v>|--</v>
      </c>
      <c r="AP427" s="10"/>
      <c r="AQ427" s="51" t="str">
        <f t="shared" si="11"/>
        <v>出荷指示照会</v>
      </c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</row>
    <row r="428" ht="15" spans="1:57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25">
        <v>161</v>
      </c>
      <c r="AA428" s="25"/>
      <c r="AB428" s="25"/>
      <c r="AC428" s="26">
        <v>2</v>
      </c>
      <c r="AD428" s="25"/>
      <c r="AE428" s="25"/>
      <c r="AF428" s="25">
        <v>6</v>
      </c>
      <c r="AG428" s="25"/>
      <c r="AH428" s="25"/>
      <c r="AI428" s="30" t="s">
        <v>117</v>
      </c>
      <c r="AJ428" s="48" t="str">
        <f t="shared" si="8"/>
        <v>会社管理</v>
      </c>
      <c r="AK428" s="10"/>
      <c r="AL428" s="10"/>
      <c r="AM428" s="10"/>
      <c r="AN428" s="10" t="str">
        <f t="shared" si="9"/>
        <v/>
      </c>
      <c r="AO428" s="10" t="str">
        <f t="shared" si="10"/>
        <v>|--</v>
      </c>
      <c r="AP428" s="10"/>
      <c r="AQ428" s="51" t="str">
        <f t="shared" si="11"/>
        <v>出荷指示入力</v>
      </c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</row>
    <row r="429" ht="15" spans="1:57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25">
        <v>162</v>
      </c>
      <c r="AA429" s="25"/>
      <c r="AB429" s="25"/>
      <c r="AC429" s="26">
        <v>2</v>
      </c>
      <c r="AD429" s="25"/>
      <c r="AE429" s="25"/>
      <c r="AF429" s="25">
        <v>7</v>
      </c>
      <c r="AG429" s="25"/>
      <c r="AH429" s="25"/>
      <c r="AI429" s="30" t="s">
        <v>117</v>
      </c>
      <c r="AJ429" s="48" t="str">
        <f t="shared" si="8"/>
        <v>会社管理</v>
      </c>
      <c r="AK429" s="10"/>
      <c r="AL429" s="10"/>
      <c r="AM429" s="10"/>
      <c r="AN429" s="10" t="str">
        <f t="shared" si="9"/>
        <v/>
      </c>
      <c r="AO429" s="10" t="str">
        <f t="shared" si="10"/>
        <v>|--</v>
      </c>
      <c r="AP429" s="10"/>
      <c r="AQ429" s="51" t="str">
        <f t="shared" si="11"/>
        <v>出荷指示削除</v>
      </c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</row>
    <row r="430" ht="15" spans="1:57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25">
        <v>163</v>
      </c>
      <c r="AA430" s="25"/>
      <c r="AB430" s="25"/>
      <c r="AC430" s="26">
        <v>2</v>
      </c>
      <c r="AD430" s="25"/>
      <c r="AE430" s="25"/>
      <c r="AF430" s="25">
        <v>8</v>
      </c>
      <c r="AG430" s="25"/>
      <c r="AH430" s="25"/>
      <c r="AI430" s="30" t="s">
        <v>117</v>
      </c>
      <c r="AJ430" s="48" t="str">
        <f t="shared" si="8"/>
        <v>会社管理</v>
      </c>
      <c r="AK430" s="10"/>
      <c r="AL430" s="10"/>
      <c r="AM430" s="10"/>
      <c r="AN430" s="10" t="str">
        <f t="shared" si="9"/>
        <v/>
      </c>
      <c r="AO430" s="10" t="str">
        <f t="shared" si="10"/>
        <v>|--</v>
      </c>
      <c r="AP430" s="10"/>
      <c r="AQ430" s="51" t="str">
        <f t="shared" si="11"/>
        <v>引当処理</v>
      </c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</row>
    <row r="431" ht="15" spans="1:57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25">
        <v>164</v>
      </c>
      <c r="AA431" s="25"/>
      <c r="AB431" s="25"/>
      <c r="AC431" s="26">
        <v>2</v>
      </c>
      <c r="AD431" s="25"/>
      <c r="AE431" s="25"/>
      <c r="AF431" s="25">
        <v>9</v>
      </c>
      <c r="AG431" s="25"/>
      <c r="AH431" s="25"/>
      <c r="AI431" s="30" t="s">
        <v>117</v>
      </c>
      <c r="AJ431" s="48" t="str">
        <f t="shared" si="8"/>
        <v>会社管理</v>
      </c>
      <c r="AK431" s="10"/>
      <c r="AL431" s="10"/>
      <c r="AM431" s="10"/>
      <c r="AN431" s="10" t="str">
        <f t="shared" si="9"/>
        <v/>
      </c>
      <c r="AO431" s="10" t="str">
        <f t="shared" si="10"/>
        <v>|--</v>
      </c>
      <c r="AP431" s="10"/>
      <c r="AQ431" s="51" t="str">
        <f t="shared" si="11"/>
        <v>引当修正</v>
      </c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</row>
    <row r="432" ht="15" spans="1:57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25">
        <v>165</v>
      </c>
      <c r="AA432" s="25"/>
      <c r="AB432" s="25"/>
      <c r="AC432" s="26">
        <v>2</v>
      </c>
      <c r="AD432" s="25"/>
      <c r="AE432" s="25"/>
      <c r="AF432" s="25">
        <v>10</v>
      </c>
      <c r="AG432" s="25"/>
      <c r="AH432" s="25"/>
      <c r="AI432" s="30" t="s">
        <v>117</v>
      </c>
      <c r="AJ432" s="48" t="str">
        <f t="shared" si="8"/>
        <v>会社管理</v>
      </c>
      <c r="AK432" s="10"/>
      <c r="AL432" s="10"/>
      <c r="AM432" s="10"/>
      <c r="AN432" s="10" t="str">
        <f t="shared" si="9"/>
        <v/>
      </c>
      <c r="AO432" s="10" t="str">
        <f t="shared" si="10"/>
        <v>|--</v>
      </c>
      <c r="AP432" s="10"/>
      <c r="AQ432" s="51" t="str">
        <f t="shared" si="11"/>
        <v>欠品明細照会</v>
      </c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</row>
    <row r="433" ht="15" spans="1:57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25">
        <v>166</v>
      </c>
      <c r="AA433" s="25"/>
      <c r="AB433" s="25"/>
      <c r="AC433" s="26">
        <v>2</v>
      </c>
      <c r="AD433" s="25"/>
      <c r="AE433" s="25"/>
      <c r="AF433" s="25">
        <v>11</v>
      </c>
      <c r="AG433" s="25"/>
      <c r="AH433" s="25"/>
      <c r="AI433" s="30" t="s">
        <v>117</v>
      </c>
      <c r="AJ433" s="48" t="str">
        <f t="shared" si="8"/>
        <v>会社管理</v>
      </c>
      <c r="AK433" s="10"/>
      <c r="AL433" s="10"/>
      <c r="AM433" s="10"/>
      <c r="AN433" s="10" t="str">
        <f t="shared" si="9"/>
        <v/>
      </c>
      <c r="AO433" s="10" t="str">
        <f t="shared" si="10"/>
        <v>|--</v>
      </c>
      <c r="AP433" s="10"/>
      <c r="AQ433" s="51" t="str">
        <f t="shared" si="11"/>
        <v>欠品伝票照会</v>
      </c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</row>
    <row r="434" ht="15" spans="1:57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25">
        <v>167</v>
      </c>
      <c r="AA434" s="25"/>
      <c r="AB434" s="25"/>
      <c r="AC434" s="26">
        <v>2</v>
      </c>
      <c r="AD434" s="25"/>
      <c r="AE434" s="25"/>
      <c r="AF434" s="25">
        <v>12</v>
      </c>
      <c r="AG434" s="25"/>
      <c r="AH434" s="25"/>
      <c r="AI434" s="30" t="s">
        <v>117</v>
      </c>
      <c r="AJ434" s="48" t="str">
        <f t="shared" si="8"/>
        <v>会社管理</v>
      </c>
      <c r="AK434" s="10"/>
      <c r="AL434" s="10"/>
      <c r="AM434" s="10"/>
      <c r="AN434" s="10" t="str">
        <f t="shared" si="9"/>
        <v/>
      </c>
      <c r="AO434" s="10" t="str">
        <f t="shared" si="10"/>
        <v>|--</v>
      </c>
      <c r="AP434" s="10"/>
      <c r="AQ434" s="51" t="str">
        <f t="shared" si="11"/>
        <v>ピッキングリスト（トータル）</v>
      </c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</row>
    <row r="435" ht="15" spans="1:57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25">
        <v>168</v>
      </c>
      <c r="AA435" s="25"/>
      <c r="AB435" s="25"/>
      <c r="AC435" s="26">
        <v>2</v>
      </c>
      <c r="AD435" s="25"/>
      <c r="AE435" s="25"/>
      <c r="AF435" s="25">
        <v>13</v>
      </c>
      <c r="AG435" s="25"/>
      <c r="AH435" s="25"/>
      <c r="AI435" s="30" t="s">
        <v>117</v>
      </c>
      <c r="AJ435" s="48" t="str">
        <f t="shared" si="8"/>
        <v>会社管理</v>
      </c>
      <c r="AK435" s="10"/>
      <c r="AL435" s="10"/>
      <c r="AM435" s="10"/>
      <c r="AN435" s="10" t="str">
        <f t="shared" si="9"/>
        <v/>
      </c>
      <c r="AO435" s="10" t="str">
        <f t="shared" si="10"/>
        <v>|--</v>
      </c>
      <c r="AP435" s="10"/>
      <c r="AQ435" s="51" t="str">
        <f t="shared" si="11"/>
        <v>ピッキングリスト（シングル）</v>
      </c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</row>
    <row r="436" ht="15" spans="1:57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25">
        <v>169</v>
      </c>
      <c r="AA436" s="25"/>
      <c r="AB436" s="25"/>
      <c r="AC436" s="26">
        <v>2</v>
      </c>
      <c r="AD436" s="25"/>
      <c r="AE436" s="25"/>
      <c r="AF436" s="25">
        <v>14</v>
      </c>
      <c r="AG436" s="25"/>
      <c r="AH436" s="25"/>
      <c r="AI436" s="30" t="s">
        <v>117</v>
      </c>
      <c r="AJ436" s="48" t="str">
        <f t="shared" si="8"/>
        <v>会社管理</v>
      </c>
      <c r="AK436" s="10"/>
      <c r="AL436" s="10"/>
      <c r="AM436" s="10"/>
      <c r="AN436" s="10" t="str">
        <f t="shared" si="9"/>
        <v/>
      </c>
      <c r="AO436" s="10" t="str">
        <f t="shared" si="10"/>
        <v>|--</v>
      </c>
      <c r="AP436" s="10"/>
      <c r="AQ436" s="51" t="str">
        <f t="shared" si="11"/>
        <v>出庫入力</v>
      </c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</row>
    <row r="437" ht="15" spans="1:5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25">
        <v>170</v>
      </c>
      <c r="AA437" s="25"/>
      <c r="AB437" s="25"/>
      <c r="AC437" s="26">
        <v>2</v>
      </c>
      <c r="AD437" s="25"/>
      <c r="AE437" s="25"/>
      <c r="AF437" s="25">
        <v>15</v>
      </c>
      <c r="AG437" s="25"/>
      <c r="AH437" s="25"/>
      <c r="AI437" s="30" t="s">
        <v>117</v>
      </c>
      <c r="AJ437" s="48" t="str">
        <f t="shared" si="8"/>
        <v>会社管理</v>
      </c>
      <c r="AK437" s="10"/>
      <c r="AL437" s="10"/>
      <c r="AM437" s="10"/>
      <c r="AN437" s="10" t="str">
        <f t="shared" si="9"/>
        <v/>
      </c>
      <c r="AO437" s="10" t="str">
        <f t="shared" si="10"/>
        <v>|--</v>
      </c>
      <c r="AP437" s="10"/>
      <c r="AQ437" s="51" t="str">
        <f t="shared" si="11"/>
        <v>出庫削除</v>
      </c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</row>
    <row r="438" ht="15" spans="1:57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25">
        <v>171</v>
      </c>
      <c r="AA438" s="25"/>
      <c r="AB438" s="25"/>
      <c r="AC438" s="26">
        <v>2</v>
      </c>
      <c r="AD438" s="25"/>
      <c r="AE438" s="25"/>
      <c r="AF438" s="25">
        <v>16</v>
      </c>
      <c r="AG438" s="25"/>
      <c r="AH438" s="25"/>
      <c r="AI438" s="30" t="s">
        <v>117</v>
      </c>
      <c r="AJ438" s="48" t="str">
        <f t="shared" si="8"/>
        <v>会社管理</v>
      </c>
      <c r="AK438" s="10"/>
      <c r="AL438" s="10"/>
      <c r="AM438" s="10"/>
      <c r="AN438" s="10" t="str">
        <f t="shared" si="9"/>
        <v/>
      </c>
      <c r="AO438" s="10" t="str">
        <f t="shared" si="10"/>
        <v>|--</v>
      </c>
      <c r="AP438" s="10"/>
      <c r="AQ438" s="51" t="str">
        <f t="shared" si="11"/>
        <v>出庫照会</v>
      </c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</row>
    <row r="439" ht="15" spans="1:57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25">
        <v>172</v>
      </c>
      <c r="AA439" s="25"/>
      <c r="AB439" s="25"/>
      <c r="AC439" s="26">
        <v>2</v>
      </c>
      <c r="AD439" s="25"/>
      <c r="AE439" s="25"/>
      <c r="AF439" s="25">
        <v>17</v>
      </c>
      <c r="AG439" s="25"/>
      <c r="AH439" s="25"/>
      <c r="AI439" s="30" t="s">
        <v>117</v>
      </c>
      <c r="AJ439" s="48" t="str">
        <f t="shared" si="8"/>
        <v>会社管理</v>
      </c>
      <c r="AK439" s="10"/>
      <c r="AL439" s="10"/>
      <c r="AM439" s="10"/>
      <c r="AN439" s="10" t="str">
        <f t="shared" si="9"/>
        <v/>
      </c>
      <c r="AO439" s="10" t="str">
        <f t="shared" si="10"/>
        <v>|--</v>
      </c>
      <c r="AP439" s="10"/>
      <c r="AQ439" s="51" t="str">
        <f t="shared" si="11"/>
        <v>出荷検品</v>
      </c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</row>
    <row r="440" ht="15" spans="1:57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25">
        <v>173</v>
      </c>
      <c r="AA440" s="25"/>
      <c r="AB440" s="25"/>
      <c r="AC440" s="26">
        <v>2</v>
      </c>
      <c r="AD440" s="25"/>
      <c r="AE440" s="25"/>
      <c r="AF440" s="25">
        <v>18</v>
      </c>
      <c r="AG440" s="25"/>
      <c r="AH440" s="25"/>
      <c r="AI440" s="30" t="s">
        <v>117</v>
      </c>
      <c r="AJ440" s="48" t="str">
        <f t="shared" si="8"/>
        <v>会社管理</v>
      </c>
      <c r="AK440" s="10"/>
      <c r="AL440" s="10"/>
      <c r="AM440" s="10"/>
      <c r="AN440" s="10" t="str">
        <f t="shared" si="9"/>
        <v/>
      </c>
      <c r="AO440" s="10" t="str">
        <f t="shared" si="10"/>
        <v>|--</v>
      </c>
      <c r="AP440" s="10"/>
      <c r="AQ440" s="51" t="str">
        <f t="shared" si="11"/>
        <v>出荷一括検品</v>
      </c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</row>
    <row r="441" ht="15" spans="1:57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25">
        <v>174</v>
      </c>
      <c r="AA441" s="25"/>
      <c r="AB441" s="25"/>
      <c r="AC441" s="26">
        <v>2</v>
      </c>
      <c r="AD441" s="25"/>
      <c r="AE441" s="25"/>
      <c r="AF441" s="25">
        <v>19</v>
      </c>
      <c r="AG441" s="25"/>
      <c r="AH441" s="25"/>
      <c r="AI441" s="30" t="s">
        <v>117</v>
      </c>
      <c r="AJ441" s="48" t="str">
        <f t="shared" si="8"/>
        <v>会社管理</v>
      </c>
      <c r="AK441" s="10"/>
      <c r="AL441" s="10"/>
      <c r="AM441" s="10"/>
      <c r="AN441" s="10" t="str">
        <f t="shared" si="9"/>
        <v/>
      </c>
      <c r="AO441" s="10" t="str">
        <f t="shared" si="10"/>
        <v>|--</v>
      </c>
      <c r="AP441" s="10"/>
      <c r="AQ441" s="51" t="str">
        <f t="shared" si="11"/>
        <v>納品書</v>
      </c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</row>
    <row r="442" ht="15" spans="1:57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25">
        <v>175</v>
      </c>
      <c r="AA442" s="25"/>
      <c r="AB442" s="25"/>
      <c r="AC442" s="26">
        <v>2</v>
      </c>
      <c r="AD442" s="25"/>
      <c r="AE442" s="25"/>
      <c r="AF442" s="25">
        <v>20</v>
      </c>
      <c r="AG442" s="25"/>
      <c r="AH442" s="25"/>
      <c r="AI442" s="30" t="s">
        <v>117</v>
      </c>
      <c r="AJ442" s="48" t="str">
        <f t="shared" si="8"/>
        <v>会社管理</v>
      </c>
      <c r="AK442" s="10"/>
      <c r="AL442" s="10"/>
      <c r="AM442" s="10"/>
      <c r="AN442" s="10" t="str">
        <f t="shared" si="9"/>
        <v/>
      </c>
      <c r="AO442" s="10" t="str">
        <f t="shared" si="10"/>
        <v>|--</v>
      </c>
      <c r="AP442" s="10"/>
      <c r="AQ442" s="51" t="str">
        <f t="shared" si="11"/>
        <v>梱包</v>
      </c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</row>
    <row r="443" ht="15" spans="1:57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25">
        <v>176</v>
      </c>
      <c r="AA443" s="25"/>
      <c r="AB443" s="25"/>
      <c r="AC443" s="26">
        <v>2</v>
      </c>
      <c r="AD443" s="25"/>
      <c r="AE443" s="25"/>
      <c r="AF443" s="25">
        <v>21</v>
      </c>
      <c r="AG443" s="25"/>
      <c r="AH443" s="25"/>
      <c r="AI443" s="30" t="s">
        <v>117</v>
      </c>
      <c r="AJ443" s="48" t="str">
        <f t="shared" si="8"/>
        <v>会社管理</v>
      </c>
      <c r="AK443" s="10"/>
      <c r="AL443" s="10"/>
      <c r="AM443" s="10"/>
      <c r="AN443" s="10" t="str">
        <f t="shared" si="9"/>
        <v/>
      </c>
      <c r="AO443" s="10" t="str">
        <f t="shared" si="10"/>
        <v>|--</v>
      </c>
      <c r="AP443" s="10"/>
      <c r="AQ443" s="51" t="str">
        <f t="shared" si="11"/>
        <v>出荷ラベル</v>
      </c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</row>
    <row r="444" ht="15" spans="1:57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25">
        <v>177</v>
      </c>
      <c r="AA444" s="25"/>
      <c r="AB444" s="25"/>
      <c r="AC444" s="26">
        <v>2</v>
      </c>
      <c r="AD444" s="25"/>
      <c r="AE444" s="25"/>
      <c r="AF444" s="25">
        <v>22</v>
      </c>
      <c r="AG444" s="25"/>
      <c r="AH444" s="25"/>
      <c r="AI444" s="30" t="s">
        <v>117</v>
      </c>
      <c r="AJ444" s="48" t="str">
        <f t="shared" si="8"/>
        <v>会社管理</v>
      </c>
      <c r="AK444" s="10"/>
      <c r="AL444" s="10"/>
      <c r="AM444" s="10"/>
      <c r="AN444" s="10" t="str">
        <f t="shared" si="9"/>
        <v/>
      </c>
      <c r="AO444" s="10" t="str">
        <f t="shared" si="10"/>
        <v>|--</v>
      </c>
      <c r="AP444" s="10"/>
      <c r="AQ444" s="51" t="str">
        <f t="shared" si="11"/>
        <v>送り状データ取込（CSV）</v>
      </c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</row>
    <row r="445" ht="15" spans="1:57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25">
        <v>178</v>
      </c>
      <c r="AA445" s="25"/>
      <c r="AB445" s="25"/>
      <c r="AC445" s="26">
        <v>2</v>
      </c>
      <c r="AD445" s="25"/>
      <c r="AE445" s="25"/>
      <c r="AF445" s="25">
        <v>23</v>
      </c>
      <c r="AG445" s="25"/>
      <c r="AH445" s="25"/>
      <c r="AI445" s="30" t="s">
        <v>117</v>
      </c>
      <c r="AJ445" s="48" t="str">
        <f t="shared" si="8"/>
        <v>会社管理</v>
      </c>
      <c r="AK445" s="10"/>
      <c r="AL445" s="10"/>
      <c r="AM445" s="10"/>
      <c r="AN445" s="10" t="str">
        <f t="shared" si="9"/>
        <v/>
      </c>
      <c r="AO445" s="10" t="str">
        <f t="shared" si="10"/>
        <v>|--</v>
      </c>
      <c r="AP445" s="10"/>
      <c r="AQ445" s="51" t="str">
        <f t="shared" si="11"/>
        <v>送り状データ取込（API）</v>
      </c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</row>
    <row r="446" ht="15" spans="1:57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25">
        <v>179</v>
      </c>
      <c r="AA446" s="25"/>
      <c r="AB446" s="25"/>
      <c r="AC446" s="26">
        <v>2</v>
      </c>
      <c r="AD446" s="25"/>
      <c r="AE446" s="25"/>
      <c r="AF446" s="25">
        <v>24</v>
      </c>
      <c r="AG446" s="25"/>
      <c r="AH446" s="25"/>
      <c r="AI446" s="30" t="s">
        <v>117</v>
      </c>
      <c r="AJ446" s="48" t="str">
        <f t="shared" si="8"/>
        <v>会社管理</v>
      </c>
      <c r="AK446" s="10"/>
      <c r="AL446" s="10"/>
      <c r="AM446" s="10"/>
      <c r="AN446" s="10" t="str">
        <f t="shared" si="9"/>
        <v/>
      </c>
      <c r="AO446" s="10" t="str">
        <f t="shared" si="10"/>
        <v>|--</v>
      </c>
      <c r="AP446" s="10"/>
      <c r="AQ446" s="51" t="str">
        <f t="shared" si="11"/>
        <v>送り状データ出力（CSV）</v>
      </c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</row>
    <row r="447" ht="15" spans="1:5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25">
        <v>180</v>
      </c>
      <c r="AA447" s="25"/>
      <c r="AB447" s="25"/>
      <c r="AC447" s="26">
        <v>2</v>
      </c>
      <c r="AD447" s="25"/>
      <c r="AE447" s="25"/>
      <c r="AF447" s="25">
        <v>25</v>
      </c>
      <c r="AG447" s="25"/>
      <c r="AH447" s="25"/>
      <c r="AI447" s="30" t="s">
        <v>117</v>
      </c>
      <c r="AJ447" s="48" t="str">
        <f t="shared" si="8"/>
        <v>会社管理</v>
      </c>
      <c r="AK447" s="10"/>
      <c r="AL447" s="10"/>
      <c r="AM447" s="10"/>
      <c r="AN447" s="10" t="str">
        <f t="shared" si="9"/>
        <v/>
      </c>
      <c r="AO447" s="10" t="str">
        <f t="shared" si="10"/>
        <v>|--</v>
      </c>
      <c r="AP447" s="10"/>
      <c r="AQ447" s="51" t="str">
        <f t="shared" si="11"/>
        <v>送り状データ出力（API）</v>
      </c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</row>
    <row r="448" ht="15" spans="1:57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25">
        <v>181</v>
      </c>
      <c r="AA448" s="25"/>
      <c r="AB448" s="25"/>
      <c r="AC448" s="26">
        <v>2</v>
      </c>
      <c r="AD448" s="25"/>
      <c r="AE448" s="25"/>
      <c r="AF448" s="25">
        <v>26</v>
      </c>
      <c r="AG448" s="25"/>
      <c r="AH448" s="25"/>
      <c r="AI448" s="30" t="s">
        <v>117</v>
      </c>
      <c r="AJ448" s="48" t="str">
        <f t="shared" si="8"/>
        <v>会社管理</v>
      </c>
      <c r="AK448" s="10"/>
      <c r="AL448" s="10"/>
      <c r="AM448" s="10"/>
      <c r="AN448" s="10" t="str">
        <f t="shared" si="9"/>
        <v/>
      </c>
      <c r="AO448" s="10" t="str">
        <f t="shared" si="10"/>
        <v>|--</v>
      </c>
      <c r="AP448" s="10"/>
      <c r="AQ448" s="51" t="str">
        <f t="shared" si="11"/>
        <v>出荷確定</v>
      </c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</row>
    <row r="449" ht="15" spans="1:57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25">
        <v>182</v>
      </c>
      <c r="AA449" s="25"/>
      <c r="AB449" s="25"/>
      <c r="AC449" s="26">
        <v>2</v>
      </c>
      <c r="AD449" s="25"/>
      <c r="AE449" s="25"/>
      <c r="AF449" s="25">
        <v>27</v>
      </c>
      <c r="AG449" s="25"/>
      <c r="AH449" s="25"/>
      <c r="AI449" s="30" t="s">
        <v>117</v>
      </c>
      <c r="AJ449" s="48" t="str">
        <f t="shared" si="8"/>
        <v>会社管理</v>
      </c>
      <c r="AK449" s="10"/>
      <c r="AL449" s="10"/>
      <c r="AM449" s="10"/>
      <c r="AN449" s="10" t="str">
        <f t="shared" si="9"/>
        <v/>
      </c>
      <c r="AO449" s="10" t="str">
        <f t="shared" si="10"/>
        <v>|--</v>
      </c>
      <c r="AP449" s="10"/>
      <c r="AQ449" s="51" t="str">
        <f t="shared" si="11"/>
        <v>出荷確定取消</v>
      </c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</row>
    <row r="450" ht="15" spans="1:57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25">
        <v>183</v>
      </c>
      <c r="AA450" s="25"/>
      <c r="AB450" s="25"/>
      <c r="AC450" s="26">
        <v>2</v>
      </c>
      <c r="AD450" s="25"/>
      <c r="AE450" s="25"/>
      <c r="AF450" s="25">
        <v>28</v>
      </c>
      <c r="AG450" s="25"/>
      <c r="AH450" s="25"/>
      <c r="AI450" s="30" t="s">
        <v>117</v>
      </c>
      <c r="AJ450" s="48" t="str">
        <f t="shared" si="8"/>
        <v>会社管理</v>
      </c>
      <c r="AK450" s="10"/>
      <c r="AL450" s="10"/>
      <c r="AM450" s="10"/>
      <c r="AN450" s="10" t="str">
        <f t="shared" si="9"/>
        <v/>
      </c>
      <c r="AO450" s="10" t="str">
        <f t="shared" si="10"/>
        <v>|--</v>
      </c>
      <c r="AP450" s="10"/>
      <c r="AQ450" s="51" t="str">
        <f t="shared" si="11"/>
        <v>出荷確定照会</v>
      </c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</row>
    <row r="451" ht="15" spans="1:57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25">
        <v>184</v>
      </c>
      <c r="AA451" s="25"/>
      <c r="AB451" s="25"/>
      <c r="AC451" s="26">
        <v>2</v>
      </c>
      <c r="AD451" s="25"/>
      <c r="AE451" s="25"/>
      <c r="AF451" s="25">
        <v>29</v>
      </c>
      <c r="AG451" s="25"/>
      <c r="AH451" s="25"/>
      <c r="AI451" s="30" t="s">
        <v>117</v>
      </c>
      <c r="AJ451" s="48" t="str">
        <f t="shared" si="8"/>
        <v>会社管理</v>
      </c>
      <c r="AK451" s="10"/>
      <c r="AL451" s="10"/>
      <c r="AM451" s="10"/>
      <c r="AN451" s="10" t="str">
        <f t="shared" si="9"/>
        <v/>
      </c>
      <c r="AO451" s="10" t="str">
        <f t="shared" si="10"/>
        <v>|--</v>
      </c>
      <c r="AP451" s="10"/>
      <c r="AQ451" s="51" t="str">
        <f t="shared" si="11"/>
        <v>出荷確定データ出力（CSV）</v>
      </c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</row>
    <row r="452" ht="15" spans="1:57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25">
        <v>185</v>
      </c>
      <c r="AA452" s="25"/>
      <c r="AB452" s="25"/>
      <c r="AC452" s="26">
        <v>2</v>
      </c>
      <c r="AD452" s="25"/>
      <c r="AE452" s="25"/>
      <c r="AF452" s="25">
        <v>30</v>
      </c>
      <c r="AG452" s="25"/>
      <c r="AH452" s="25"/>
      <c r="AI452" s="30" t="s">
        <v>117</v>
      </c>
      <c r="AJ452" s="48" t="str">
        <f t="shared" si="8"/>
        <v>会社管理</v>
      </c>
      <c r="AK452" s="10"/>
      <c r="AL452" s="10"/>
      <c r="AM452" s="10"/>
      <c r="AN452" s="10" t="str">
        <f t="shared" si="9"/>
        <v/>
      </c>
      <c r="AO452" s="10" t="str">
        <f t="shared" si="10"/>
        <v>|--</v>
      </c>
      <c r="AP452" s="10"/>
      <c r="AQ452" s="51" t="str">
        <f t="shared" si="11"/>
        <v>出荷確定データ出力（API）</v>
      </c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</row>
    <row r="453" ht="15" spans="1:57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25">
        <v>186</v>
      </c>
      <c r="AA453" s="25"/>
      <c r="AB453" s="25"/>
      <c r="AC453" s="26">
        <v>2</v>
      </c>
      <c r="AD453" s="25"/>
      <c r="AE453" s="25"/>
      <c r="AF453" s="25">
        <v>31</v>
      </c>
      <c r="AG453" s="25"/>
      <c r="AH453" s="25"/>
      <c r="AI453" s="30" t="s">
        <v>117</v>
      </c>
      <c r="AJ453" s="48" t="str">
        <f t="shared" si="8"/>
        <v>会社管理</v>
      </c>
      <c r="AK453" s="10"/>
      <c r="AL453" s="10"/>
      <c r="AM453" s="10"/>
      <c r="AN453" s="10" t="str">
        <f t="shared" si="9"/>
        <v/>
      </c>
      <c r="AO453" s="10" t="str">
        <f t="shared" si="10"/>
        <v>|--</v>
      </c>
      <c r="AP453" s="10"/>
      <c r="AQ453" s="51" t="str">
        <f t="shared" si="11"/>
        <v>出荷状況照会（取引先用）</v>
      </c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</row>
    <row r="454" ht="15" spans="1:57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25">
        <v>187</v>
      </c>
      <c r="AA454" s="25"/>
      <c r="AB454" s="25"/>
      <c r="AC454" s="26">
        <v>2</v>
      </c>
      <c r="AD454" s="25"/>
      <c r="AE454" s="25"/>
      <c r="AF454" s="25">
        <v>32</v>
      </c>
      <c r="AG454" s="25"/>
      <c r="AH454" s="25"/>
      <c r="AI454" s="30" t="s">
        <v>117</v>
      </c>
      <c r="AJ454" s="48" t="str">
        <f t="shared" si="8"/>
        <v>会社管理</v>
      </c>
      <c r="AK454" s="10"/>
      <c r="AL454" s="10"/>
      <c r="AM454" s="10"/>
      <c r="AN454" s="10" t="str">
        <f t="shared" si="9"/>
        <v>|----</v>
      </c>
      <c r="AO454" s="10" t="str">
        <f t="shared" si="10"/>
        <v/>
      </c>
      <c r="AP454" s="10"/>
      <c r="AQ454" s="51" t="str">
        <f t="shared" si="11"/>
        <v>入荷</v>
      </c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</row>
    <row r="455" ht="15" spans="1:57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25">
        <v>188</v>
      </c>
      <c r="AA455" s="25"/>
      <c r="AB455" s="25"/>
      <c r="AC455" s="26">
        <v>2</v>
      </c>
      <c r="AD455" s="25"/>
      <c r="AE455" s="25"/>
      <c r="AF455" s="25">
        <v>33</v>
      </c>
      <c r="AG455" s="25"/>
      <c r="AH455" s="25"/>
      <c r="AI455" s="30" t="s">
        <v>117</v>
      </c>
      <c r="AJ455" s="48" t="str">
        <f t="shared" si="8"/>
        <v>会社管理</v>
      </c>
      <c r="AK455" s="10"/>
      <c r="AL455" s="10"/>
      <c r="AM455" s="10"/>
      <c r="AN455" s="10" t="str">
        <f t="shared" si="9"/>
        <v/>
      </c>
      <c r="AO455" s="10" t="str">
        <f t="shared" si="10"/>
        <v>|--</v>
      </c>
      <c r="AP455" s="10"/>
      <c r="AQ455" s="51" t="str">
        <f t="shared" si="11"/>
        <v>入荷予定データ取込（CSV）</v>
      </c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</row>
    <row r="456" ht="15" spans="1:57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25">
        <v>189</v>
      </c>
      <c r="AA456" s="25"/>
      <c r="AB456" s="25"/>
      <c r="AC456" s="26">
        <v>2</v>
      </c>
      <c r="AD456" s="25"/>
      <c r="AE456" s="25"/>
      <c r="AF456" s="25">
        <v>34</v>
      </c>
      <c r="AG456" s="25"/>
      <c r="AH456" s="25"/>
      <c r="AI456" s="30" t="s">
        <v>117</v>
      </c>
      <c r="AJ456" s="48" t="str">
        <f t="shared" si="8"/>
        <v>会社管理</v>
      </c>
      <c r="AK456" s="10"/>
      <c r="AL456" s="10"/>
      <c r="AM456" s="10"/>
      <c r="AN456" s="10" t="str">
        <f t="shared" si="9"/>
        <v/>
      </c>
      <c r="AO456" s="10" t="str">
        <f t="shared" si="10"/>
        <v>|--</v>
      </c>
      <c r="AP456" s="10"/>
      <c r="AQ456" s="51" t="str">
        <f t="shared" si="11"/>
        <v>入荷予定データ取込（API）</v>
      </c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</row>
    <row r="457" ht="15" spans="1: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25">
        <v>190</v>
      </c>
      <c r="AA457" s="25"/>
      <c r="AB457" s="25"/>
      <c r="AC457" s="26">
        <v>2</v>
      </c>
      <c r="AD457" s="25"/>
      <c r="AE457" s="25"/>
      <c r="AF457" s="25">
        <v>35</v>
      </c>
      <c r="AG457" s="25"/>
      <c r="AH457" s="25"/>
      <c r="AI457" s="30" t="s">
        <v>117</v>
      </c>
      <c r="AJ457" s="48" t="str">
        <f t="shared" si="8"/>
        <v>会社管理</v>
      </c>
      <c r="AK457" s="10"/>
      <c r="AL457" s="10"/>
      <c r="AM457" s="10"/>
      <c r="AN457" s="10" t="str">
        <f t="shared" si="9"/>
        <v/>
      </c>
      <c r="AO457" s="10" t="str">
        <f t="shared" si="10"/>
        <v>|--</v>
      </c>
      <c r="AP457" s="10"/>
      <c r="AQ457" s="51" t="str">
        <f t="shared" si="11"/>
        <v>入荷予定照会</v>
      </c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</row>
    <row r="458" ht="15" spans="1:57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25">
        <v>191</v>
      </c>
      <c r="AA458" s="25"/>
      <c r="AB458" s="25"/>
      <c r="AC458" s="26">
        <v>2</v>
      </c>
      <c r="AD458" s="25"/>
      <c r="AE458" s="25"/>
      <c r="AF458" s="25">
        <v>36</v>
      </c>
      <c r="AG458" s="25"/>
      <c r="AH458" s="25"/>
      <c r="AI458" s="30" t="s">
        <v>117</v>
      </c>
      <c r="AJ458" s="48" t="str">
        <f t="shared" si="8"/>
        <v>会社管理</v>
      </c>
      <c r="AK458" s="10"/>
      <c r="AL458" s="10"/>
      <c r="AM458" s="10"/>
      <c r="AN458" s="10" t="str">
        <f t="shared" si="9"/>
        <v/>
      </c>
      <c r="AO458" s="10" t="str">
        <f t="shared" si="10"/>
        <v>|--</v>
      </c>
      <c r="AP458" s="10"/>
      <c r="AQ458" s="51" t="str">
        <f t="shared" si="11"/>
        <v>入荷予定入力</v>
      </c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</row>
    <row r="459" ht="15" spans="1:57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25">
        <v>192</v>
      </c>
      <c r="AA459" s="25"/>
      <c r="AB459" s="25"/>
      <c r="AC459" s="26">
        <v>2</v>
      </c>
      <c r="AD459" s="25"/>
      <c r="AE459" s="25"/>
      <c r="AF459" s="25">
        <v>37</v>
      </c>
      <c r="AG459" s="25"/>
      <c r="AH459" s="25"/>
      <c r="AI459" s="30" t="s">
        <v>117</v>
      </c>
      <c r="AJ459" s="48" t="str">
        <f t="shared" si="8"/>
        <v>会社管理</v>
      </c>
      <c r="AK459" s="10"/>
      <c r="AL459" s="10"/>
      <c r="AM459" s="10"/>
      <c r="AN459" s="10" t="str">
        <f t="shared" si="9"/>
        <v/>
      </c>
      <c r="AO459" s="10" t="str">
        <f t="shared" si="10"/>
        <v>|--</v>
      </c>
      <c r="AP459" s="10"/>
      <c r="AQ459" s="51" t="str">
        <f t="shared" si="11"/>
        <v>入荷予定削除</v>
      </c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</row>
    <row r="460" ht="15" spans="1:57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25">
        <v>193</v>
      </c>
      <c r="AA460" s="25"/>
      <c r="AB460" s="25"/>
      <c r="AC460" s="26">
        <v>2</v>
      </c>
      <c r="AD460" s="25"/>
      <c r="AE460" s="25"/>
      <c r="AF460" s="25">
        <v>38</v>
      </c>
      <c r="AG460" s="25"/>
      <c r="AH460" s="25"/>
      <c r="AI460" s="30" t="s">
        <v>117</v>
      </c>
      <c r="AJ460" s="48" t="str">
        <f t="shared" ref="AJ460:AJ523" si="12">VLOOKUP(AC460,$Z$26:$AH$28,4,FALSE)</f>
        <v>会社管理</v>
      </c>
      <c r="AK460" s="10"/>
      <c r="AL460" s="10"/>
      <c r="AM460" s="10"/>
      <c r="AN460" s="10" t="str">
        <f t="shared" ref="AN460:AN523" si="13">IF(VLOOKUP(AF460,$Z$109:$AI$263,4,FALSE),"","|----")</f>
        <v/>
      </c>
      <c r="AO460" s="10" t="str">
        <f t="shared" ref="AO460:AO523" si="14">IF(VLOOKUP(AF460,$Z$109:$AI$263,4,FALSE),"|--","")</f>
        <v>|--</v>
      </c>
      <c r="AP460" s="10"/>
      <c r="AQ460" s="51" t="str">
        <f t="shared" ref="AQ460:AQ523" si="15">VLOOKUP(AF460,$Z$109:$AI$263,7,FALSE)</f>
        <v>入荷検品</v>
      </c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</row>
    <row r="461" ht="15" spans="1:57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25">
        <v>194</v>
      </c>
      <c r="AA461" s="25"/>
      <c r="AB461" s="25"/>
      <c r="AC461" s="26">
        <v>2</v>
      </c>
      <c r="AD461" s="25"/>
      <c r="AE461" s="25"/>
      <c r="AF461" s="25">
        <v>39</v>
      </c>
      <c r="AG461" s="25"/>
      <c r="AH461" s="25"/>
      <c r="AI461" s="30" t="s">
        <v>117</v>
      </c>
      <c r="AJ461" s="48" t="str">
        <f t="shared" si="12"/>
        <v>会社管理</v>
      </c>
      <c r="AK461" s="10"/>
      <c r="AL461" s="10"/>
      <c r="AM461" s="10"/>
      <c r="AN461" s="10" t="str">
        <f t="shared" si="13"/>
        <v/>
      </c>
      <c r="AO461" s="10" t="str">
        <f t="shared" si="14"/>
        <v>|--</v>
      </c>
      <c r="AP461" s="10"/>
      <c r="AQ461" s="51" t="str">
        <f t="shared" si="15"/>
        <v>入荷一括検品</v>
      </c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</row>
    <row r="462" ht="15" spans="1:57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25">
        <v>195</v>
      </c>
      <c r="AA462" s="25"/>
      <c r="AB462" s="25"/>
      <c r="AC462" s="26">
        <v>2</v>
      </c>
      <c r="AD462" s="25"/>
      <c r="AE462" s="25"/>
      <c r="AF462" s="25">
        <v>40</v>
      </c>
      <c r="AG462" s="25"/>
      <c r="AH462" s="25"/>
      <c r="AI462" s="30" t="s">
        <v>117</v>
      </c>
      <c r="AJ462" s="48" t="str">
        <f t="shared" si="12"/>
        <v>会社管理</v>
      </c>
      <c r="AK462" s="10"/>
      <c r="AL462" s="10"/>
      <c r="AM462" s="10"/>
      <c r="AN462" s="10" t="str">
        <f t="shared" si="13"/>
        <v/>
      </c>
      <c r="AO462" s="10" t="str">
        <f t="shared" si="14"/>
        <v>|--</v>
      </c>
      <c r="AP462" s="10"/>
      <c r="AQ462" s="51" t="str">
        <f t="shared" si="15"/>
        <v>入庫入力</v>
      </c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</row>
    <row r="463" ht="15" spans="1:57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25">
        <v>196</v>
      </c>
      <c r="AA463" s="25"/>
      <c r="AB463" s="25"/>
      <c r="AC463" s="26">
        <v>2</v>
      </c>
      <c r="AD463" s="25"/>
      <c r="AE463" s="25"/>
      <c r="AF463" s="25">
        <v>41</v>
      </c>
      <c r="AG463" s="25"/>
      <c r="AH463" s="25"/>
      <c r="AI463" s="30" t="s">
        <v>117</v>
      </c>
      <c r="AJ463" s="48" t="str">
        <f t="shared" si="12"/>
        <v>会社管理</v>
      </c>
      <c r="AK463" s="10"/>
      <c r="AL463" s="10"/>
      <c r="AM463" s="10"/>
      <c r="AN463" s="10" t="str">
        <f t="shared" si="13"/>
        <v/>
      </c>
      <c r="AO463" s="10" t="str">
        <f t="shared" si="14"/>
        <v>|--</v>
      </c>
      <c r="AP463" s="10"/>
      <c r="AQ463" s="51" t="str">
        <f t="shared" si="15"/>
        <v>入庫削除</v>
      </c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</row>
    <row r="464" ht="15" spans="1:57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25">
        <v>197</v>
      </c>
      <c r="AA464" s="25"/>
      <c r="AB464" s="25"/>
      <c r="AC464" s="26">
        <v>2</v>
      </c>
      <c r="AD464" s="25"/>
      <c r="AE464" s="25"/>
      <c r="AF464" s="25">
        <v>42</v>
      </c>
      <c r="AG464" s="25"/>
      <c r="AH464" s="25"/>
      <c r="AI464" s="30" t="s">
        <v>117</v>
      </c>
      <c r="AJ464" s="48" t="str">
        <f t="shared" si="12"/>
        <v>会社管理</v>
      </c>
      <c r="AK464" s="10"/>
      <c r="AL464" s="10"/>
      <c r="AM464" s="10"/>
      <c r="AN464" s="10" t="str">
        <f t="shared" si="13"/>
        <v/>
      </c>
      <c r="AO464" s="10" t="str">
        <f t="shared" si="14"/>
        <v>|--</v>
      </c>
      <c r="AP464" s="10"/>
      <c r="AQ464" s="51" t="str">
        <f t="shared" si="15"/>
        <v>入庫照会</v>
      </c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</row>
    <row r="465" ht="15" spans="1:57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25">
        <v>198</v>
      </c>
      <c r="AA465" s="25"/>
      <c r="AB465" s="25"/>
      <c r="AC465" s="26">
        <v>2</v>
      </c>
      <c r="AD465" s="25"/>
      <c r="AE465" s="25"/>
      <c r="AF465" s="25">
        <v>43</v>
      </c>
      <c r="AG465" s="25"/>
      <c r="AH465" s="25"/>
      <c r="AI465" s="30" t="s">
        <v>117</v>
      </c>
      <c r="AJ465" s="48" t="str">
        <f t="shared" si="12"/>
        <v>会社管理</v>
      </c>
      <c r="AK465" s="10"/>
      <c r="AL465" s="10"/>
      <c r="AM465" s="10"/>
      <c r="AN465" s="10" t="str">
        <f t="shared" si="13"/>
        <v/>
      </c>
      <c r="AO465" s="10" t="str">
        <f t="shared" si="14"/>
        <v>|--</v>
      </c>
      <c r="AP465" s="10"/>
      <c r="AQ465" s="51" t="str">
        <f t="shared" si="15"/>
        <v>入庫ラベル</v>
      </c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</row>
    <row r="466" ht="15" spans="1:57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25">
        <v>199</v>
      </c>
      <c r="AA466" s="25"/>
      <c r="AB466" s="25"/>
      <c r="AC466" s="26">
        <v>2</v>
      </c>
      <c r="AD466" s="25"/>
      <c r="AE466" s="25"/>
      <c r="AF466" s="25">
        <v>44</v>
      </c>
      <c r="AG466" s="25"/>
      <c r="AH466" s="25"/>
      <c r="AI466" s="30" t="s">
        <v>117</v>
      </c>
      <c r="AJ466" s="48" t="str">
        <f t="shared" si="12"/>
        <v>会社管理</v>
      </c>
      <c r="AK466" s="10"/>
      <c r="AL466" s="10"/>
      <c r="AM466" s="10"/>
      <c r="AN466" s="10" t="str">
        <f t="shared" si="13"/>
        <v/>
      </c>
      <c r="AO466" s="10" t="str">
        <f t="shared" si="14"/>
        <v>|--</v>
      </c>
      <c r="AP466" s="10"/>
      <c r="AQ466" s="51" t="str">
        <f t="shared" si="15"/>
        <v>入荷確定</v>
      </c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</row>
    <row r="467" ht="15" spans="1:5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25">
        <v>200</v>
      </c>
      <c r="AA467" s="25"/>
      <c r="AB467" s="25"/>
      <c r="AC467" s="26">
        <v>2</v>
      </c>
      <c r="AD467" s="25"/>
      <c r="AE467" s="25"/>
      <c r="AF467" s="25">
        <v>45</v>
      </c>
      <c r="AG467" s="25"/>
      <c r="AH467" s="25"/>
      <c r="AI467" s="30" t="s">
        <v>117</v>
      </c>
      <c r="AJ467" s="48" t="str">
        <f t="shared" si="12"/>
        <v>会社管理</v>
      </c>
      <c r="AK467" s="10"/>
      <c r="AL467" s="10"/>
      <c r="AM467" s="10"/>
      <c r="AN467" s="10" t="str">
        <f t="shared" si="13"/>
        <v/>
      </c>
      <c r="AO467" s="10" t="str">
        <f t="shared" si="14"/>
        <v>|--</v>
      </c>
      <c r="AP467" s="10"/>
      <c r="AQ467" s="51" t="str">
        <f t="shared" si="15"/>
        <v>入荷確定取消</v>
      </c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</row>
    <row r="468" ht="15" spans="1:57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25">
        <v>201</v>
      </c>
      <c r="AA468" s="25"/>
      <c r="AB468" s="25"/>
      <c r="AC468" s="26">
        <v>2</v>
      </c>
      <c r="AD468" s="25"/>
      <c r="AE468" s="25"/>
      <c r="AF468" s="25">
        <v>46</v>
      </c>
      <c r="AG468" s="25"/>
      <c r="AH468" s="25"/>
      <c r="AI468" s="30" t="s">
        <v>117</v>
      </c>
      <c r="AJ468" s="48" t="str">
        <f t="shared" si="12"/>
        <v>会社管理</v>
      </c>
      <c r="AK468" s="10"/>
      <c r="AL468" s="10"/>
      <c r="AM468" s="10"/>
      <c r="AN468" s="10" t="str">
        <f t="shared" si="13"/>
        <v/>
      </c>
      <c r="AO468" s="10" t="str">
        <f t="shared" si="14"/>
        <v>|--</v>
      </c>
      <c r="AP468" s="10"/>
      <c r="AQ468" s="51" t="str">
        <f t="shared" si="15"/>
        <v>入荷確定照会</v>
      </c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</row>
    <row r="469" ht="15" spans="1:57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25">
        <v>202</v>
      </c>
      <c r="AA469" s="25"/>
      <c r="AB469" s="25"/>
      <c r="AC469" s="26">
        <v>2</v>
      </c>
      <c r="AD469" s="25"/>
      <c r="AE469" s="25"/>
      <c r="AF469" s="25">
        <v>47</v>
      </c>
      <c r="AG469" s="25"/>
      <c r="AH469" s="25"/>
      <c r="AI469" s="30" t="s">
        <v>117</v>
      </c>
      <c r="AJ469" s="48" t="str">
        <f t="shared" si="12"/>
        <v>会社管理</v>
      </c>
      <c r="AK469" s="10"/>
      <c r="AL469" s="10"/>
      <c r="AM469" s="10"/>
      <c r="AN469" s="10" t="str">
        <f t="shared" si="13"/>
        <v/>
      </c>
      <c r="AO469" s="10" t="str">
        <f t="shared" si="14"/>
        <v>|--</v>
      </c>
      <c r="AP469" s="10"/>
      <c r="AQ469" s="51" t="str">
        <f t="shared" si="15"/>
        <v>入荷確定データ出力（CSV）</v>
      </c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</row>
    <row r="470" ht="15" spans="1:57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25">
        <v>203</v>
      </c>
      <c r="AA470" s="25"/>
      <c r="AB470" s="25"/>
      <c r="AC470" s="26">
        <v>2</v>
      </c>
      <c r="AD470" s="25"/>
      <c r="AE470" s="25"/>
      <c r="AF470" s="25">
        <v>48</v>
      </c>
      <c r="AG470" s="25"/>
      <c r="AH470" s="25"/>
      <c r="AI470" s="30" t="s">
        <v>117</v>
      </c>
      <c r="AJ470" s="48" t="str">
        <f t="shared" si="12"/>
        <v>会社管理</v>
      </c>
      <c r="AK470" s="10"/>
      <c r="AL470" s="10"/>
      <c r="AM470" s="10"/>
      <c r="AN470" s="10" t="str">
        <f t="shared" si="13"/>
        <v/>
      </c>
      <c r="AO470" s="10" t="str">
        <f t="shared" si="14"/>
        <v>|--</v>
      </c>
      <c r="AP470" s="10"/>
      <c r="AQ470" s="51" t="str">
        <f t="shared" si="15"/>
        <v>入荷確定データ出力（API）</v>
      </c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</row>
    <row r="471" ht="15" spans="1:57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25">
        <v>204</v>
      </c>
      <c r="AA471" s="25"/>
      <c r="AB471" s="25"/>
      <c r="AC471" s="26">
        <v>2</v>
      </c>
      <c r="AD471" s="25"/>
      <c r="AE471" s="25"/>
      <c r="AF471" s="25">
        <v>49</v>
      </c>
      <c r="AG471" s="25"/>
      <c r="AH471" s="25"/>
      <c r="AI471" s="30" t="s">
        <v>117</v>
      </c>
      <c r="AJ471" s="48" t="str">
        <f t="shared" si="12"/>
        <v>会社管理</v>
      </c>
      <c r="AK471" s="10"/>
      <c r="AL471" s="10"/>
      <c r="AM471" s="10"/>
      <c r="AN471" s="10" t="str">
        <f t="shared" si="13"/>
        <v/>
      </c>
      <c r="AO471" s="10" t="str">
        <f t="shared" si="14"/>
        <v>|--</v>
      </c>
      <c r="AP471" s="10"/>
      <c r="AQ471" s="51" t="str">
        <f t="shared" si="15"/>
        <v>入荷状況照会（取引先用）</v>
      </c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</row>
    <row r="472" ht="15" spans="1:57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25">
        <v>205</v>
      </c>
      <c r="AA472" s="25"/>
      <c r="AB472" s="25"/>
      <c r="AC472" s="26">
        <v>2</v>
      </c>
      <c r="AD472" s="25"/>
      <c r="AE472" s="25"/>
      <c r="AF472" s="25">
        <v>50</v>
      </c>
      <c r="AG472" s="25"/>
      <c r="AH472" s="25"/>
      <c r="AI472" s="30" t="s">
        <v>117</v>
      </c>
      <c r="AJ472" s="48" t="str">
        <f t="shared" si="12"/>
        <v>会社管理</v>
      </c>
      <c r="AK472" s="10"/>
      <c r="AL472" s="10"/>
      <c r="AM472" s="10"/>
      <c r="AN472" s="10" t="str">
        <f t="shared" si="13"/>
        <v>|----</v>
      </c>
      <c r="AO472" s="10" t="str">
        <f t="shared" si="14"/>
        <v/>
      </c>
      <c r="AP472" s="10"/>
      <c r="AQ472" s="51" t="str">
        <f t="shared" si="15"/>
        <v>在庫</v>
      </c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</row>
    <row r="473" ht="15" spans="1:57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25">
        <v>206</v>
      </c>
      <c r="AA473" s="25"/>
      <c r="AB473" s="25"/>
      <c r="AC473" s="26">
        <v>2</v>
      </c>
      <c r="AD473" s="25"/>
      <c r="AE473" s="25"/>
      <c r="AF473" s="25">
        <v>51</v>
      </c>
      <c r="AG473" s="25"/>
      <c r="AH473" s="25"/>
      <c r="AI473" s="30" t="s">
        <v>117</v>
      </c>
      <c r="AJ473" s="48" t="str">
        <f t="shared" si="12"/>
        <v>会社管理</v>
      </c>
      <c r="AK473" s="10"/>
      <c r="AL473" s="10"/>
      <c r="AM473" s="10"/>
      <c r="AN473" s="10" t="str">
        <f t="shared" si="13"/>
        <v/>
      </c>
      <c r="AO473" s="10" t="str">
        <f t="shared" si="14"/>
        <v>|--</v>
      </c>
      <c r="AP473" s="10"/>
      <c r="AQ473" s="51" t="str">
        <f t="shared" si="15"/>
        <v>在庫データ取込（CSV）</v>
      </c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</row>
    <row r="474" ht="15" spans="1:57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25">
        <v>207</v>
      </c>
      <c r="AA474" s="25"/>
      <c r="AB474" s="25"/>
      <c r="AC474" s="26">
        <v>2</v>
      </c>
      <c r="AD474" s="25"/>
      <c r="AE474" s="25"/>
      <c r="AF474" s="25">
        <v>52</v>
      </c>
      <c r="AG474" s="25"/>
      <c r="AH474" s="25"/>
      <c r="AI474" s="30" t="s">
        <v>117</v>
      </c>
      <c r="AJ474" s="48" t="str">
        <f t="shared" si="12"/>
        <v>会社管理</v>
      </c>
      <c r="AK474" s="10"/>
      <c r="AL474" s="10"/>
      <c r="AM474" s="10"/>
      <c r="AN474" s="10" t="str">
        <f t="shared" si="13"/>
        <v/>
      </c>
      <c r="AO474" s="10" t="str">
        <f t="shared" si="14"/>
        <v>|--</v>
      </c>
      <c r="AP474" s="10"/>
      <c r="AQ474" s="51" t="str">
        <f t="shared" si="15"/>
        <v>在庫データ取込（API）</v>
      </c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</row>
    <row r="475" ht="15" spans="1:57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25">
        <v>208</v>
      </c>
      <c r="AA475" s="25"/>
      <c r="AB475" s="25"/>
      <c r="AC475" s="26">
        <v>2</v>
      </c>
      <c r="AD475" s="25"/>
      <c r="AE475" s="25"/>
      <c r="AF475" s="25">
        <v>53</v>
      </c>
      <c r="AG475" s="25"/>
      <c r="AH475" s="25"/>
      <c r="AI475" s="30" t="s">
        <v>117</v>
      </c>
      <c r="AJ475" s="48" t="str">
        <f t="shared" si="12"/>
        <v>会社管理</v>
      </c>
      <c r="AK475" s="10"/>
      <c r="AL475" s="10"/>
      <c r="AM475" s="10"/>
      <c r="AN475" s="10" t="str">
        <f t="shared" si="13"/>
        <v/>
      </c>
      <c r="AO475" s="10" t="str">
        <f t="shared" si="14"/>
        <v>|--</v>
      </c>
      <c r="AP475" s="10"/>
      <c r="AQ475" s="51" t="str">
        <f t="shared" si="15"/>
        <v>在庫照会</v>
      </c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</row>
    <row r="476" ht="15" spans="1:57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25">
        <v>209</v>
      </c>
      <c r="AA476" s="25"/>
      <c r="AB476" s="25"/>
      <c r="AC476" s="26">
        <v>2</v>
      </c>
      <c r="AD476" s="25"/>
      <c r="AE476" s="25"/>
      <c r="AF476" s="25">
        <v>54</v>
      </c>
      <c r="AG476" s="25"/>
      <c r="AH476" s="25"/>
      <c r="AI476" s="30" t="s">
        <v>117</v>
      </c>
      <c r="AJ476" s="48" t="str">
        <f t="shared" si="12"/>
        <v>会社管理</v>
      </c>
      <c r="AK476" s="10"/>
      <c r="AL476" s="10"/>
      <c r="AM476" s="10"/>
      <c r="AN476" s="10" t="str">
        <f t="shared" si="13"/>
        <v/>
      </c>
      <c r="AO476" s="10" t="str">
        <f t="shared" si="14"/>
        <v>|--</v>
      </c>
      <c r="AP476" s="10"/>
      <c r="AQ476" s="51" t="str">
        <f t="shared" si="15"/>
        <v>在庫照会（取引先用）</v>
      </c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</row>
    <row r="477" ht="15" spans="1:5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25">
        <v>210</v>
      </c>
      <c r="AA477" s="25"/>
      <c r="AB477" s="25"/>
      <c r="AC477" s="26">
        <v>2</v>
      </c>
      <c r="AD477" s="25"/>
      <c r="AE477" s="25"/>
      <c r="AF477" s="25">
        <v>55</v>
      </c>
      <c r="AG477" s="25"/>
      <c r="AH477" s="25"/>
      <c r="AI477" s="30" t="s">
        <v>117</v>
      </c>
      <c r="AJ477" s="48" t="str">
        <f t="shared" si="12"/>
        <v>会社管理</v>
      </c>
      <c r="AK477" s="10"/>
      <c r="AL477" s="10"/>
      <c r="AM477" s="10"/>
      <c r="AN477" s="10" t="str">
        <f t="shared" si="13"/>
        <v/>
      </c>
      <c r="AO477" s="10" t="str">
        <f t="shared" si="14"/>
        <v>|--</v>
      </c>
      <c r="AP477" s="10"/>
      <c r="AQ477" s="51" t="str">
        <f t="shared" si="15"/>
        <v>在庫照会（取引先用）API</v>
      </c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</row>
    <row r="478" ht="15" spans="1:57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25">
        <v>211</v>
      </c>
      <c r="AA478" s="25"/>
      <c r="AB478" s="25"/>
      <c r="AC478" s="26">
        <v>2</v>
      </c>
      <c r="AD478" s="25"/>
      <c r="AE478" s="25"/>
      <c r="AF478" s="25">
        <v>56</v>
      </c>
      <c r="AG478" s="25"/>
      <c r="AH478" s="25"/>
      <c r="AI478" s="30" t="s">
        <v>117</v>
      </c>
      <c r="AJ478" s="48" t="str">
        <f t="shared" si="12"/>
        <v>会社管理</v>
      </c>
      <c r="AK478" s="10"/>
      <c r="AL478" s="10"/>
      <c r="AM478" s="10"/>
      <c r="AN478" s="10" t="str">
        <f t="shared" si="13"/>
        <v/>
      </c>
      <c r="AO478" s="10" t="str">
        <f t="shared" si="14"/>
        <v>|--</v>
      </c>
      <c r="AP478" s="10"/>
      <c r="AQ478" s="51" t="str">
        <f t="shared" si="15"/>
        <v>受払照会</v>
      </c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</row>
    <row r="479" ht="15" spans="1:57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25">
        <v>212</v>
      </c>
      <c r="AA479" s="25"/>
      <c r="AB479" s="25"/>
      <c r="AC479" s="26">
        <v>2</v>
      </c>
      <c r="AD479" s="25"/>
      <c r="AE479" s="25"/>
      <c r="AF479" s="25">
        <v>57</v>
      </c>
      <c r="AG479" s="25"/>
      <c r="AH479" s="25"/>
      <c r="AI479" s="30" t="s">
        <v>117</v>
      </c>
      <c r="AJ479" s="48" t="str">
        <f t="shared" si="12"/>
        <v>会社管理</v>
      </c>
      <c r="AK479" s="10"/>
      <c r="AL479" s="10"/>
      <c r="AM479" s="10"/>
      <c r="AN479" s="10" t="str">
        <f t="shared" si="13"/>
        <v/>
      </c>
      <c r="AO479" s="10" t="str">
        <f t="shared" si="14"/>
        <v>|--</v>
      </c>
      <c r="AP479" s="10"/>
      <c r="AQ479" s="51" t="str">
        <f t="shared" si="15"/>
        <v>商品構成指示入力</v>
      </c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</row>
    <row r="480" ht="15" spans="1:57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25">
        <v>213</v>
      </c>
      <c r="AA480" s="25"/>
      <c r="AB480" s="25"/>
      <c r="AC480" s="26">
        <v>2</v>
      </c>
      <c r="AD480" s="25"/>
      <c r="AE480" s="25"/>
      <c r="AF480" s="25">
        <v>58</v>
      </c>
      <c r="AG480" s="25"/>
      <c r="AH480" s="25"/>
      <c r="AI480" s="30" t="s">
        <v>117</v>
      </c>
      <c r="AJ480" s="48" t="str">
        <f t="shared" si="12"/>
        <v>会社管理</v>
      </c>
      <c r="AK480" s="10"/>
      <c r="AL480" s="10"/>
      <c r="AM480" s="10"/>
      <c r="AN480" s="10" t="str">
        <f t="shared" si="13"/>
        <v/>
      </c>
      <c r="AO480" s="10" t="str">
        <f t="shared" si="14"/>
        <v>|--</v>
      </c>
      <c r="AP480" s="10"/>
      <c r="AQ480" s="51" t="str">
        <f t="shared" si="15"/>
        <v>商品構成指示書</v>
      </c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</row>
    <row r="481" ht="15" spans="1:57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25">
        <v>214</v>
      </c>
      <c r="AA481" s="25"/>
      <c r="AB481" s="25"/>
      <c r="AC481" s="26">
        <v>2</v>
      </c>
      <c r="AD481" s="25"/>
      <c r="AE481" s="25"/>
      <c r="AF481" s="25">
        <v>59</v>
      </c>
      <c r="AG481" s="25"/>
      <c r="AH481" s="25"/>
      <c r="AI481" s="30" t="s">
        <v>117</v>
      </c>
      <c r="AJ481" s="48" t="str">
        <f t="shared" si="12"/>
        <v>会社管理</v>
      </c>
      <c r="AK481" s="10"/>
      <c r="AL481" s="10"/>
      <c r="AM481" s="10"/>
      <c r="AN481" s="10" t="str">
        <f t="shared" si="13"/>
        <v/>
      </c>
      <c r="AO481" s="10" t="str">
        <f t="shared" si="14"/>
        <v>|--</v>
      </c>
      <c r="AP481" s="10"/>
      <c r="AQ481" s="51" t="str">
        <f t="shared" si="15"/>
        <v>商品構成完了入力</v>
      </c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</row>
    <row r="482" ht="15" spans="1:57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25">
        <v>215</v>
      </c>
      <c r="AA482" s="25"/>
      <c r="AB482" s="25"/>
      <c r="AC482" s="26">
        <v>2</v>
      </c>
      <c r="AD482" s="25"/>
      <c r="AE482" s="25"/>
      <c r="AF482" s="25">
        <v>60</v>
      </c>
      <c r="AG482" s="25"/>
      <c r="AH482" s="25"/>
      <c r="AI482" s="30" t="s">
        <v>117</v>
      </c>
      <c r="AJ482" s="48" t="str">
        <f t="shared" si="12"/>
        <v>会社管理</v>
      </c>
      <c r="AK482" s="10"/>
      <c r="AL482" s="10"/>
      <c r="AM482" s="10"/>
      <c r="AN482" s="10" t="str">
        <f t="shared" si="13"/>
        <v/>
      </c>
      <c r="AO482" s="10" t="str">
        <f t="shared" si="14"/>
        <v>|--</v>
      </c>
      <c r="AP482" s="10"/>
      <c r="AQ482" s="51" t="str">
        <f t="shared" si="15"/>
        <v>返品入力</v>
      </c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</row>
    <row r="483" ht="15" spans="1:57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25">
        <v>216</v>
      </c>
      <c r="AA483" s="25"/>
      <c r="AB483" s="25"/>
      <c r="AC483" s="26">
        <v>2</v>
      </c>
      <c r="AD483" s="25"/>
      <c r="AE483" s="25"/>
      <c r="AF483" s="25">
        <v>61</v>
      </c>
      <c r="AG483" s="25"/>
      <c r="AH483" s="25"/>
      <c r="AI483" s="30" t="s">
        <v>117</v>
      </c>
      <c r="AJ483" s="48" t="str">
        <f t="shared" si="12"/>
        <v>会社管理</v>
      </c>
      <c r="AK483" s="10"/>
      <c r="AL483" s="10"/>
      <c r="AM483" s="10"/>
      <c r="AN483" s="10" t="str">
        <f t="shared" si="13"/>
        <v/>
      </c>
      <c r="AO483" s="10" t="str">
        <f t="shared" si="14"/>
        <v>|--</v>
      </c>
      <c r="AP483" s="10"/>
      <c r="AQ483" s="51" t="str">
        <f t="shared" si="15"/>
        <v>返品削除</v>
      </c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</row>
    <row r="484" ht="15" spans="1:57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25">
        <v>217</v>
      </c>
      <c r="AA484" s="25"/>
      <c r="AB484" s="25"/>
      <c r="AC484" s="26">
        <v>2</v>
      </c>
      <c r="AD484" s="25"/>
      <c r="AE484" s="25"/>
      <c r="AF484" s="25">
        <v>62</v>
      </c>
      <c r="AG484" s="25"/>
      <c r="AH484" s="25"/>
      <c r="AI484" s="30" t="s">
        <v>117</v>
      </c>
      <c r="AJ484" s="48" t="str">
        <f t="shared" si="12"/>
        <v>会社管理</v>
      </c>
      <c r="AK484" s="10"/>
      <c r="AL484" s="10"/>
      <c r="AM484" s="10"/>
      <c r="AN484" s="10" t="str">
        <f t="shared" si="13"/>
        <v/>
      </c>
      <c r="AO484" s="10" t="str">
        <f t="shared" si="14"/>
        <v>|--</v>
      </c>
      <c r="AP484" s="10"/>
      <c r="AQ484" s="51" t="str">
        <f t="shared" si="15"/>
        <v>返品照会</v>
      </c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</row>
    <row r="485" ht="15" spans="1:57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25">
        <v>218</v>
      </c>
      <c r="AA485" s="25"/>
      <c r="AB485" s="25"/>
      <c r="AC485" s="26">
        <v>2</v>
      </c>
      <c r="AD485" s="25"/>
      <c r="AE485" s="25"/>
      <c r="AF485" s="25">
        <v>63</v>
      </c>
      <c r="AG485" s="25"/>
      <c r="AH485" s="25"/>
      <c r="AI485" s="30" t="s">
        <v>117</v>
      </c>
      <c r="AJ485" s="48" t="str">
        <f t="shared" si="12"/>
        <v>会社管理</v>
      </c>
      <c r="AK485" s="10"/>
      <c r="AL485" s="10"/>
      <c r="AM485" s="10"/>
      <c r="AN485" s="10" t="str">
        <f t="shared" si="13"/>
        <v/>
      </c>
      <c r="AO485" s="10" t="str">
        <f t="shared" si="14"/>
        <v>|--</v>
      </c>
      <c r="AP485" s="10"/>
      <c r="AQ485" s="51" t="str">
        <f t="shared" si="15"/>
        <v>在庫移動（出庫）</v>
      </c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</row>
    <row r="486" ht="15" spans="1:57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25">
        <v>219</v>
      </c>
      <c r="AA486" s="25"/>
      <c r="AB486" s="25"/>
      <c r="AC486" s="26">
        <v>2</v>
      </c>
      <c r="AD486" s="25"/>
      <c r="AE486" s="25"/>
      <c r="AF486" s="25">
        <v>64</v>
      </c>
      <c r="AG486" s="25"/>
      <c r="AH486" s="25"/>
      <c r="AI486" s="30" t="s">
        <v>117</v>
      </c>
      <c r="AJ486" s="48" t="str">
        <f t="shared" si="12"/>
        <v>会社管理</v>
      </c>
      <c r="AK486" s="10"/>
      <c r="AL486" s="10"/>
      <c r="AM486" s="10"/>
      <c r="AN486" s="10" t="str">
        <f t="shared" si="13"/>
        <v/>
      </c>
      <c r="AO486" s="10" t="str">
        <f t="shared" si="14"/>
        <v>|--</v>
      </c>
      <c r="AP486" s="10"/>
      <c r="AQ486" s="51" t="str">
        <f t="shared" si="15"/>
        <v>在庫移動（入庫）</v>
      </c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</row>
    <row r="487" ht="15" spans="1:5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25">
        <v>220</v>
      </c>
      <c r="AA487" s="25"/>
      <c r="AB487" s="25"/>
      <c r="AC487" s="26">
        <v>2</v>
      </c>
      <c r="AD487" s="25"/>
      <c r="AE487" s="25"/>
      <c r="AF487" s="25">
        <v>65</v>
      </c>
      <c r="AG487" s="25"/>
      <c r="AH487" s="25"/>
      <c r="AI487" s="30" t="s">
        <v>117</v>
      </c>
      <c r="AJ487" s="48" t="str">
        <f t="shared" si="12"/>
        <v>会社管理</v>
      </c>
      <c r="AK487" s="10"/>
      <c r="AL487" s="10"/>
      <c r="AM487" s="10"/>
      <c r="AN487" s="10" t="str">
        <f t="shared" si="13"/>
        <v/>
      </c>
      <c r="AO487" s="10" t="str">
        <f t="shared" si="14"/>
        <v>|--</v>
      </c>
      <c r="AP487" s="10"/>
      <c r="AQ487" s="51" t="str">
        <f t="shared" si="15"/>
        <v>在庫移動指示書</v>
      </c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</row>
    <row r="488" ht="15" spans="1:57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25">
        <v>221</v>
      </c>
      <c r="AA488" s="25"/>
      <c r="AB488" s="25"/>
      <c r="AC488" s="26">
        <v>2</v>
      </c>
      <c r="AD488" s="25"/>
      <c r="AE488" s="25"/>
      <c r="AF488" s="25">
        <v>66</v>
      </c>
      <c r="AG488" s="25"/>
      <c r="AH488" s="25"/>
      <c r="AI488" s="30" t="s">
        <v>117</v>
      </c>
      <c r="AJ488" s="48" t="str">
        <f t="shared" si="12"/>
        <v>会社管理</v>
      </c>
      <c r="AK488" s="10"/>
      <c r="AL488" s="10"/>
      <c r="AM488" s="10"/>
      <c r="AN488" s="10" t="str">
        <f t="shared" si="13"/>
        <v/>
      </c>
      <c r="AO488" s="10" t="str">
        <f t="shared" si="14"/>
        <v>|--</v>
      </c>
      <c r="AP488" s="10"/>
      <c r="AQ488" s="51" t="str">
        <f t="shared" si="15"/>
        <v>在庫調整</v>
      </c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</row>
    <row r="489" ht="15" spans="1:57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25">
        <v>222</v>
      </c>
      <c r="AA489" s="25"/>
      <c r="AB489" s="25"/>
      <c r="AC489" s="26">
        <v>2</v>
      </c>
      <c r="AD489" s="25"/>
      <c r="AE489" s="25"/>
      <c r="AF489" s="25">
        <v>67</v>
      </c>
      <c r="AG489" s="25"/>
      <c r="AH489" s="25"/>
      <c r="AI489" s="30" t="s">
        <v>117</v>
      </c>
      <c r="AJ489" s="48" t="str">
        <f t="shared" si="12"/>
        <v>会社管理</v>
      </c>
      <c r="AK489" s="10"/>
      <c r="AL489" s="10"/>
      <c r="AM489" s="10"/>
      <c r="AN489" s="10" t="str">
        <f t="shared" si="13"/>
        <v/>
      </c>
      <c r="AO489" s="10" t="str">
        <f t="shared" si="14"/>
        <v>|--</v>
      </c>
      <c r="AP489" s="10"/>
      <c r="AQ489" s="51" t="str">
        <f t="shared" si="15"/>
        <v>荷姿変更</v>
      </c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</row>
    <row r="490" ht="15" spans="1:57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25">
        <v>223</v>
      </c>
      <c r="AA490" s="25"/>
      <c r="AB490" s="25"/>
      <c r="AC490" s="26">
        <v>2</v>
      </c>
      <c r="AD490" s="25"/>
      <c r="AE490" s="25"/>
      <c r="AF490" s="25">
        <v>68</v>
      </c>
      <c r="AG490" s="25"/>
      <c r="AH490" s="25"/>
      <c r="AI490" s="30" t="s">
        <v>117</v>
      </c>
      <c r="AJ490" s="48" t="str">
        <f t="shared" si="12"/>
        <v>会社管理</v>
      </c>
      <c r="AK490" s="10"/>
      <c r="AL490" s="10"/>
      <c r="AM490" s="10"/>
      <c r="AN490" s="10" t="str">
        <f t="shared" si="13"/>
        <v/>
      </c>
      <c r="AO490" s="10" t="str">
        <f t="shared" si="14"/>
        <v>|--</v>
      </c>
      <c r="AP490" s="10"/>
      <c r="AQ490" s="51" t="str">
        <f t="shared" si="15"/>
        <v>在庫移動照会</v>
      </c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</row>
    <row r="491" ht="15" spans="1:57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25">
        <v>224</v>
      </c>
      <c r="AA491" s="25"/>
      <c r="AB491" s="25"/>
      <c r="AC491" s="26">
        <v>2</v>
      </c>
      <c r="AD491" s="25"/>
      <c r="AE491" s="25"/>
      <c r="AF491" s="25">
        <v>69</v>
      </c>
      <c r="AG491" s="25"/>
      <c r="AH491" s="25"/>
      <c r="AI491" s="30" t="s">
        <v>117</v>
      </c>
      <c r="AJ491" s="48" t="str">
        <f t="shared" si="12"/>
        <v>会社管理</v>
      </c>
      <c r="AK491" s="10"/>
      <c r="AL491" s="10"/>
      <c r="AM491" s="10"/>
      <c r="AN491" s="10" t="str">
        <f t="shared" si="13"/>
        <v/>
      </c>
      <c r="AO491" s="10" t="str">
        <f t="shared" si="14"/>
        <v>|--</v>
      </c>
      <c r="AP491" s="10"/>
      <c r="AQ491" s="51" t="str">
        <f t="shared" si="15"/>
        <v>在庫調整照会</v>
      </c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</row>
    <row r="492" ht="15" spans="1:57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25">
        <v>225</v>
      </c>
      <c r="AA492" s="25"/>
      <c r="AB492" s="25"/>
      <c r="AC492" s="26">
        <v>2</v>
      </c>
      <c r="AD492" s="25"/>
      <c r="AE492" s="25"/>
      <c r="AF492" s="25">
        <v>70</v>
      </c>
      <c r="AG492" s="25"/>
      <c r="AH492" s="25"/>
      <c r="AI492" s="30" t="s">
        <v>117</v>
      </c>
      <c r="AJ492" s="48" t="str">
        <f t="shared" si="12"/>
        <v>会社管理</v>
      </c>
      <c r="AK492" s="10"/>
      <c r="AL492" s="10"/>
      <c r="AM492" s="10"/>
      <c r="AN492" s="10" t="str">
        <f t="shared" si="13"/>
        <v/>
      </c>
      <c r="AO492" s="10" t="str">
        <f t="shared" si="14"/>
        <v>|--</v>
      </c>
      <c r="AP492" s="10"/>
      <c r="AQ492" s="51" t="str">
        <f t="shared" si="15"/>
        <v>荷姿変更照会</v>
      </c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</row>
    <row r="493" ht="15" spans="1:57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25">
        <v>226</v>
      </c>
      <c r="AA493" s="25"/>
      <c r="AB493" s="25"/>
      <c r="AC493" s="26">
        <v>2</v>
      </c>
      <c r="AD493" s="25"/>
      <c r="AE493" s="25"/>
      <c r="AF493" s="25">
        <v>71</v>
      </c>
      <c r="AG493" s="25"/>
      <c r="AH493" s="25"/>
      <c r="AI493" s="30" t="s">
        <v>117</v>
      </c>
      <c r="AJ493" s="48" t="str">
        <f t="shared" si="12"/>
        <v>会社管理</v>
      </c>
      <c r="AK493" s="10"/>
      <c r="AL493" s="10"/>
      <c r="AM493" s="10"/>
      <c r="AN493" s="10" t="str">
        <f t="shared" si="13"/>
        <v>|----</v>
      </c>
      <c r="AO493" s="10" t="str">
        <f t="shared" si="14"/>
        <v/>
      </c>
      <c r="AP493" s="10"/>
      <c r="AQ493" s="51" t="str">
        <f t="shared" si="15"/>
        <v>棚卸</v>
      </c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</row>
    <row r="494" ht="15" spans="1:57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25">
        <v>227</v>
      </c>
      <c r="AA494" s="25"/>
      <c r="AB494" s="25"/>
      <c r="AC494" s="26">
        <v>2</v>
      </c>
      <c r="AD494" s="25"/>
      <c r="AE494" s="25"/>
      <c r="AF494" s="25">
        <v>72</v>
      </c>
      <c r="AG494" s="25"/>
      <c r="AH494" s="25"/>
      <c r="AI494" s="30" t="s">
        <v>117</v>
      </c>
      <c r="AJ494" s="48" t="str">
        <f t="shared" si="12"/>
        <v>会社管理</v>
      </c>
      <c r="AK494" s="10"/>
      <c r="AL494" s="10"/>
      <c r="AM494" s="10"/>
      <c r="AN494" s="10" t="str">
        <f t="shared" si="13"/>
        <v/>
      </c>
      <c r="AO494" s="10" t="str">
        <f t="shared" si="14"/>
        <v>|--</v>
      </c>
      <c r="AP494" s="10"/>
      <c r="AQ494" s="51" t="str">
        <f t="shared" si="15"/>
        <v>棚卸開始処理</v>
      </c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</row>
    <row r="495" ht="15" spans="1:57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25">
        <v>228</v>
      </c>
      <c r="AA495" s="25"/>
      <c r="AB495" s="25"/>
      <c r="AC495" s="26">
        <v>2</v>
      </c>
      <c r="AD495" s="25"/>
      <c r="AE495" s="25"/>
      <c r="AF495" s="25">
        <v>73</v>
      </c>
      <c r="AG495" s="25"/>
      <c r="AH495" s="25"/>
      <c r="AI495" s="30" t="s">
        <v>117</v>
      </c>
      <c r="AJ495" s="48" t="str">
        <f t="shared" si="12"/>
        <v>会社管理</v>
      </c>
      <c r="AK495" s="10"/>
      <c r="AL495" s="10"/>
      <c r="AM495" s="10"/>
      <c r="AN495" s="10" t="str">
        <f t="shared" si="13"/>
        <v/>
      </c>
      <c r="AO495" s="10" t="str">
        <f t="shared" si="14"/>
        <v>|--</v>
      </c>
      <c r="AP495" s="10"/>
      <c r="AQ495" s="51" t="str">
        <f t="shared" si="15"/>
        <v>棚卸記入表</v>
      </c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</row>
    <row r="496" ht="15" spans="1:57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25">
        <v>229</v>
      </c>
      <c r="AA496" s="25"/>
      <c r="AB496" s="25"/>
      <c r="AC496" s="26">
        <v>2</v>
      </c>
      <c r="AD496" s="25"/>
      <c r="AE496" s="25"/>
      <c r="AF496" s="25">
        <v>74</v>
      </c>
      <c r="AG496" s="25"/>
      <c r="AH496" s="25"/>
      <c r="AI496" s="30" t="s">
        <v>117</v>
      </c>
      <c r="AJ496" s="48" t="str">
        <f t="shared" si="12"/>
        <v>会社管理</v>
      </c>
      <c r="AK496" s="10"/>
      <c r="AL496" s="10"/>
      <c r="AM496" s="10"/>
      <c r="AN496" s="10" t="str">
        <f t="shared" si="13"/>
        <v/>
      </c>
      <c r="AO496" s="10" t="str">
        <f t="shared" si="14"/>
        <v>|--</v>
      </c>
      <c r="AP496" s="10"/>
      <c r="AQ496" s="51" t="str">
        <f t="shared" si="15"/>
        <v>実棚明細入力</v>
      </c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</row>
    <row r="497" ht="15" spans="1:5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25">
        <v>230</v>
      </c>
      <c r="AA497" s="25"/>
      <c r="AB497" s="25"/>
      <c r="AC497" s="26">
        <v>2</v>
      </c>
      <c r="AD497" s="25"/>
      <c r="AE497" s="25"/>
      <c r="AF497" s="25">
        <v>75</v>
      </c>
      <c r="AG497" s="25"/>
      <c r="AH497" s="25"/>
      <c r="AI497" s="30" t="s">
        <v>117</v>
      </c>
      <c r="AJ497" s="48" t="str">
        <f t="shared" si="12"/>
        <v>会社管理</v>
      </c>
      <c r="AK497" s="10"/>
      <c r="AL497" s="10"/>
      <c r="AM497" s="10"/>
      <c r="AN497" s="10" t="str">
        <f t="shared" si="13"/>
        <v/>
      </c>
      <c r="AO497" s="10" t="str">
        <f t="shared" si="14"/>
        <v>|--</v>
      </c>
      <c r="AP497" s="10"/>
      <c r="AQ497" s="51" t="str">
        <f t="shared" si="15"/>
        <v>実棚明細削除</v>
      </c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</row>
    <row r="498" ht="15" spans="1:57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25">
        <v>231</v>
      </c>
      <c r="AA498" s="25"/>
      <c r="AB498" s="25"/>
      <c r="AC498" s="26">
        <v>2</v>
      </c>
      <c r="AD498" s="25"/>
      <c r="AE498" s="25"/>
      <c r="AF498" s="25">
        <v>76</v>
      </c>
      <c r="AG498" s="25"/>
      <c r="AH498" s="25"/>
      <c r="AI498" s="30" t="s">
        <v>117</v>
      </c>
      <c r="AJ498" s="48" t="str">
        <f t="shared" si="12"/>
        <v>会社管理</v>
      </c>
      <c r="AK498" s="10"/>
      <c r="AL498" s="10"/>
      <c r="AM498" s="10"/>
      <c r="AN498" s="10" t="str">
        <f t="shared" si="13"/>
        <v/>
      </c>
      <c r="AO498" s="10" t="str">
        <f t="shared" si="14"/>
        <v>|--</v>
      </c>
      <c r="AP498" s="10"/>
      <c r="AQ498" s="51" t="str">
        <f t="shared" si="15"/>
        <v>棚卸照会</v>
      </c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</row>
    <row r="499" ht="15" spans="1:57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25">
        <v>232</v>
      </c>
      <c r="AA499" s="25"/>
      <c r="AB499" s="25"/>
      <c r="AC499" s="26">
        <v>2</v>
      </c>
      <c r="AD499" s="25"/>
      <c r="AE499" s="25"/>
      <c r="AF499" s="25">
        <v>77</v>
      </c>
      <c r="AG499" s="25"/>
      <c r="AH499" s="25"/>
      <c r="AI499" s="30" t="s">
        <v>117</v>
      </c>
      <c r="AJ499" s="48" t="str">
        <f t="shared" si="12"/>
        <v>会社管理</v>
      </c>
      <c r="AK499" s="10"/>
      <c r="AL499" s="10"/>
      <c r="AM499" s="10"/>
      <c r="AN499" s="10" t="str">
        <f t="shared" si="13"/>
        <v/>
      </c>
      <c r="AO499" s="10" t="str">
        <f t="shared" si="14"/>
        <v>|--</v>
      </c>
      <c r="AP499" s="10"/>
      <c r="AQ499" s="51" t="str">
        <f t="shared" si="15"/>
        <v>棚卸確定処理</v>
      </c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</row>
    <row r="500" ht="15" spans="1:57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25">
        <v>233</v>
      </c>
      <c r="AA500" s="25"/>
      <c r="AB500" s="25"/>
      <c r="AC500" s="26">
        <v>2</v>
      </c>
      <c r="AD500" s="25"/>
      <c r="AE500" s="25"/>
      <c r="AF500" s="25">
        <v>78</v>
      </c>
      <c r="AG500" s="25"/>
      <c r="AH500" s="25"/>
      <c r="AI500" s="30" t="s">
        <v>117</v>
      </c>
      <c r="AJ500" s="48" t="str">
        <f t="shared" si="12"/>
        <v>会社管理</v>
      </c>
      <c r="AK500" s="10"/>
      <c r="AL500" s="10"/>
      <c r="AM500" s="10"/>
      <c r="AN500" s="10" t="str">
        <f t="shared" si="13"/>
        <v/>
      </c>
      <c r="AO500" s="10" t="str">
        <f t="shared" si="14"/>
        <v>|--</v>
      </c>
      <c r="AP500" s="10"/>
      <c r="AQ500" s="51" t="str">
        <f t="shared" si="15"/>
        <v>棚卸確定取消</v>
      </c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</row>
    <row r="501" ht="15" spans="1:57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25">
        <v>234</v>
      </c>
      <c r="AA501" s="25"/>
      <c r="AB501" s="25"/>
      <c r="AC501" s="26">
        <v>2</v>
      </c>
      <c r="AD501" s="25"/>
      <c r="AE501" s="25"/>
      <c r="AF501" s="25">
        <v>79</v>
      </c>
      <c r="AG501" s="25"/>
      <c r="AH501" s="25"/>
      <c r="AI501" s="30" t="s">
        <v>117</v>
      </c>
      <c r="AJ501" s="48" t="str">
        <f t="shared" si="12"/>
        <v>会社管理</v>
      </c>
      <c r="AK501" s="10"/>
      <c r="AL501" s="10"/>
      <c r="AM501" s="10"/>
      <c r="AN501" s="10" t="str">
        <f t="shared" si="13"/>
        <v/>
      </c>
      <c r="AO501" s="10" t="str">
        <f t="shared" si="14"/>
        <v>|--</v>
      </c>
      <c r="AP501" s="10"/>
      <c r="AQ501" s="51" t="str">
        <f t="shared" si="15"/>
        <v>棚卸データ出力（CSV）</v>
      </c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</row>
    <row r="502" ht="15" spans="1:57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25">
        <v>235</v>
      </c>
      <c r="AA502" s="25"/>
      <c r="AB502" s="25"/>
      <c r="AC502" s="26">
        <v>2</v>
      </c>
      <c r="AD502" s="25"/>
      <c r="AE502" s="25"/>
      <c r="AF502" s="25">
        <v>80</v>
      </c>
      <c r="AG502" s="25"/>
      <c r="AH502" s="25"/>
      <c r="AI502" s="30" t="s">
        <v>117</v>
      </c>
      <c r="AJ502" s="48" t="str">
        <f t="shared" si="12"/>
        <v>会社管理</v>
      </c>
      <c r="AK502" s="10"/>
      <c r="AL502" s="10"/>
      <c r="AM502" s="10"/>
      <c r="AN502" s="10" t="str">
        <f t="shared" si="13"/>
        <v/>
      </c>
      <c r="AO502" s="10" t="str">
        <f t="shared" si="14"/>
        <v>|--</v>
      </c>
      <c r="AP502" s="10"/>
      <c r="AQ502" s="51" t="str">
        <f t="shared" si="15"/>
        <v>棚卸データ出力（API）</v>
      </c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</row>
    <row r="503" ht="15" spans="1:57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25">
        <v>236</v>
      </c>
      <c r="AA503" s="25"/>
      <c r="AB503" s="25"/>
      <c r="AC503" s="26">
        <v>2</v>
      </c>
      <c r="AD503" s="25"/>
      <c r="AE503" s="25"/>
      <c r="AF503" s="25">
        <v>81</v>
      </c>
      <c r="AG503" s="25"/>
      <c r="AH503" s="25"/>
      <c r="AI503" s="30" t="s">
        <v>117</v>
      </c>
      <c r="AJ503" s="48" t="str">
        <f t="shared" si="12"/>
        <v>会社管理</v>
      </c>
      <c r="AK503" s="10"/>
      <c r="AL503" s="10"/>
      <c r="AM503" s="10"/>
      <c r="AN503" s="10" t="str">
        <f t="shared" si="13"/>
        <v/>
      </c>
      <c r="AO503" s="10" t="str">
        <f t="shared" si="14"/>
        <v>|--</v>
      </c>
      <c r="AP503" s="10"/>
      <c r="AQ503" s="51" t="str">
        <f t="shared" si="15"/>
        <v>棚卸仕訳データ出力（CSV）</v>
      </c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</row>
    <row r="504" ht="15" spans="1:57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25">
        <v>237</v>
      </c>
      <c r="AA504" s="25"/>
      <c r="AB504" s="25"/>
      <c r="AC504" s="26">
        <v>2</v>
      </c>
      <c r="AD504" s="25"/>
      <c r="AE504" s="25"/>
      <c r="AF504" s="25">
        <v>82</v>
      </c>
      <c r="AG504" s="25"/>
      <c r="AH504" s="25"/>
      <c r="AI504" s="30" t="s">
        <v>117</v>
      </c>
      <c r="AJ504" s="48" t="str">
        <f t="shared" si="12"/>
        <v>会社管理</v>
      </c>
      <c r="AK504" s="10"/>
      <c r="AL504" s="10"/>
      <c r="AM504" s="10"/>
      <c r="AN504" s="10" t="str">
        <f t="shared" si="13"/>
        <v/>
      </c>
      <c r="AO504" s="10" t="str">
        <f t="shared" si="14"/>
        <v>|--</v>
      </c>
      <c r="AP504" s="10"/>
      <c r="AQ504" s="51" t="str">
        <f t="shared" si="15"/>
        <v>棚卸仕訳データ出力（API）</v>
      </c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</row>
    <row r="505" ht="15" spans="1:57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25">
        <v>238</v>
      </c>
      <c r="AA505" s="25"/>
      <c r="AB505" s="25"/>
      <c r="AC505" s="26">
        <v>2</v>
      </c>
      <c r="AD505" s="25"/>
      <c r="AE505" s="25"/>
      <c r="AF505" s="25">
        <v>83</v>
      </c>
      <c r="AG505" s="25"/>
      <c r="AH505" s="25"/>
      <c r="AI505" s="30" t="s">
        <v>117</v>
      </c>
      <c r="AJ505" s="48" t="str">
        <f t="shared" si="12"/>
        <v>会社管理</v>
      </c>
      <c r="AK505" s="10"/>
      <c r="AL505" s="10"/>
      <c r="AM505" s="10"/>
      <c r="AN505" s="10" t="str">
        <f t="shared" si="13"/>
        <v>|----</v>
      </c>
      <c r="AO505" s="10" t="str">
        <f t="shared" si="14"/>
        <v/>
      </c>
      <c r="AP505" s="10"/>
      <c r="AQ505" s="51" t="str">
        <f t="shared" si="15"/>
        <v>分析</v>
      </c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</row>
    <row r="506" ht="15" spans="1:57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25">
        <v>239</v>
      </c>
      <c r="AA506" s="25"/>
      <c r="AB506" s="25"/>
      <c r="AC506" s="26">
        <v>2</v>
      </c>
      <c r="AD506" s="25"/>
      <c r="AE506" s="25"/>
      <c r="AF506" s="25">
        <v>84</v>
      </c>
      <c r="AG506" s="25"/>
      <c r="AH506" s="25"/>
      <c r="AI506" s="30" t="s">
        <v>117</v>
      </c>
      <c r="AJ506" s="48" t="str">
        <f t="shared" si="12"/>
        <v>会社管理</v>
      </c>
      <c r="AK506" s="10"/>
      <c r="AL506" s="10"/>
      <c r="AM506" s="10"/>
      <c r="AN506" s="10" t="str">
        <f t="shared" si="13"/>
        <v/>
      </c>
      <c r="AO506" s="10" t="str">
        <f t="shared" si="14"/>
        <v>|--</v>
      </c>
      <c r="AP506" s="10"/>
      <c r="AQ506" s="51" t="str">
        <f t="shared" si="15"/>
        <v>ABC分析</v>
      </c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</row>
    <row r="507" ht="15" spans="1:5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25">
        <v>240</v>
      </c>
      <c r="AA507" s="25"/>
      <c r="AB507" s="25"/>
      <c r="AC507" s="26">
        <v>2</v>
      </c>
      <c r="AD507" s="25"/>
      <c r="AE507" s="25"/>
      <c r="AF507" s="25">
        <v>85</v>
      </c>
      <c r="AG507" s="25"/>
      <c r="AH507" s="25"/>
      <c r="AI507" s="30" t="s">
        <v>117</v>
      </c>
      <c r="AJ507" s="48" t="str">
        <f t="shared" si="12"/>
        <v>会社管理</v>
      </c>
      <c r="AK507" s="10"/>
      <c r="AL507" s="10"/>
      <c r="AM507" s="10"/>
      <c r="AN507" s="10" t="str">
        <f t="shared" si="13"/>
        <v/>
      </c>
      <c r="AO507" s="10" t="str">
        <f t="shared" si="14"/>
        <v>|--</v>
      </c>
      <c r="AP507" s="10"/>
      <c r="AQ507" s="51" t="str">
        <f t="shared" si="15"/>
        <v>在庫回転率</v>
      </c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</row>
    <row r="508" ht="15" spans="1:57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25">
        <v>241</v>
      </c>
      <c r="AA508" s="25"/>
      <c r="AB508" s="25"/>
      <c r="AC508" s="26">
        <v>2</v>
      </c>
      <c r="AD508" s="25"/>
      <c r="AE508" s="25"/>
      <c r="AF508" s="25">
        <v>86</v>
      </c>
      <c r="AG508" s="25"/>
      <c r="AH508" s="25"/>
      <c r="AI508" s="30" t="s">
        <v>117</v>
      </c>
      <c r="AJ508" s="48" t="str">
        <f t="shared" si="12"/>
        <v>会社管理</v>
      </c>
      <c r="AK508" s="10"/>
      <c r="AL508" s="10"/>
      <c r="AM508" s="10"/>
      <c r="AN508" s="10" t="str">
        <f t="shared" si="13"/>
        <v/>
      </c>
      <c r="AO508" s="10" t="str">
        <f t="shared" si="14"/>
        <v>|--</v>
      </c>
      <c r="AP508" s="10"/>
      <c r="AQ508" s="51" t="str">
        <f t="shared" si="15"/>
        <v>発注点割れ</v>
      </c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</row>
    <row r="509" ht="15" spans="1:57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25">
        <v>242</v>
      </c>
      <c r="AA509" s="25"/>
      <c r="AB509" s="25"/>
      <c r="AC509" s="26">
        <v>2</v>
      </c>
      <c r="AD509" s="25"/>
      <c r="AE509" s="25"/>
      <c r="AF509" s="25">
        <v>87</v>
      </c>
      <c r="AG509" s="25"/>
      <c r="AH509" s="25"/>
      <c r="AI509" s="30" t="s">
        <v>117</v>
      </c>
      <c r="AJ509" s="48" t="str">
        <f t="shared" si="12"/>
        <v>会社管理</v>
      </c>
      <c r="AK509" s="10"/>
      <c r="AL509" s="10"/>
      <c r="AM509" s="10"/>
      <c r="AN509" s="10" t="str">
        <f t="shared" si="13"/>
        <v/>
      </c>
      <c r="AO509" s="10" t="str">
        <f t="shared" si="14"/>
        <v>|--</v>
      </c>
      <c r="AP509" s="10"/>
      <c r="AQ509" s="51" t="str">
        <f t="shared" si="15"/>
        <v>欠品</v>
      </c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</row>
    <row r="510" ht="15" spans="1:57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25">
        <v>243</v>
      </c>
      <c r="AA510" s="25"/>
      <c r="AB510" s="25"/>
      <c r="AC510" s="26">
        <v>2</v>
      </c>
      <c r="AD510" s="25"/>
      <c r="AE510" s="25"/>
      <c r="AF510" s="25">
        <v>88</v>
      </c>
      <c r="AG510" s="25"/>
      <c r="AH510" s="25"/>
      <c r="AI510" s="30" t="s">
        <v>117</v>
      </c>
      <c r="AJ510" s="48" t="str">
        <f t="shared" si="12"/>
        <v>会社管理</v>
      </c>
      <c r="AK510" s="10"/>
      <c r="AL510" s="10"/>
      <c r="AM510" s="10"/>
      <c r="AN510" s="10" t="str">
        <f t="shared" si="13"/>
        <v/>
      </c>
      <c r="AO510" s="10" t="str">
        <f t="shared" si="14"/>
        <v>|--</v>
      </c>
      <c r="AP510" s="10"/>
      <c r="AQ510" s="51" t="str">
        <f t="shared" si="15"/>
        <v>返品</v>
      </c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</row>
    <row r="511" ht="15" spans="1:57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25">
        <v>244</v>
      </c>
      <c r="AA511" s="25"/>
      <c r="AB511" s="25"/>
      <c r="AC511" s="26">
        <v>2</v>
      </c>
      <c r="AD511" s="25"/>
      <c r="AE511" s="25"/>
      <c r="AF511" s="25">
        <v>89</v>
      </c>
      <c r="AG511" s="25"/>
      <c r="AH511" s="25"/>
      <c r="AI511" s="30" t="s">
        <v>117</v>
      </c>
      <c r="AJ511" s="48" t="str">
        <f t="shared" si="12"/>
        <v>会社管理</v>
      </c>
      <c r="AK511" s="10"/>
      <c r="AL511" s="10"/>
      <c r="AM511" s="10"/>
      <c r="AN511" s="10" t="str">
        <f t="shared" si="13"/>
        <v/>
      </c>
      <c r="AO511" s="10" t="str">
        <f t="shared" si="14"/>
        <v>|--</v>
      </c>
      <c r="AP511" s="10"/>
      <c r="AQ511" s="51" t="str">
        <f t="shared" si="15"/>
        <v>商品追跡照会</v>
      </c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</row>
    <row r="512" ht="15" spans="1:57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25">
        <v>245</v>
      </c>
      <c r="AA512" s="25"/>
      <c r="AB512" s="25"/>
      <c r="AC512" s="26">
        <v>2</v>
      </c>
      <c r="AD512" s="25"/>
      <c r="AE512" s="25"/>
      <c r="AF512" s="25">
        <v>90</v>
      </c>
      <c r="AG512" s="25"/>
      <c r="AH512" s="25"/>
      <c r="AI512" s="30" t="s">
        <v>117</v>
      </c>
      <c r="AJ512" s="48" t="str">
        <f t="shared" si="12"/>
        <v>会社管理</v>
      </c>
      <c r="AK512" s="10"/>
      <c r="AL512" s="10"/>
      <c r="AM512" s="10"/>
      <c r="AN512" s="10" t="str">
        <f t="shared" si="13"/>
        <v/>
      </c>
      <c r="AO512" s="10" t="str">
        <f t="shared" si="14"/>
        <v>|--</v>
      </c>
      <c r="AP512" s="10"/>
      <c r="AQ512" s="51" t="str">
        <f t="shared" si="15"/>
        <v>担当者別ピッキング実績</v>
      </c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</row>
    <row r="513" ht="15" spans="1:57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25">
        <v>246</v>
      </c>
      <c r="AA513" s="25"/>
      <c r="AB513" s="25"/>
      <c r="AC513" s="26">
        <v>2</v>
      </c>
      <c r="AD513" s="25"/>
      <c r="AE513" s="25"/>
      <c r="AF513" s="25">
        <v>91</v>
      </c>
      <c r="AG513" s="25"/>
      <c r="AH513" s="25"/>
      <c r="AI513" s="30" t="s">
        <v>117</v>
      </c>
      <c r="AJ513" s="48" t="str">
        <f t="shared" si="12"/>
        <v>会社管理</v>
      </c>
      <c r="AK513" s="10"/>
      <c r="AL513" s="10"/>
      <c r="AM513" s="10"/>
      <c r="AN513" s="10" t="str">
        <f t="shared" si="13"/>
        <v/>
      </c>
      <c r="AO513" s="10" t="str">
        <f t="shared" si="14"/>
        <v>|--</v>
      </c>
      <c r="AP513" s="10"/>
      <c r="AQ513" s="51" t="str">
        <f t="shared" si="15"/>
        <v>出荷状況照会</v>
      </c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</row>
    <row r="514" ht="15" spans="1:57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25">
        <v>247</v>
      </c>
      <c r="AA514" s="25"/>
      <c r="AB514" s="25"/>
      <c r="AC514" s="26">
        <v>2</v>
      </c>
      <c r="AD514" s="25"/>
      <c r="AE514" s="25"/>
      <c r="AF514" s="25">
        <v>92</v>
      </c>
      <c r="AG514" s="25"/>
      <c r="AH514" s="25"/>
      <c r="AI514" s="30" t="s">
        <v>117</v>
      </c>
      <c r="AJ514" s="48" t="str">
        <f t="shared" si="12"/>
        <v>会社管理</v>
      </c>
      <c r="AK514" s="10"/>
      <c r="AL514" s="10"/>
      <c r="AM514" s="10"/>
      <c r="AN514" s="10" t="str">
        <f t="shared" si="13"/>
        <v/>
      </c>
      <c r="AO514" s="10" t="str">
        <f t="shared" si="14"/>
        <v>|--</v>
      </c>
      <c r="AP514" s="10"/>
      <c r="AQ514" s="51" t="str">
        <f t="shared" si="15"/>
        <v>入荷状況照会</v>
      </c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</row>
    <row r="515" ht="15" spans="1:57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25">
        <v>248</v>
      </c>
      <c r="AA515" s="25"/>
      <c r="AB515" s="25"/>
      <c r="AC515" s="26">
        <v>2</v>
      </c>
      <c r="AD515" s="25"/>
      <c r="AE515" s="25"/>
      <c r="AF515" s="25">
        <v>93</v>
      </c>
      <c r="AG515" s="25"/>
      <c r="AH515" s="25"/>
      <c r="AI515" s="30" t="s">
        <v>117</v>
      </c>
      <c r="AJ515" s="48" t="str">
        <f t="shared" si="12"/>
        <v>会社管理</v>
      </c>
      <c r="AK515" s="10"/>
      <c r="AL515" s="10"/>
      <c r="AM515" s="10"/>
      <c r="AN515" s="10" t="str">
        <f t="shared" si="13"/>
        <v/>
      </c>
      <c r="AO515" s="10" t="str">
        <f t="shared" si="14"/>
        <v>|--</v>
      </c>
      <c r="AP515" s="10"/>
      <c r="AQ515" s="51" t="str">
        <f t="shared" si="15"/>
        <v>棚卸状況照会</v>
      </c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</row>
    <row r="516" ht="15" spans="1:57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25">
        <v>249</v>
      </c>
      <c r="AA516" s="25"/>
      <c r="AB516" s="25"/>
      <c r="AC516" s="26">
        <v>2</v>
      </c>
      <c r="AD516" s="25"/>
      <c r="AE516" s="25"/>
      <c r="AF516" s="25">
        <v>94</v>
      </c>
      <c r="AG516" s="25"/>
      <c r="AH516" s="25"/>
      <c r="AI516" s="30" t="s">
        <v>117</v>
      </c>
      <c r="AJ516" s="48" t="str">
        <f t="shared" si="12"/>
        <v>会社管理</v>
      </c>
      <c r="AK516" s="10"/>
      <c r="AL516" s="10"/>
      <c r="AM516" s="10"/>
      <c r="AN516" s="10" t="str">
        <f t="shared" si="13"/>
        <v/>
      </c>
      <c r="AO516" s="10" t="str">
        <f t="shared" si="14"/>
        <v>|--</v>
      </c>
      <c r="AP516" s="10"/>
      <c r="AQ516" s="51" t="str">
        <f t="shared" si="15"/>
        <v>商品別予定推移</v>
      </c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</row>
    <row r="517" ht="15" spans="1:5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25">
        <v>250</v>
      </c>
      <c r="AA517" s="25"/>
      <c r="AB517" s="25"/>
      <c r="AC517" s="26">
        <v>2</v>
      </c>
      <c r="AD517" s="25"/>
      <c r="AE517" s="25"/>
      <c r="AF517" s="25">
        <v>95</v>
      </c>
      <c r="AG517" s="25"/>
      <c r="AH517" s="25"/>
      <c r="AI517" s="30" t="s">
        <v>117</v>
      </c>
      <c r="AJ517" s="48" t="str">
        <f t="shared" si="12"/>
        <v>会社管理</v>
      </c>
      <c r="AK517" s="10"/>
      <c r="AL517" s="10"/>
      <c r="AM517" s="10"/>
      <c r="AN517" s="10" t="str">
        <f t="shared" si="13"/>
        <v>|----</v>
      </c>
      <c r="AO517" s="10" t="str">
        <f t="shared" si="14"/>
        <v/>
      </c>
      <c r="AP517" s="10"/>
      <c r="AQ517" s="51" t="str">
        <f t="shared" si="15"/>
        <v>リスト</v>
      </c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</row>
    <row r="518" ht="15" spans="1:57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25">
        <v>251</v>
      </c>
      <c r="AA518" s="25"/>
      <c r="AB518" s="25"/>
      <c r="AC518" s="26">
        <v>2</v>
      </c>
      <c r="AD518" s="25"/>
      <c r="AE518" s="25"/>
      <c r="AF518" s="25">
        <v>96</v>
      </c>
      <c r="AG518" s="25"/>
      <c r="AH518" s="25"/>
      <c r="AI518" s="30" t="s">
        <v>117</v>
      </c>
      <c r="AJ518" s="48" t="str">
        <f t="shared" si="12"/>
        <v>会社管理</v>
      </c>
      <c r="AK518" s="10"/>
      <c r="AL518" s="10"/>
      <c r="AM518" s="10"/>
      <c r="AN518" s="10" t="str">
        <f t="shared" si="13"/>
        <v/>
      </c>
      <c r="AO518" s="10" t="str">
        <f t="shared" si="14"/>
        <v>|--</v>
      </c>
      <c r="AP518" s="10"/>
      <c r="AQ518" s="51" t="str">
        <f t="shared" si="15"/>
        <v>商品ラベル</v>
      </c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</row>
    <row r="519" ht="15" spans="1:57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25">
        <v>252</v>
      </c>
      <c r="AA519" s="25"/>
      <c r="AB519" s="25"/>
      <c r="AC519" s="26">
        <v>2</v>
      </c>
      <c r="AD519" s="25"/>
      <c r="AE519" s="25"/>
      <c r="AF519" s="25">
        <v>97</v>
      </c>
      <c r="AG519" s="25"/>
      <c r="AH519" s="25"/>
      <c r="AI519" s="30" t="s">
        <v>117</v>
      </c>
      <c r="AJ519" s="48" t="str">
        <f t="shared" si="12"/>
        <v>会社管理</v>
      </c>
      <c r="AK519" s="10"/>
      <c r="AL519" s="10"/>
      <c r="AM519" s="10"/>
      <c r="AN519" s="10" t="str">
        <f t="shared" si="13"/>
        <v/>
      </c>
      <c r="AO519" s="10" t="str">
        <f t="shared" si="14"/>
        <v>|--</v>
      </c>
      <c r="AP519" s="10"/>
      <c r="AQ519" s="51" t="str">
        <f t="shared" si="15"/>
        <v>ロケーションラベル</v>
      </c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</row>
    <row r="520" ht="15" spans="1:57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25">
        <v>253</v>
      </c>
      <c r="AA520" s="25"/>
      <c r="AB520" s="25"/>
      <c r="AC520" s="26">
        <v>2</v>
      </c>
      <c r="AD520" s="25"/>
      <c r="AE520" s="25"/>
      <c r="AF520" s="25">
        <v>98</v>
      </c>
      <c r="AG520" s="25"/>
      <c r="AH520" s="25"/>
      <c r="AI520" s="30" t="s">
        <v>117</v>
      </c>
      <c r="AJ520" s="48" t="str">
        <f t="shared" si="12"/>
        <v>会社管理</v>
      </c>
      <c r="AK520" s="10"/>
      <c r="AL520" s="10"/>
      <c r="AM520" s="10"/>
      <c r="AN520" s="10" t="str">
        <f t="shared" si="13"/>
        <v/>
      </c>
      <c r="AO520" s="10" t="str">
        <f t="shared" si="14"/>
        <v>|--</v>
      </c>
      <c r="AP520" s="10"/>
      <c r="AQ520" s="51" t="str">
        <f t="shared" si="15"/>
        <v>箱ラベル</v>
      </c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</row>
    <row r="521" ht="15" spans="1:57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25">
        <v>254</v>
      </c>
      <c r="AA521" s="25"/>
      <c r="AB521" s="25"/>
      <c r="AC521" s="26">
        <v>2</v>
      </c>
      <c r="AD521" s="25"/>
      <c r="AE521" s="25"/>
      <c r="AF521" s="25">
        <v>99</v>
      </c>
      <c r="AG521" s="25"/>
      <c r="AH521" s="25"/>
      <c r="AI521" s="30" t="s">
        <v>117</v>
      </c>
      <c r="AJ521" s="48" t="str">
        <f t="shared" si="12"/>
        <v>会社管理</v>
      </c>
      <c r="AK521" s="10"/>
      <c r="AL521" s="10"/>
      <c r="AM521" s="10"/>
      <c r="AN521" s="10" t="str">
        <f t="shared" si="13"/>
        <v>|----</v>
      </c>
      <c r="AO521" s="10" t="str">
        <f t="shared" si="14"/>
        <v/>
      </c>
      <c r="AP521" s="10"/>
      <c r="AQ521" s="51" t="str">
        <f t="shared" si="15"/>
        <v>マスタデータ</v>
      </c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</row>
    <row r="522" ht="15" spans="1:57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25">
        <v>255</v>
      </c>
      <c r="AA522" s="25"/>
      <c r="AB522" s="25"/>
      <c r="AC522" s="26">
        <v>2</v>
      </c>
      <c r="AD522" s="25"/>
      <c r="AE522" s="25"/>
      <c r="AF522" s="25">
        <v>100</v>
      </c>
      <c r="AG522" s="25"/>
      <c r="AH522" s="25"/>
      <c r="AI522" s="30" t="s">
        <v>117</v>
      </c>
      <c r="AJ522" s="48" t="str">
        <f t="shared" si="12"/>
        <v>会社管理</v>
      </c>
      <c r="AK522" s="10"/>
      <c r="AL522" s="10"/>
      <c r="AM522" s="10"/>
      <c r="AN522" s="10" t="str">
        <f t="shared" si="13"/>
        <v/>
      </c>
      <c r="AO522" s="10" t="str">
        <f t="shared" si="14"/>
        <v>|--</v>
      </c>
      <c r="AP522" s="10"/>
      <c r="AQ522" s="51" t="str">
        <f t="shared" si="15"/>
        <v>会社マスタ</v>
      </c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</row>
    <row r="523" ht="15" spans="1:57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25">
        <v>256</v>
      </c>
      <c r="AA523" s="25"/>
      <c r="AB523" s="25"/>
      <c r="AC523" s="26">
        <v>2</v>
      </c>
      <c r="AD523" s="25"/>
      <c r="AE523" s="25"/>
      <c r="AF523" s="25">
        <v>101</v>
      </c>
      <c r="AG523" s="25"/>
      <c r="AH523" s="25"/>
      <c r="AI523" s="30" t="s">
        <v>117</v>
      </c>
      <c r="AJ523" s="48" t="str">
        <f t="shared" si="12"/>
        <v>会社管理</v>
      </c>
      <c r="AK523" s="10"/>
      <c r="AL523" s="10"/>
      <c r="AM523" s="10"/>
      <c r="AN523" s="10" t="str">
        <f t="shared" si="13"/>
        <v/>
      </c>
      <c r="AO523" s="10" t="str">
        <f t="shared" si="14"/>
        <v>|--</v>
      </c>
      <c r="AP523" s="10"/>
      <c r="AQ523" s="51" t="str">
        <f t="shared" si="15"/>
        <v>組織マスタ</v>
      </c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</row>
    <row r="524" ht="15" spans="1:57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25">
        <v>257</v>
      </c>
      <c r="AA524" s="25"/>
      <c r="AB524" s="25"/>
      <c r="AC524" s="26">
        <v>2</v>
      </c>
      <c r="AD524" s="25"/>
      <c r="AE524" s="25"/>
      <c r="AF524" s="25">
        <v>102</v>
      </c>
      <c r="AG524" s="25"/>
      <c r="AH524" s="25"/>
      <c r="AI524" s="30" t="s">
        <v>117</v>
      </c>
      <c r="AJ524" s="48" t="str">
        <f t="shared" ref="AJ524:AJ587" si="16">VLOOKUP(AC524,$Z$26:$AH$28,4,FALSE)</f>
        <v>会社管理</v>
      </c>
      <c r="AK524" s="10"/>
      <c r="AL524" s="10"/>
      <c r="AM524" s="10"/>
      <c r="AN524" s="10" t="str">
        <f t="shared" ref="AN524:AN587" si="17">IF(VLOOKUP(AF524,$Z$109:$AI$263,4,FALSE),"","|----")</f>
        <v/>
      </c>
      <c r="AO524" s="10" t="str">
        <f t="shared" ref="AO524:AO587" si="18">IF(VLOOKUP(AF524,$Z$109:$AI$263,4,FALSE),"|--","")</f>
        <v>|--</v>
      </c>
      <c r="AP524" s="10"/>
      <c r="AQ524" s="51" t="str">
        <f t="shared" ref="AQ524:AQ587" si="19">VLOOKUP(AF524,$Z$109:$AI$263,7,FALSE)</f>
        <v>従業員マスタ</v>
      </c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</row>
    <row r="525" ht="15" spans="1:57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25">
        <v>258</v>
      </c>
      <c r="AA525" s="25"/>
      <c r="AB525" s="25"/>
      <c r="AC525" s="26">
        <v>2</v>
      </c>
      <c r="AD525" s="25"/>
      <c r="AE525" s="25"/>
      <c r="AF525" s="25">
        <v>103</v>
      </c>
      <c r="AG525" s="25"/>
      <c r="AH525" s="25"/>
      <c r="AI525" s="30" t="s">
        <v>117</v>
      </c>
      <c r="AJ525" s="48" t="str">
        <f t="shared" si="16"/>
        <v>会社管理</v>
      </c>
      <c r="AK525" s="10"/>
      <c r="AL525" s="10"/>
      <c r="AM525" s="10"/>
      <c r="AN525" s="10" t="str">
        <f t="shared" si="17"/>
        <v/>
      </c>
      <c r="AO525" s="10" t="str">
        <f t="shared" si="18"/>
        <v>|--</v>
      </c>
      <c r="AP525" s="10"/>
      <c r="AQ525" s="51" t="str">
        <f t="shared" si="19"/>
        <v>告知マスタ</v>
      </c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</row>
    <row r="526" ht="15" spans="1:57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25">
        <v>259</v>
      </c>
      <c r="AA526" s="25"/>
      <c r="AB526" s="25"/>
      <c r="AC526" s="26">
        <v>2</v>
      </c>
      <c r="AD526" s="25"/>
      <c r="AE526" s="25"/>
      <c r="AF526" s="25">
        <v>104</v>
      </c>
      <c r="AG526" s="25"/>
      <c r="AH526" s="25"/>
      <c r="AI526" s="30" t="s">
        <v>117</v>
      </c>
      <c r="AJ526" s="48" t="str">
        <f t="shared" si="16"/>
        <v>会社管理</v>
      </c>
      <c r="AK526" s="10"/>
      <c r="AL526" s="10"/>
      <c r="AM526" s="10"/>
      <c r="AN526" s="10" t="str">
        <f t="shared" si="17"/>
        <v/>
      </c>
      <c r="AO526" s="10" t="str">
        <f t="shared" si="18"/>
        <v>|--</v>
      </c>
      <c r="AP526" s="10"/>
      <c r="AQ526" s="51" t="str">
        <f t="shared" si="19"/>
        <v>得意先マスタ</v>
      </c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</row>
    <row r="527" ht="15" spans="1:5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25">
        <v>260</v>
      </c>
      <c r="AA527" s="25"/>
      <c r="AB527" s="25"/>
      <c r="AC527" s="26">
        <v>2</v>
      </c>
      <c r="AD527" s="25"/>
      <c r="AE527" s="25"/>
      <c r="AF527" s="25">
        <v>105</v>
      </c>
      <c r="AG527" s="25"/>
      <c r="AH527" s="25"/>
      <c r="AI527" s="30" t="s">
        <v>117</v>
      </c>
      <c r="AJ527" s="48" t="str">
        <f t="shared" si="16"/>
        <v>会社管理</v>
      </c>
      <c r="AK527" s="10"/>
      <c r="AL527" s="10"/>
      <c r="AM527" s="10"/>
      <c r="AN527" s="10" t="str">
        <f t="shared" si="17"/>
        <v/>
      </c>
      <c r="AO527" s="10" t="str">
        <f t="shared" si="18"/>
        <v>|--</v>
      </c>
      <c r="AP527" s="10"/>
      <c r="AQ527" s="51" t="str">
        <f t="shared" si="19"/>
        <v>納入先マスタ</v>
      </c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</row>
    <row r="528" ht="15" spans="1:57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25">
        <v>261</v>
      </c>
      <c r="AA528" s="25"/>
      <c r="AB528" s="25"/>
      <c r="AC528" s="26">
        <v>2</v>
      </c>
      <c r="AD528" s="25"/>
      <c r="AE528" s="25"/>
      <c r="AF528" s="25">
        <v>106</v>
      </c>
      <c r="AG528" s="25"/>
      <c r="AH528" s="25"/>
      <c r="AI528" s="30" t="s">
        <v>117</v>
      </c>
      <c r="AJ528" s="48" t="str">
        <f t="shared" si="16"/>
        <v>会社管理</v>
      </c>
      <c r="AK528" s="10"/>
      <c r="AL528" s="10"/>
      <c r="AM528" s="10"/>
      <c r="AN528" s="10" t="str">
        <f t="shared" si="17"/>
        <v/>
      </c>
      <c r="AO528" s="10" t="str">
        <f t="shared" si="18"/>
        <v>|--</v>
      </c>
      <c r="AP528" s="10"/>
      <c r="AQ528" s="51" t="str">
        <f t="shared" si="19"/>
        <v>仕入先マスタ</v>
      </c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</row>
    <row r="529" ht="15" spans="1:57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25">
        <v>262</v>
      </c>
      <c r="AA529" s="25"/>
      <c r="AB529" s="25"/>
      <c r="AC529" s="26">
        <v>2</v>
      </c>
      <c r="AD529" s="25"/>
      <c r="AE529" s="25"/>
      <c r="AF529" s="25">
        <v>107</v>
      </c>
      <c r="AG529" s="25"/>
      <c r="AH529" s="25"/>
      <c r="AI529" s="30" t="s">
        <v>117</v>
      </c>
      <c r="AJ529" s="48" t="str">
        <f t="shared" si="16"/>
        <v>会社管理</v>
      </c>
      <c r="AK529" s="10"/>
      <c r="AL529" s="10"/>
      <c r="AM529" s="10"/>
      <c r="AN529" s="10" t="str">
        <f t="shared" si="17"/>
        <v/>
      </c>
      <c r="AO529" s="10" t="str">
        <f t="shared" si="18"/>
        <v>|--</v>
      </c>
      <c r="AP529" s="10"/>
      <c r="AQ529" s="51" t="str">
        <f t="shared" si="19"/>
        <v>荷主マスタ</v>
      </c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</row>
    <row r="530" ht="15" spans="1:57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25">
        <v>263</v>
      </c>
      <c r="AA530" s="25"/>
      <c r="AB530" s="25"/>
      <c r="AC530" s="26">
        <v>2</v>
      </c>
      <c r="AD530" s="25"/>
      <c r="AE530" s="25"/>
      <c r="AF530" s="25">
        <v>108</v>
      </c>
      <c r="AG530" s="25"/>
      <c r="AH530" s="25"/>
      <c r="AI530" s="30" t="s">
        <v>117</v>
      </c>
      <c r="AJ530" s="48" t="str">
        <f t="shared" si="16"/>
        <v>会社管理</v>
      </c>
      <c r="AK530" s="10"/>
      <c r="AL530" s="10"/>
      <c r="AM530" s="10"/>
      <c r="AN530" s="10" t="str">
        <f t="shared" si="17"/>
        <v/>
      </c>
      <c r="AO530" s="10" t="str">
        <f t="shared" si="18"/>
        <v>|--</v>
      </c>
      <c r="AP530" s="10"/>
      <c r="AQ530" s="51" t="str">
        <f t="shared" si="19"/>
        <v>配送業者マスタ</v>
      </c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</row>
    <row r="531" ht="15" spans="1:57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25">
        <v>264</v>
      </c>
      <c r="AA531" s="25"/>
      <c r="AB531" s="25"/>
      <c r="AC531" s="26">
        <v>2</v>
      </c>
      <c r="AD531" s="25"/>
      <c r="AE531" s="25"/>
      <c r="AF531" s="25">
        <v>109</v>
      </c>
      <c r="AG531" s="25"/>
      <c r="AH531" s="25"/>
      <c r="AI531" s="30" t="s">
        <v>117</v>
      </c>
      <c r="AJ531" s="48" t="str">
        <f t="shared" si="16"/>
        <v>会社管理</v>
      </c>
      <c r="AK531" s="10"/>
      <c r="AL531" s="10"/>
      <c r="AM531" s="10"/>
      <c r="AN531" s="10" t="str">
        <f t="shared" si="17"/>
        <v/>
      </c>
      <c r="AO531" s="10" t="str">
        <f t="shared" si="18"/>
        <v>|--</v>
      </c>
      <c r="AP531" s="10"/>
      <c r="AQ531" s="51" t="str">
        <f t="shared" si="19"/>
        <v>商品マスタ</v>
      </c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</row>
    <row r="532" ht="15" spans="1:57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25">
        <v>265</v>
      </c>
      <c r="AA532" s="25"/>
      <c r="AB532" s="25"/>
      <c r="AC532" s="26">
        <v>2</v>
      </c>
      <c r="AD532" s="25"/>
      <c r="AE532" s="25"/>
      <c r="AF532" s="25">
        <v>110</v>
      </c>
      <c r="AG532" s="25"/>
      <c r="AH532" s="25"/>
      <c r="AI532" s="30" t="s">
        <v>117</v>
      </c>
      <c r="AJ532" s="48" t="str">
        <f t="shared" si="16"/>
        <v>会社管理</v>
      </c>
      <c r="AK532" s="10"/>
      <c r="AL532" s="10"/>
      <c r="AM532" s="10"/>
      <c r="AN532" s="10" t="str">
        <f t="shared" si="17"/>
        <v/>
      </c>
      <c r="AO532" s="10" t="str">
        <f t="shared" si="18"/>
        <v>|--</v>
      </c>
      <c r="AP532" s="10"/>
      <c r="AQ532" s="51" t="str">
        <f t="shared" si="19"/>
        <v>商品単価マスタ</v>
      </c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</row>
    <row r="533" ht="15" spans="1:57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25">
        <v>266</v>
      </c>
      <c r="AA533" s="25"/>
      <c r="AB533" s="25"/>
      <c r="AC533" s="26">
        <v>2</v>
      </c>
      <c r="AD533" s="25"/>
      <c r="AE533" s="25"/>
      <c r="AF533" s="25">
        <v>111</v>
      </c>
      <c r="AG533" s="25"/>
      <c r="AH533" s="25"/>
      <c r="AI533" s="30" t="s">
        <v>117</v>
      </c>
      <c r="AJ533" s="48" t="str">
        <f t="shared" si="16"/>
        <v>会社管理</v>
      </c>
      <c r="AK533" s="10"/>
      <c r="AL533" s="10"/>
      <c r="AM533" s="10"/>
      <c r="AN533" s="10" t="str">
        <f t="shared" si="17"/>
        <v/>
      </c>
      <c r="AO533" s="10" t="str">
        <f t="shared" si="18"/>
        <v>|--</v>
      </c>
      <c r="AP533" s="10"/>
      <c r="AQ533" s="51" t="str">
        <f t="shared" si="19"/>
        <v>得意先商品マスタ</v>
      </c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</row>
    <row r="534" ht="15" spans="1:57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25">
        <v>267</v>
      </c>
      <c r="AA534" s="25"/>
      <c r="AB534" s="25"/>
      <c r="AC534" s="26">
        <v>2</v>
      </c>
      <c r="AD534" s="25"/>
      <c r="AE534" s="25"/>
      <c r="AF534" s="25">
        <v>112</v>
      </c>
      <c r="AG534" s="25"/>
      <c r="AH534" s="25"/>
      <c r="AI534" s="30" t="s">
        <v>117</v>
      </c>
      <c r="AJ534" s="48" t="str">
        <f t="shared" si="16"/>
        <v>会社管理</v>
      </c>
      <c r="AK534" s="10"/>
      <c r="AL534" s="10"/>
      <c r="AM534" s="10"/>
      <c r="AN534" s="10" t="str">
        <f t="shared" si="17"/>
        <v/>
      </c>
      <c r="AO534" s="10" t="str">
        <f t="shared" si="18"/>
        <v>|--</v>
      </c>
      <c r="AP534" s="10"/>
      <c r="AQ534" s="51" t="str">
        <f t="shared" si="19"/>
        <v>仕入先別商品マスタ</v>
      </c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</row>
    <row r="535" ht="15" spans="1:57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25">
        <v>268</v>
      </c>
      <c r="AA535" s="25"/>
      <c r="AB535" s="25"/>
      <c r="AC535" s="26">
        <v>2</v>
      </c>
      <c r="AD535" s="25"/>
      <c r="AE535" s="25"/>
      <c r="AF535" s="25">
        <v>113</v>
      </c>
      <c r="AG535" s="25"/>
      <c r="AH535" s="25"/>
      <c r="AI535" s="30" t="s">
        <v>117</v>
      </c>
      <c r="AJ535" s="48" t="str">
        <f t="shared" si="16"/>
        <v>会社管理</v>
      </c>
      <c r="AK535" s="10"/>
      <c r="AL535" s="10"/>
      <c r="AM535" s="10"/>
      <c r="AN535" s="10" t="str">
        <f t="shared" si="17"/>
        <v/>
      </c>
      <c r="AO535" s="10" t="str">
        <f t="shared" si="18"/>
        <v>|--</v>
      </c>
      <c r="AP535" s="10"/>
      <c r="AQ535" s="51" t="str">
        <f t="shared" si="19"/>
        <v>得意先納入先別商品単価マスタ</v>
      </c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</row>
    <row r="536" ht="15" spans="1:57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25">
        <v>269</v>
      </c>
      <c r="AA536" s="25"/>
      <c r="AB536" s="25"/>
      <c r="AC536" s="26">
        <v>2</v>
      </c>
      <c r="AD536" s="25"/>
      <c r="AE536" s="25"/>
      <c r="AF536" s="25">
        <v>114</v>
      </c>
      <c r="AG536" s="25"/>
      <c r="AH536" s="25"/>
      <c r="AI536" s="30" t="s">
        <v>117</v>
      </c>
      <c r="AJ536" s="48" t="str">
        <f t="shared" si="16"/>
        <v>会社管理</v>
      </c>
      <c r="AK536" s="10"/>
      <c r="AL536" s="10"/>
      <c r="AM536" s="10"/>
      <c r="AN536" s="10" t="str">
        <f t="shared" si="17"/>
        <v/>
      </c>
      <c r="AO536" s="10" t="str">
        <f t="shared" si="18"/>
        <v>|--</v>
      </c>
      <c r="AP536" s="10"/>
      <c r="AQ536" s="51" t="str">
        <f t="shared" si="19"/>
        <v>仕入先商品単価マスタ</v>
      </c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</row>
    <row r="537" ht="15" spans="1:5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25">
        <v>270</v>
      </c>
      <c r="AA537" s="25"/>
      <c r="AB537" s="25"/>
      <c r="AC537" s="26">
        <v>2</v>
      </c>
      <c r="AD537" s="25"/>
      <c r="AE537" s="25"/>
      <c r="AF537" s="25">
        <v>115</v>
      </c>
      <c r="AG537" s="25"/>
      <c r="AH537" s="25"/>
      <c r="AI537" s="30" t="s">
        <v>117</v>
      </c>
      <c r="AJ537" s="48" t="str">
        <f t="shared" si="16"/>
        <v>会社管理</v>
      </c>
      <c r="AK537" s="10"/>
      <c r="AL537" s="10"/>
      <c r="AM537" s="10"/>
      <c r="AN537" s="10" t="str">
        <f t="shared" si="17"/>
        <v/>
      </c>
      <c r="AO537" s="10" t="str">
        <f t="shared" si="18"/>
        <v>|--</v>
      </c>
      <c r="AP537" s="10"/>
      <c r="AQ537" s="51" t="str">
        <f t="shared" si="19"/>
        <v>商品荷姿マスタ</v>
      </c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</row>
    <row r="538" ht="15" spans="1:57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25">
        <v>271</v>
      </c>
      <c r="AA538" s="25"/>
      <c r="AB538" s="25"/>
      <c r="AC538" s="26">
        <v>2</v>
      </c>
      <c r="AD538" s="25"/>
      <c r="AE538" s="25"/>
      <c r="AF538" s="25">
        <v>116</v>
      </c>
      <c r="AG538" s="25"/>
      <c r="AH538" s="25"/>
      <c r="AI538" s="30" t="s">
        <v>117</v>
      </c>
      <c r="AJ538" s="48" t="str">
        <f t="shared" si="16"/>
        <v>会社管理</v>
      </c>
      <c r="AK538" s="10"/>
      <c r="AL538" s="10"/>
      <c r="AM538" s="10"/>
      <c r="AN538" s="10" t="str">
        <f t="shared" si="17"/>
        <v/>
      </c>
      <c r="AO538" s="10" t="str">
        <f t="shared" si="18"/>
        <v>|--</v>
      </c>
      <c r="AP538" s="10"/>
      <c r="AQ538" s="51" t="str">
        <f t="shared" si="19"/>
        <v>商品構成マスタ</v>
      </c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</row>
    <row r="539" ht="15" spans="1:57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25">
        <v>272</v>
      </c>
      <c r="AA539" s="25"/>
      <c r="AB539" s="25"/>
      <c r="AC539" s="26">
        <v>2</v>
      </c>
      <c r="AD539" s="25"/>
      <c r="AE539" s="25"/>
      <c r="AF539" s="25">
        <v>117</v>
      </c>
      <c r="AG539" s="25"/>
      <c r="AH539" s="25"/>
      <c r="AI539" s="30" t="s">
        <v>117</v>
      </c>
      <c r="AJ539" s="48" t="str">
        <f t="shared" si="16"/>
        <v>会社管理</v>
      </c>
      <c r="AK539" s="10"/>
      <c r="AL539" s="10"/>
      <c r="AM539" s="10"/>
      <c r="AN539" s="10" t="str">
        <f t="shared" si="17"/>
        <v/>
      </c>
      <c r="AO539" s="10" t="str">
        <f t="shared" si="18"/>
        <v>|--</v>
      </c>
      <c r="AP539" s="10"/>
      <c r="AQ539" s="51" t="str">
        <f t="shared" si="19"/>
        <v>セット出荷マスタ</v>
      </c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</row>
    <row r="540" ht="15" spans="1:57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25">
        <v>273</v>
      </c>
      <c r="AA540" s="25"/>
      <c r="AB540" s="25"/>
      <c r="AC540" s="26">
        <v>2</v>
      </c>
      <c r="AD540" s="25"/>
      <c r="AE540" s="25"/>
      <c r="AF540" s="25">
        <v>118</v>
      </c>
      <c r="AG540" s="25"/>
      <c r="AH540" s="25"/>
      <c r="AI540" s="30" t="s">
        <v>117</v>
      </c>
      <c r="AJ540" s="48" t="str">
        <f t="shared" si="16"/>
        <v>会社管理</v>
      </c>
      <c r="AK540" s="10"/>
      <c r="AL540" s="10"/>
      <c r="AM540" s="10"/>
      <c r="AN540" s="10" t="str">
        <f t="shared" si="17"/>
        <v/>
      </c>
      <c r="AO540" s="10" t="str">
        <f t="shared" si="18"/>
        <v>|--</v>
      </c>
      <c r="AP540" s="10"/>
      <c r="AQ540" s="51" t="str">
        <f t="shared" si="19"/>
        <v>倉庫マスタ</v>
      </c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</row>
    <row r="541" ht="15" spans="1:57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25">
        <v>274</v>
      </c>
      <c r="AA541" s="25"/>
      <c r="AB541" s="25"/>
      <c r="AC541" s="26">
        <v>2</v>
      </c>
      <c r="AD541" s="25"/>
      <c r="AE541" s="25"/>
      <c r="AF541" s="25">
        <v>119</v>
      </c>
      <c r="AG541" s="25"/>
      <c r="AH541" s="25"/>
      <c r="AI541" s="30" t="s">
        <v>117</v>
      </c>
      <c r="AJ541" s="48" t="str">
        <f t="shared" si="16"/>
        <v>会社管理</v>
      </c>
      <c r="AK541" s="10"/>
      <c r="AL541" s="10"/>
      <c r="AM541" s="10"/>
      <c r="AN541" s="10" t="str">
        <f t="shared" si="17"/>
        <v/>
      </c>
      <c r="AO541" s="10" t="str">
        <f t="shared" si="18"/>
        <v>|--</v>
      </c>
      <c r="AP541" s="10"/>
      <c r="AQ541" s="51" t="str">
        <f t="shared" si="19"/>
        <v>ロケーションマスタ</v>
      </c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</row>
    <row r="542" ht="15" spans="1:57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25">
        <v>275</v>
      </c>
      <c r="AA542" s="25"/>
      <c r="AB542" s="25"/>
      <c r="AC542" s="26">
        <v>2</v>
      </c>
      <c r="AD542" s="25"/>
      <c r="AE542" s="25"/>
      <c r="AF542" s="25">
        <v>120</v>
      </c>
      <c r="AG542" s="25"/>
      <c r="AH542" s="25"/>
      <c r="AI542" s="30" t="s">
        <v>117</v>
      </c>
      <c r="AJ542" s="48" t="str">
        <f t="shared" si="16"/>
        <v>会社管理</v>
      </c>
      <c r="AK542" s="10"/>
      <c r="AL542" s="10"/>
      <c r="AM542" s="10"/>
      <c r="AN542" s="10" t="str">
        <f t="shared" si="17"/>
        <v/>
      </c>
      <c r="AO542" s="10" t="str">
        <f t="shared" si="18"/>
        <v>|--</v>
      </c>
      <c r="AP542" s="10"/>
      <c r="AQ542" s="51" t="str">
        <f t="shared" si="19"/>
        <v>在庫情報マスタ</v>
      </c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</row>
    <row r="543" ht="15" spans="1:57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25">
        <v>276</v>
      </c>
      <c r="AA543" s="25"/>
      <c r="AB543" s="25"/>
      <c r="AC543" s="26">
        <v>2</v>
      </c>
      <c r="AD543" s="25"/>
      <c r="AE543" s="25"/>
      <c r="AF543" s="25">
        <v>121</v>
      </c>
      <c r="AG543" s="25"/>
      <c r="AH543" s="25"/>
      <c r="AI543" s="30" t="s">
        <v>117</v>
      </c>
      <c r="AJ543" s="48" t="str">
        <f t="shared" si="16"/>
        <v>会社管理</v>
      </c>
      <c r="AK543" s="10"/>
      <c r="AL543" s="10"/>
      <c r="AM543" s="10"/>
      <c r="AN543" s="10" t="str">
        <f t="shared" si="17"/>
        <v/>
      </c>
      <c r="AO543" s="10" t="str">
        <f t="shared" si="18"/>
        <v>|--</v>
      </c>
      <c r="AP543" s="10"/>
      <c r="AQ543" s="51" t="str">
        <f t="shared" si="19"/>
        <v>カレンダーマスタ</v>
      </c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</row>
    <row r="544" ht="15" spans="1:57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25">
        <v>277</v>
      </c>
      <c r="AA544" s="25"/>
      <c r="AB544" s="25"/>
      <c r="AC544" s="26">
        <v>2</v>
      </c>
      <c r="AD544" s="25"/>
      <c r="AE544" s="25"/>
      <c r="AF544" s="25">
        <v>122</v>
      </c>
      <c r="AG544" s="25"/>
      <c r="AH544" s="25"/>
      <c r="AI544" s="30" t="s">
        <v>117</v>
      </c>
      <c r="AJ544" s="48" t="str">
        <f t="shared" si="16"/>
        <v>会社管理</v>
      </c>
      <c r="AK544" s="10"/>
      <c r="AL544" s="10"/>
      <c r="AM544" s="10"/>
      <c r="AN544" s="10" t="str">
        <f t="shared" si="17"/>
        <v>|----</v>
      </c>
      <c r="AO544" s="10" t="str">
        <f t="shared" si="18"/>
        <v/>
      </c>
      <c r="AP544" s="10"/>
      <c r="AQ544" s="51" t="str">
        <f t="shared" si="19"/>
        <v>設定</v>
      </c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</row>
    <row r="545" ht="15" spans="1:57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25">
        <v>278</v>
      </c>
      <c r="AA545" s="25"/>
      <c r="AB545" s="25"/>
      <c r="AC545" s="26">
        <v>2</v>
      </c>
      <c r="AD545" s="25"/>
      <c r="AE545" s="25"/>
      <c r="AF545" s="25">
        <v>123</v>
      </c>
      <c r="AG545" s="25"/>
      <c r="AH545" s="25"/>
      <c r="AI545" s="30" t="s">
        <v>117</v>
      </c>
      <c r="AJ545" s="48" t="str">
        <f t="shared" si="16"/>
        <v>会社管理</v>
      </c>
      <c r="AK545" s="10"/>
      <c r="AL545" s="10"/>
      <c r="AM545" s="10"/>
      <c r="AN545" s="10" t="str">
        <f t="shared" si="17"/>
        <v/>
      </c>
      <c r="AO545" s="10" t="str">
        <f t="shared" si="18"/>
        <v>|--</v>
      </c>
      <c r="AP545" s="10"/>
      <c r="AQ545" s="51" t="str">
        <f t="shared" si="19"/>
        <v>帳票紐付け</v>
      </c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</row>
    <row r="546" ht="15" spans="1:57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25">
        <v>279</v>
      </c>
      <c r="AA546" s="25"/>
      <c r="AB546" s="25"/>
      <c r="AC546" s="26">
        <v>2</v>
      </c>
      <c r="AD546" s="25"/>
      <c r="AE546" s="25"/>
      <c r="AF546" s="25">
        <v>124</v>
      </c>
      <c r="AG546" s="25"/>
      <c r="AH546" s="25"/>
      <c r="AI546" s="30" t="s">
        <v>117</v>
      </c>
      <c r="AJ546" s="48" t="str">
        <f t="shared" si="16"/>
        <v>会社管理</v>
      </c>
      <c r="AK546" s="10"/>
      <c r="AL546" s="10"/>
      <c r="AM546" s="10"/>
      <c r="AN546" s="10" t="str">
        <f t="shared" si="17"/>
        <v/>
      </c>
      <c r="AO546" s="10" t="str">
        <f t="shared" si="18"/>
        <v>|--</v>
      </c>
      <c r="AP546" s="10"/>
      <c r="AQ546" s="51" t="str">
        <f t="shared" si="19"/>
        <v>メニューマスタ</v>
      </c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</row>
    <row r="547" ht="15" spans="1:5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25">
        <v>280</v>
      </c>
      <c r="AA547" s="25"/>
      <c r="AB547" s="25"/>
      <c r="AC547" s="26">
        <v>2</v>
      </c>
      <c r="AD547" s="25"/>
      <c r="AE547" s="25"/>
      <c r="AF547" s="25">
        <v>125</v>
      </c>
      <c r="AG547" s="25"/>
      <c r="AH547" s="25"/>
      <c r="AI547" s="30" t="s">
        <v>117</v>
      </c>
      <c r="AJ547" s="48" t="str">
        <f t="shared" si="16"/>
        <v>会社管理</v>
      </c>
      <c r="AK547" s="10"/>
      <c r="AL547" s="10"/>
      <c r="AM547" s="10"/>
      <c r="AN547" s="10" t="str">
        <f t="shared" si="17"/>
        <v/>
      </c>
      <c r="AO547" s="10" t="str">
        <f t="shared" si="18"/>
        <v>|--</v>
      </c>
      <c r="AP547" s="10"/>
      <c r="AQ547" s="51" t="str">
        <f t="shared" si="19"/>
        <v>多言語マスタ</v>
      </c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</row>
    <row r="548" ht="15" spans="1:57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25">
        <v>281</v>
      </c>
      <c r="AA548" s="25"/>
      <c r="AB548" s="25"/>
      <c r="AC548" s="26">
        <v>2</v>
      </c>
      <c r="AD548" s="25"/>
      <c r="AE548" s="25"/>
      <c r="AF548" s="25">
        <v>126</v>
      </c>
      <c r="AG548" s="25"/>
      <c r="AH548" s="25"/>
      <c r="AI548" s="30" t="s">
        <v>117</v>
      </c>
      <c r="AJ548" s="48" t="str">
        <f t="shared" si="16"/>
        <v>会社管理</v>
      </c>
      <c r="AK548" s="10"/>
      <c r="AL548" s="10"/>
      <c r="AM548" s="10"/>
      <c r="AN548" s="10" t="str">
        <f t="shared" si="17"/>
        <v/>
      </c>
      <c r="AO548" s="10" t="str">
        <f t="shared" si="18"/>
        <v>|--</v>
      </c>
      <c r="AP548" s="10"/>
      <c r="AQ548" s="51" t="str">
        <f t="shared" si="19"/>
        <v>マスタ編集</v>
      </c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</row>
    <row r="549" ht="15" spans="1:57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25">
        <v>282</v>
      </c>
      <c r="AA549" s="25"/>
      <c r="AB549" s="25"/>
      <c r="AC549" s="26">
        <v>2</v>
      </c>
      <c r="AD549" s="25"/>
      <c r="AE549" s="25"/>
      <c r="AF549" s="25">
        <v>127</v>
      </c>
      <c r="AG549" s="25"/>
      <c r="AH549" s="25"/>
      <c r="AI549" s="30" t="s">
        <v>117</v>
      </c>
      <c r="AJ549" s="48" t="str">
        <f t="shared" si="16"/>
        <v>会社管理</v>
      </c>
      <c r="AK549" s="10"/>
      <c r="AL549" s="10"/>
      <c r="AM549" s="10"/>
      <c r="AN549" s="10" t="str">
        <f t="shared" si="17"/>
        <v/>
      </c>
      <c r="AO549" s="10" t="str">
        <f t="shared" si="18"/>
        <v>|--</v>
      </c>
      <c r="AP549" s="10"/>
      <c r="AQ549" s="51" t="str">
        <f t="shared" si="19"/>
        <v>帳票編集</v>
      </c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</row>
    <row r="550" ht="15" spans="1:57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25">
        <v>283</v>
      </c>
      <c r="AA550" s="25"/>
      <c r="AB550" s="25"/>
      <c r="AC550" s="26">
        <v>2</v>
      </c>
      <c r="AD550" s="25"/>
      <c r="AE550" s="25"/>
      <c r="AF550" s="25">
        <v>128</v>
      </c>
      <c r="AG550" s="25"/>
      <c r="AH550" s="25"/>
      <c r="AI550" s="30" t="s">
        <v>117</v>
      </c>
      <c r="AJ550" s="48" t="str">
        <f t="shared" si="16"/>
        <v>会社管理</v>
      </c>
      <c r="AK550" s="10"/>
      <c r="AL550" s="10"/>
      <c r="AM550" s="10"/>
      <c r="AN550" s="10" t="str">
        <f t="shared" si="17"/>
        <v/>
      </c>
      <c r="AO550" s="10" t="str">
        <f t="shared" si="18"/>
        <v>|--</v>
      </c>
      <c r="AP550" s="10"/>
      <c r="AQ550" s="51" t="str">
        <f t="shared" si="19"/>
        <v>画面編集</v>
      </c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</row>
    <row r="551" ht="15" spans="1:57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25">
        <v>284</v>
      </c>
      <c r="AA551" s="25"/>
      <c r="AB551" s="25"/>
      <c r="AC551" s="26">
        <v>2</v>
      </c>
      <c r="AD551" s="25"/>
      <c r="AE551" s="25"/>
      <c r="AF551" s="25">
        <v>129</v>
      </c>
      <c r="AG551" s="25"/>
      <c r="AH551" s="25"/>
      <c r="AI551" s="30" t="s">
        <v>117</v>
      </c>
      <c r="AJ551" s="48" t="str">
        <f t="shared" si="16"/>
        <v>会社管理</v>
      </c>
      <c r="AK551" s="10"/>
      <c r="AL551" s="10"/>
      <c r="AM551" s="10"/>
      <c r="AN551" s="10" t="str">
        <f t="shared" si="17"/>
        <v/>
      </c>
      <c r="AO551" s="10" t="str">
        <f t="shared" si="18"/>
        <v>|--</v>
      </c>
      <c r="AP551" s="10"/>
      <c r="AQ551" s="51" t="str">
        <f t="shared" si="19"/>
        <v>アイコン編集</v>
      </c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</row>
    <row r="552" ht="15" spans="1:57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25">
        <v>285</v>
      </c>
      <c r="AA552" s="25"/>
      <c r="AB552" s="25"/>
      <c r="AC552" s="26">
        <v>2</v>
      </c>
      <c r="AD552" s="25"/>
      <c r="AE552" s="25"/>
      <c r="AF552" s="25">
        <v>130</v>
      </c>
      <c r="AG552" s="25"/>
      <c r="AH552" s="25"/>
      <c r="AI552" s="30" t="s">
        <v>117</v>
      </c>
      <c r="AJ552" s="48" t="str">
        <f t="shared" si="16"/>
        <v>会社管理</v>
      </c>
      <c r="AK552" s="10"/>
      <c r="AL552" s="10"/>
      <c r="AM552" s="10"/>
      <c r="AN552" s="10" t="str">
        <f t="shared" si="17"/>
        <v/>
      </c>
      <c r="AO552" s="10" t="str">
        <f t="shared" si="18"/>
        <v>|--</v>
      </c>
      <c r="AP552" s="10"/>
      <c r="AQ552" s="51" t="str">
        <f t="shared" si="19"/>
        <v>ログイン情報</v>
      </c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</row>
    <row r="553" ht="15" spans="1:57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25">
        <v>286</v>
      </c>
      <c r="AA553" s="25"/>
      <c r="AB553" s="25"/>
      <c r="AC553" s="26">
        <v>2</v>
      </c>
      <c r="AD553" s="25"/>
      <c r="AE553" s="25"/>
      <c r="AF553" s="25">
        <v>131</v>
      </c>
      <c r="AG553" s="25"/>
      <c r="AH553" s="25"/>
      <c r="AI553" s="30" t="s">
        <v>117</v>
      </c>
      <c r="AJ553" s="48" t="str">
        <f t="shared" si="16"/>
        <v>会社管理</v>
      </c>
      <c r="AK553" s="10"/>
      <c r="AL553" s="10"/>
      <c r="AM553" s="10"/>
      <c r="AN553" s="10" t="str">
        <f t="shared" si="17"/>
        <v/>
      </c>
      <c r="AO553" s="10" t="str">
        <f t="shared" si="18"/>
        <v>|--</v>
      </c>
      <c r="AP553" s="10"/>
      <c r="AQ553" s="51" t="str">
        <f t="shared" si="19"/>
        <v>リポジトリ</v>
      </c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</row>
    <row r="554" ht="15" spans="1:57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25">
        <v>287</v>
      </c>
      <c r="AA554" s="25"/>
      <c r="AB554" s="25"/>
      <c r="AC554" s="26">
        <v>2</v>
      </c>
      <c r="AD554" s="25"/>
      <c r="AE554" s="25"/>
      <c r="AF554" s="25">
        <v>132</v>
      </c>
      <c r="AG554" s="25"/>
      <c r="AH554" s="25"/>
      <c r="AI554" s="30" t="s">
        <v>117</v>
      </c>
      <c r="AJ554" s="48" t="str">
        <f t="shared" si="16"/>
        <v>会社管理</v>
      </c>
      <c r="AK554" s="10"/>
      <c r="AL554" s="10"/>
      <c r="AM554" s="10"/>
      <c r="AN554" s="10" t="str">
        <f t="shared" si="17"/>
        <v/>
      </c>
      <c r="AO554" s="10" t="str">
        <f t="shared" si="18"/>
        <v>|--</v>
      </c>
      <c r="AP554" s="10"/>
      <c r="AQ554" s="51" t="str">
        <f t="shared" si="19"/>
        <v>権限マスタ</v>
      </c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</row>
    <row r="555" ht="15" spans="1:57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25">
        <v>288</v>
      </c>
      <c r="AA555" s="25"/>
      <c r="AB555" s="25"/>
      <c r="AC555" s="26">
        <v>2</v>
      </c>
      <c r="AD555" s="25"/>
      <c r="AE555" s="25"/>
      <c r="AF555" s="25">
        <v>133</v>
      </c>
      <c r="AG555" s="25"/>
      <c r="AH555" s="25"/>
      <c r="AI555" s="30" t="s">
        <v>117</v>
      </c>
      <c r="AJ555" s="48" t="str">
        <f t="shared" si="16"/>
        <v>会社管理</v>
      </c>
      <c r="AK555" s="10"/>
      <c r="AL555" s="10"/>
      <c r="AM555" s="10"/>
      <c r="AN555" s="10" t="str">
        <f t="shared" si="17"/>
        <v/>
      </c>
      <c r="AO555" s="10" t="str">
        <f t="shared" si="18"/>
        <v>|--</v>
      </c>
      <c r="AP555" s="10"/>
      <c r="AQ555" s="51" t="str">
        <f t="shared" si="19"/>
        <v>メッセージマスタ</v>
      </c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</row>
    <row r="556" ht="15" spans="1:57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25">
        <v>292</v>
      </c>
      <c r="AA556" s="25"/>
      <c r="AB556" s="25"/>
      <c r="AC556" s="26">
        <v>2</v>
      </c>
      <c r="AD556" s="25"/>
      <c r="AE556" s="25"/>
      <c r="AF556" s="25">
        <v>137</v>
      </c>
      <c r="AG556" s="25"/>
      <c r="AH556" s="25"/>
      <c r="AI556" s="30" t="s">
        <v>117</v>
      </c>
      <c r="AJ556" s="48" t="str">
        <f t="shared" si="16"/>
        <v>会社管理</v>
      </c>
      <c r="AK556" s="10"/>
      <c r="AL556" s="10"/>
      <c r="AM556" s="10"/>
      <c r="AN556" s="10" t="str">
        <f t="shared" si="17"/>
        <v/>
      </c>
      <c r="AO556" s="10" t="str">
        <f t="shared" si="18"/>
        <v>|--</v>
      </c>
      <c r="AP556" s="10"/>
      <c r="AQ556" s="51" t="str">
        <f t="shared" si="19"/>
        <v>システムマスタ</v>
      </c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</row>
    <row r="557" ht="15" spans="1: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25">
        <v>293</v>
      </c>
      <c r="AA557" s="25"/>
      <c r="AB557" s="25"/>
      <c r="AC557" s="26">
        <v>2</v>
      </c>
      <c r="AD557" s="25"/>
      <c r="AE557" s="25"/>
      <c r="AF557" s="25">
        <v>138</v>
      </c>
      <c r="AG557" s="25"/>
      <c r="AH557" s="25"/>
      <c r="AI557" s="30" t="s">
        <v>117</v>
      </c>
      <c r="AJ557" s="48" t="str">
        <f t="shared" si="16"/>
        <v>会社管理</v>
      </c>
      <c r="AK557" s="10"/>
      <c r="AL557" s="10"/>
      <c r="AM557" s="10"/>
      <c r="AN557" s="10" t="str">
        <f t="shared" si="17"/>
        <v/>
      </c>
      <c r="AO557" s="10" t="str">
        <f t="shared" si="18"/>
        <v>|--</v>
      </c>
      <c r="AP557" s="10"/>
      <c r="AQ557" s="51" t="str">
        <f t="shared" si="19"/>
        <v>パスワード変更</v>
      </c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</row>
    <row r="558" ht="15" spans="1:57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25">
        <v>299</v>
      </c>
      <c r="AA558" s="25"/>
      <c r="AB558" s="25"/>
      <c r="AC558" s="26">
        <v>2</v>
      </c>
      <c r="AD558" s="25"/>
      <c r="AE558" s="25"/>
      <c r="AF558" s="25">
        <v>144</v>
      </c>
      <c r="AG558" s="25"/>
      <c r="AH558" s="25"/>
      <c r="AI558" s="30" t="s">
        <v>117</v>
      </c>
      <c r="AJ558" s="48" t="str">
        <f t="shared" si="16"/>
        <v>会社管理</v>
      </c>
      <c r="AK558" s="10"/>
      <c r="AL558" s="10"/>
      <c r="AM558" s="10"/>
      <c r="AN558" s="10" t="str">
        <f t="shared" si="17"/>
        <v>|----</v>
      </c>
      <c r="AO558" s="10" t="str">
        <f t="shared" si="18"/>
        <v/>
      </c>
      <c r="AP558" s="10"/>
      <c r="AQ558" s="51" t="str">
        <f t="shared" si="19"/>
        <v>ヘルプ</v>
      </c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</row>
    <row r="559" ht="15" spans="1:57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25">
        <v>300</v>
      </c>
      <c r="AA559" s="25"/>
      <c r="AB559" s="25"/>
      <c r="AC559" s="26">
        <v>2</v>
      </c>
      <c r="AD559" s="25"/>
      <c r="AE559" s="25"/>
      <c r="AF559" s="25">
        <v>145</v>
      </c>
      <c r="AG559" s="25"/>
      <c r="AH559" s="25"/>
      <c r="AI559" s="30" t="s">
        <v>117</v>
      </c>
      <c r="AJ559" s="48" t="str">
        <f t="shared" si="16"/>
        <v>会社管理</v>
      </c>
      <c r="AK559" s="10"/>
      <c r="AL559" s="10"/>
      <c r="AM559" s="10"/>
      <c r="AN559" s="10" t="str">
        <f t="shared" si="17"/>
        <v/>
      </c>
      <c r="AO559" s="10" t="str">
        <f t="shared" si="18"/>
        <v>|--</v>
      </c>
      <c r="AP559" s="10"/>
      <c r="AQ559" s="51" t="str">
        <f t="shared" si="19"/>
        <v>設定ガイド</v>
      </c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</row>
    <row r="560" ht="15" spans="1:57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25">
        <v>301</v>
      </c>
      <c r="AA560" s="25"/>
      <c r="AB560" s="25"/>
      <c r="AC560" s="26">
        <v>2</v>
      </c>
      <c r="AD560" s="25"/>
      <c r="AE560" s="25"/>
      <c r="AF560" s="25">
        <v>146</v>
      </c>
      <c r="AG560" s="25"/>
      <c r="AH560" s="25"/>
      <c r="AI560" s="30" t="s">
        <v>117</v>
      </c>
      <c r="AJ560" s="48" t="str">
        <f t="shared" si="16"/>
        <v>会社管理</v>
      </c>
      <c r="AK560" s="10"/>
      <c r="AL560" s="10"/>
      <c r="AM560" s="10"/>
      <c r="AN560" s="10" t="str">
        <f t="shared" si="17"/>
        <v/>
      </c>
      <c r="AO560" s="10" t="str">
        <f t="shared" si="18"/>
        <v>|--</v>
      </c>
      <c r="AP560" s="10"/>
      <c r="AQ560" s="51" t="str">
        <f t="shared" si="19"/>
        <v>基本設定</v>
      </c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</row>
    <row r="561" ht="15" spans="1:57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25">
        <v>302</v>
      </c>
      <c r="AA561" s="25"/>
      <c r="AB561" s="25"/>
      <c r="AC561" s="26">
        <v>2</v>
      </c>
      <c r="AD561" s="25"/>
      <c r="AE561" s="25"/>
      <c r="AF561" s="25">
        <v>147</v>
      </c>
      <c r="AG561" s="25"/>
      <c r="AH561" s="25"/>
      <c r="AI561" s="30" t="s">
        <v>117</v>
      </c>
      <c r="AJ561" s="48" t="str">
        <f t="shared" si="16"/>
        <v>会社管理</v>
      </c>
      <c r="AK561" s="10"/>
      <c r="AL561" s="10"/>
      <c r="AM561" s="10"/>
      <c r="AN561" s="10" t="str">
        <f t="shared" si="17"/>
        <v/>
      </c>
      <c r="AO561" s="10" t="str">
        <f t="shared" si="18"/>
        <v>|--</v>
      </c>
      <c r="AP561" s="10"/>
      <c r="AQ561" s="51" t="str">
        <f t="shared" si="19"/>
        <v>在庫回転率</v>
      </c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</row>
    <row r="562" ht="15" spans="1:57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25">
        <v>303</v>
      </c>
      <c r="AA562" s="25"/>
      <c r="AB562" s="25"/>
      <c r="AC562" s="26">
        <v>2</v>
      </c>
      <c r="AD562" s="25"/>
      <c r="AE562" s="25"/>
      <c r="AF562" s="25">
        <v>148</v>
      </c>
      <c r="AG562" s="25"/>
      <c r="AH562" s="25"/>
      <c r="AI562" s="30" t="s">
        <v>117</v>
      </c>
      <c r="AJ562" s="48" t="str">
        <f t="shared" si="16"/>
        <v>会社管理</v>
      </c>
      <c r="AK562" s="10"/>
      <c r="AL562" s="10"/>
      <c r="AM562" s="10"/>
      <c r="AN562" s="10" t="str">
        <f t="shared" si="17"/>
        <v/>
      </c>
      <c r="AO562" s="10" t="str">
        <f t="shared" si="18"/>
        <v>|--</v>
      </c>
      <c r="AP562" s="10"/>
      <c r="AQ562" s="51" t="str">
        <f t="shared" si="19"/>
        <v>言語設定</v>
      </c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</row>
    <row r="563" ht="15" spans="1:57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25">
        <v>304</v>
      </c>
      <c r="AA563" s="25"/>
      <c r="AB563" s="25"/>
      <c r="AC563" s="26">
        <v>2</v>
      </c>
      <c r="AD563" s="25"/>
      <c r="AE563" s="25"/>
      <c r="AF563" s="25">
        <v>149</v>
      </c>
      <c r="AG563" s="25"/>
      <c r="AH563" s="25"/>
      <c r="AI563" s="30" t="s">
        <v>117</v>
      </c>
      <c r="AJ563" s="48" t="str">
        <f t="shared" si="16"/>
        <v>会社管理</v>
      </c>
      <c r="AK563" s="10"/>
      <c r="AL563" s="10"/>
      <c r="AM563" s="10"/>
      <c r="AN563" s="10" t="str">
        <f t="shared" si="17"/>
        <v/>
      </c>
      <c r="AO563" s="10" t="str">
        <f t="shared" si="18"/>
        <v>|--</v>
      </c>
      <c r="AP563" s="10"/>
      <c r="AQ563" s="51" t="str">
        <f t="shared" si="19"/>
        <v>お支払い</v>
      </c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</row>
    <row r="564" ht="15" spans="1:57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25">
        <v>305</v>
      </c>
      <c r="AA564" s="25"/>
      <c r="AB564" s="25"/>
      <c r="AC564" s="26">
        <v>2</v>
      </c>
      <c r="AD564" s="25"/>
      <c r="AE564" s="25"/>
      <c r="AF564" s="25">
        <v>150</v>
      </c>
      <c r="AG564" s="25"/>
      <c r="AH564" s="25"/>
      <c r="AI564" s="30" t="s">
        <v>117</v>
      </c>
      <c r="AJ564" s="48" t="str">
        <f t="shared" si="16"/>
        <v>会社管理</v>
      </c>
      <c r="AK564" s="10"/>
      <c r="AL564" s="10"/>
      <c r="AM564" s="10"/>
      <c r="AN564" s="10" t="str">
        <f t="shared" si="17"/>
        <v>|----</v>
      </c>
      <c r="AO564" s="10" t="str">
        <f t="shared" si="18"/>
        <v/>
      </c>
      <c r="AP564" s="10"/>
      <c r="AQ564" s="51" t="str">
        <f t="shared" si="19"/>
        <v>運営管理</v>
      </c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</row>
    <row r="565" ht="15" spans="1:57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25">
        <v>309</v>
      </c>
      <c r="AA565" s="25"/>
      <c r="AB565" s="25"/>
      <c r="AC565" s="26">
        <v>2</v>
      </c>
      <c r="AD565" s="25"/>
      <c r="AE565" s="25"/>
      <c r="AF565" s="25">
        <v>154</v>
      </c>
      <c r="AG565" s="25"/>
      <c r="AH565" s="25"/>
      <c r="AI565" s="30" t="s">
        <v>117</v>
      </c>
      <c r="AJ565" s="48" t="str">
        <f t="shared" si="16"/>
        <v>会社管理</v>
      </c>
      <c r="AK565" s="10"/>
      <c r="AL565" s="10"/>
      <c r="AM565" s="10"/>
      <c r="AN565" s="10" t="str">
        <f t="shared" si="17"/>
        <v/>
      </c>
      <c r="AO565" s="10" t="str">
        <f t="shared" si="18"/>
        <v>|--</v>
      </c>
      <c r="AP565" s="10"/>
      <c r="AQ565" s="51" t="str">
        <f t="shared" si="19"/>
        <v>申込機能</v>
      </c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</row>
    <row r="566" ht="15" spans="1:57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25">
        <v>310</v>
      </c>
      <c r="AA566" s="25"/>
      <c r="AB566" s="25"/>
      <c r="AC566" s="26">
        <v>2</v>
      </c>
      <c r="AD566" s="25"/>
      <c r="AE566" s="25"/>
      <c r="AF566" s="25">
        <v>155</v>
      </c>
      <c r="AG566" s="25"/>
      <c r="AH566" s="25"/>
      <c r="AI566" s="30" t="s">
        <v>117</v>
      </c>
      <c r="AJ566" s="48" t="str">
        <f t="shared" si="16"/>
        <v>会社管理</v>
      </c>
      <c r="AK566" s="10"/>
      <c r="AL566" s="10"/>
      <c r="AM566" s="10"/>
      <c r="AN566" s="10" t="str">
        <f t="shared" si="17"/>
        <v/>
      </c>
      <c r="AO566" s="10" t="str">
        <f t="shared" si="18"/>
        <v>|--</v>
      </c>
      <c r="AP566" s="10"/>
      <c r="AQ566" s="51" t="str">
        <f t="shared" si="19"/>
        <v>解約機能</v>
      </c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</row>
    <row r="567" ht="15" spans="1:5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25">
        <v>311</v>
      </c>
      <c r="AA567" s="25"/>
      <c r="AB567" s="25"/>
      <c r="AC567" s="26">
        <v>3</v>
      </c>
      <c r="AD567" s="25"/>
      <c r="AE567" s="25"/>
      <c r="AF567" s="25">
        <v>1</v>
      </c>
      <c r="AG567" s="25"/>
      <c r="AH567" s="25"/>
      <c r="AI567" s="30" t="s">
        <v>117</v>
      </c>
      <c r="AJ567" s="48" t="str">
        <f t="shared" si="16"/>
        <v>一般ユーザー</v>
      </c>
      <c r="AK567" s="10"/>
      <c r="AL567" s="10"/>
      <c r="AM567" s="10"/>
      <c r="AN567" s="10" t="str">
        <f t="shared" si="17"/>
        <v>|----</v>
      </c>
      <c r="AO567" s="10" t="str">
        <f t="shared" si="18"/>
        <v/>
      </c>
      <c r="AP567" s="10"/>
      <c r="AQ567" s="51" t="str">
        <f t="shared" si="19"/>
        <v>ホーム</v>
      </c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</row>
    <row r="568" ht="15" spans="1:57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25">
        <v>312</v>
      </c>
      <c r="AA568" s="25"/>
      <c r="AB568" s="25"/>
      <c r="AC568" s="26">
        <v>3</v>
      </c>
      <c r="AD568" s="25"/>
      <c r="AE568" s="25"/>
      <c r="AF568" s="25">
        <v>2</v>
      </c>
      <c r="AG568" s="25"/>
      <c r="AH568" s="25"/>
      <c r="AI568" s="30" t="s">
        <v>117</v>
      </c>
      <c r="AJ568" s="48" t="str">
        <f t="shared" si="16"/>
        <v>一般ユーザー</v>
      </c>
      <c r="AK568" s="10"/>
      <c r="AL568" s="10"/>
      <c r="AM568" s="10"/>
      <c r="AN568" s="10" t="str">
        <f t="shared" si="17"/>
        <v>|----</v>
      </c>
      <c r="AO568" s="10" t="str">
        <f t="shared" si="18"/>
        <v/>
      </c>
      <c r="AP568" s="10"/>
      <c r="AQ568" s="51" t="str">
        <f t="shared" si="19"/>
        <v>出荷</v>
      </c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</row>
    <row r="569" ht="15" spans="1:57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25">
        <v>313</v>
      </c>
      <c r="AA569" s="25"/>
      <c r="AB569" s="25"/>
      <c r="AC569" s="26">
        <v>3</v>
      </c>
      <c r="AD569" s="25"/>
      <c r="AE569" s="25"/>
      <c r="AF569" s="25">
        <v>3</v>
      </c>
      <c r="AG569" s="25"/>
      <c r="AH569" s="25"/>
      <c r="AI569" s="30" t="s">
        <v>117</v>
      </c>
      <c r="AJ569" s="48" t="str">
        <f t="shared" si="16"/>
        <v>一般ユーザー</v>
      </c>
      <c r="AK569" s="10"/>
      <c r="AL569" s="10"/>
      <c r="AM569" s="10"/>
      <c r="AN569" s="10" t="str">
        <f t="shared" si="17"/>
        <v/>
      </c>
      <c r="AO569" s="10" t="str">
        <f t="shared" si="18"/>
        <v>|--</v>
      </c>
      <c r="AP569" s="10"/>
      <c r="AQ569" s="51" t="str">
        <f t="shared" si="19"/>
        <v>出荷指示データ取込（CSV）</v>
      </c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</row>
    <row r="570" ht="15" spans="1:57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25">
        <v>314</v>
      </c>
      <c r="AA570" s="25"/>
      <c r="AB570" s="25"/>
      <c r="AC570" s="26">
        <v>3</v>
      </c>
      <c r="AD570" s="25"/>
      <c r="AE570" s="25"/>
      <c r="AF570" s="25">
        <v>4</v>
      </c>
      <c r="AG570" s="25"/>
      <c r="AH570" s="25"/>
      <c r="AI570" s="30" t="s">
        <v>117</v>
      </c>
      <c r="AJ570" s="48" t="str">
        <f t="shared" si="16"/>
        <v>一般ユーザー</v>
      </c>
      <c r="AK570" s="10"/>
      <c r="AL570" s="10"/>
      <c r="AM570" s="10"/>
      <c r="AN570" s="10" t="str">
        <f t="shared" si="17"/>
        <v/>
      </c>
      <c r="AO570" s="10" t="str">
        <f t="shared" si="18"/>
        <v>|--</v>
      </c>
      <c r="AP570" s="10"/>
      <c r="AQ570" s="51" t="str">
        <f t="shared" si="19"/>
        <v>出荷指示データ取込（API）</v>
      </c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</row>
    <row r="571" ht="15" spans="1:57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25">
        <v>315</v>
      </c>
      <c r="AA571" s="25"/>
      <c r="AB571" s="25"/>
      <c r="AC571" s="26">
        <v>3</v>
      </c>
      <c r="AD571" s="25"/>
      <c r="AE571" s="25"/>
      <c r="AF571" s="25">
        <v>5</v>
      </c>
      <c r="AG571" s="25"/>
      <c r="AH571" s="25"/>
      <c r="AI571" s="30" t="s">
        <v>117</v>
      </c>
      <c r="AJ571" s="48" t="str">
        <f t="shared" si="16"/>
        <v>一般ユーザー</v>
      </c>
      <c r="AK571" s="10"/>
      <c r="AL571" s="10"/>
      <c r="AM571" s="10"/>
      <c r="AN571" s="10" t="str">
        <f t="shared" si="17"/>
        <v/>
      </c>
      <c r="AO571" s="10" t="str">
        <f t="shared" si="18"/>
        <v>|--</v>
      </c>
      <c r="AP571" s="10"/>
      <c r="AQ571" s="51" t="str">
        <f t="shared" si="19"/>
        <v>出荷指示照会</v>
      </c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</row>
    <row r="572" ht="15" spans="1:57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25">
        <v>316</v>
      </c>
      <c r="AA572" s="25"/>
      <c r="AB572" s="25"/>
      <c r="AC572" s="26">
        <v>3</v>
      </c>
      <c r="AD572" s="25"/>
      <c r="AE572" s="25"/>
      <c r="AF572" s="25">
        <v>6</v>
      </c>
      <c r="AG572" s="25"/>
      <c r="AH572" s="25"/>
      <c r="AI572" s="30" t="s">
        <v>117</v>
      </c>
      <c r="AJ572" s="48" t="str">
        <f t="shared" si="16"/>
        <v>一般ユーザー</v>
      </c>
      <c r="AK572" s="10"/>
      <c r="AL572" s="10"/>
      <c r="AM572" s="10"/>
      <c r="AN572" s="10" t="str">
        <f t="shared" si="17"/>
        <v/>
      </c>
      <c r="AO572" s="10" t="str">
        <f t="shared" si="18"/>
        <v>|--</v>
      </c>
      <c r="AP572" s="10"/>
      <c r="AQ572" s="51" t="str">
        <f t="shared" si="19"/>
        <v>出荷指示入力</v>
      </c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</row>
    <row r="573" ht="15" spans="1:57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25">
        <v>317</v>
      </c>
      <c r="AA573" s="25"/>
      <c r="AB573" s="25"/>
      <c r="AC573" s="26">
        <v>3</v>
      </c>
      <c r="AD573" s="25"/>
      <c r="AE573" s="25"/>
      <c r="AF573" s="25">
        <v>7</v>
      </c>
      <c r="AG573" s="25"/>
      <c r="AH573" s="25"/>
      <c r="AI573" s="30" t="s">
        <v>117</v>
      </c>
      <c r="AJ573" s="48" t="str">
        <f t="shared" si="16"/>
        <v>一般ユーザー</v>
      </c>
      <c r="AK573" s="10"/>
      <c r="AL573" s="10"/>
      <c r="AM573" s="10"/>
      <c r="AN573" s="10" t="str">
        <f t="shared" si="17"/>
        <v/>
      </c>
      <c r="AO573" s="10" t="str">
        <f t="shared" si="18"/>
        <v>|--</v>
      </c>
      <c r="AP573" s="10"/>
      <c r="AQ573" s="51" t="str">
        <f t="shared" si="19"/>
        <v>出荷指示削除</v>
      </c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</row>
    <row r="574" ht="15" spans="1:57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25">
        <v>318</v>
      </c>
      <c r="AA574" s="25"/>
      <c r="AB574" s="25"/>
      <c r="AC574" s="26">
        <v>3</v>
      </c>
      <c r="AD574" s="25"/>
      <c r="AE574" s="25"/>
      <c r="AF574" s="25">
        <v>8</v>
      </c>
      <c r="AG574" s="25"/>
      <c r="AH574" s="25"/>
      <c r="AI574" s="30" t="s">
        <v>117</v>
      </c>
      <c r="AJ574" s="48" t="str">
        <f t="shared" si="16"/>
        <v>一般ユーザー</v>
      </c>
      <c r="AK574" s="10"/>
      <c r="AL574" s="10"/>
      <c r="AM574" s="10"/>
      <c r="AN574" s="10" t="str">
        <f t="shared" si="17"/>
        <v/>
      </c>
      <c r="AO574" s="10" t="str">
        <f t="shared" si="18"/>
        <v>|--</v>
      </c>
      <c r="AP574" s="10"/>
      <c r="AQ574" s="51" t="str">
        <f t="shared" si="19"/>
        <v>引当処理</v>
      </c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</row>
    <row r="575" ht="15" spans="1:57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25">
        <v>319</v>
      </c>
      <c r="AA575" s="25"/>
      <c r="AB575" s="25"/>
      <c r="AC575" s="26">
        <v>3</v>
      </c>
      <c r="AD575" s="25"/>
      <c r="AE575" s="25"/>
      <c r="AF575" s="25">
        <v>9</v>
      </c>
      <c r="AG575" s="25"/>
      <c r="AH575" s="25"/>
      <c r="AI575" s="30" t="s">
        <v>117</v>
      </c>
      <c r="AJ575" s="48" t="str">
        <f t="shared" si="16"/>
        <v>一般ユーザー</v>
      </c>
      <c r="AK575" s="10"/>
      <c r="AL575" s="10"/>
      <c r="AM575" s="10"/>
      <c r="AN575" s="10" t="str">
        <f t="shared" si="17"/>
        <v/>
      </c>
      <c r="AO575" s="10" t="str">
        <f t="shared" si="18"/>
        <v>|--</v>
      </c>
      <c r="AP575" s="10"/>
      <c r="AQ575" s="51" t="str">
        <f t="shared" si="19"/>
        <v>引当修正</v>
      </c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</row>
    <row r="576" ht="15" spans="1:57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25">
        <v>320</v>
      </c>
      <c r="AA576" s="25"/>
      <c r="AB576" s="25"/>
      <c r="AC576" s="26">
        <v>3</v>
      </c>
      <c r="AD576" s="25"/>
      <c r="AE576" s="25"/>
      <c r="AF576" s="25">
        <v>10</v>
      </c>
      <c r="AG576" s="25"/>
      <c r="AH576" s="25"/>
      <c r="AI576" s="30" t="s">
        <v>117</v>
      </c>
      <c r="AJ576" s="48" t="str">
        <f t="shared" si="16"/>
        <v>一般ユーザー</v>
      </c>
      <c r="AK576" s="10"/>
      <c r="AL576" s="10"/>
      <c r="AM576" s="10"/>
      <c r="AN576" s="10" t="str">
        <f t="shared" si="17"/>
        <v/>
      </c>
      <c r="AO576" s="10" t="str">
        <f t="shared" si="18"/>
        <v>|--</v>
      </c>
      <c r="AP576" s="10"/>
      <c r="AQ576" s="51" t="str">
        <f t="shared" si="19"/>
        <v>欠品明細照会</v>
      </c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</row>
    <row r="577" ht="15" spans="1:5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25">
        <v>321</v>
      </c>
      <c r="AA577" s="25"/>
      <c r="AB577" s="25"/>
      <c r="AC577" s="26">
        <v>3</v>
      </c>
      <c r="AD577" s="25"/>
      <c r="AE577" s="25"/>
      <c r="AF577" s="25">
        <v>11</v>
      </c>
      <c r="AG577" s="25"/>
      <c r="AH577" s="25"/>
      <c r="AI577" s="30" t="s">
        <v>117</v>
      </c>
      <c r="AJ577" s="48" t="str">
        <f t="shared" si="16"/>
        <v>一般ユーザー</v>
      </c>
      <c r="AK577" s="10"/>
      <c r="AL577" s="10"/>
      <c r="AM577" s="10"/>
      <c r="AN577" s="10" t="str">
        <f t="shared" si="17"/>
        <v/>
      </c>
      <c r="AO577" s="10" t="str">
        <f t="shared" si="18"/>
        <v>|--</v>
      </c>
      <c r="AP577" s="10"/>
      <c r="AQ577" s="51" t="str">
        <f t="shared" si="19"/>
        <v>欠品伝票照会</v>
      </c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</row>
    <row r="578" ht="15" spans="1:57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25">
        <v>322</v>
      </c>
      <c r="AA578" s="25"/>
      <c r="AB578" s="25"/>
      <c r="AC578" s="26">
        <v>3</v>
      </c>
      <c r="AD578" s="25"/>
      <c r="AE578" s="25"/>
      <c r="AF578" s="25">
        <v>12</v>
      </c>
      <c r="AG578" s="25"/>
      <c r="AH578" s="25"/>
      <c r="AI578" s="30" t="s">
        <v>117</v>
      </c>
      <c r="AJ578" s="48" t="str">
        <f t="shared" si="16"/>
        <v>一般ユーザー</v>
      </c>
      <c r="AK578" s="10"/>
      <c r="AL578" s="10"/>
      <c r="AM578" s="10"/>
      <c r="AN578" s="10" t="str">
        <f t="shared" si="17"/>
        <v/>
      </c>
      <c r="AO578" s="10" t="str">
        <f t="shared" si="18"/>
        <v>|--</v>
      </c>
      <c r="AP578" s="10"/>
      <c r="AQ578" s="51" t="str">
        <f t="shared" si="19"/>
        <v>ピッキングリスト（トータル）</v>
      </c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</row>
    <row r="579" ht="15" spans="1:57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25">
        <v>323</v>
      </c>
      <c r="AA579" s="25"/>
      <c r="AB579" s="25"/>
      <c r="AC579" s="26">
        <v>3</v>
      </c>
      <c r="AD579" s="25"/>
      <c r="AE579" s="25"/>
      <c r="AF579" s="25">
        <v>13</v>
      </c>
      <c r="AG579" s="25"/>
      <c r="AH579" s="25"/>
      <c r="AI579" s="30" t="s">
        <v>117</v>
      </c>
      <c r="AJ579" s="48" t="str">
        <f t="shared" si="16"/>
        <v>一般ユーザー</v>
      </c>
      <c r="AK579" s="10"/>
      <c r="AL579" s="10"/>
      <c r="AM579" s="10"/>
      <c r="AN579" s="10" t="str">
        <f t="shared" si="17"/>
        <v/>
      </c>
      <c r="AO579" s="10" t="str">
        <f t="shared" si="18"/>
        <v>|--</v>
      </c>
      <c r="AP579" s="10"/>
      <c r="AQ579" s="51" t="str">
        <f t="shared" si="19"/>
        <v>ピッキングリスト（シングル）</v>
      </c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</row>
    <row r="580" ht="15" spans="1:57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25">
        <v>324</v>
      </c>
      <c r="AA580" s="25"/>
      <c r="AB580" s="25"/>
      <c r="AC580" s="26">
        <v>3</v>
      </c>
      <c r="AD580" s="25"/>
      <c r="AE580" s="25"/>
      <c r="AF580" s="25">
        <v>14</v>
      </c>
      <c r="AG580" s="25"/>
      <c r="AH580" s="25"/>
      <c r="AI580" s="30" t="s">
        <v>117</v>
      </c>
      <c r="AJ580" s="48" t="str">
        <f t="shared" si="16"/>
        <v>一般ユーザー</v>
      </c>
      <c r="AK580" s="10"/>
      <c r="AL580" s="10"/>
      <c r="AM580" s="10"/>
      <c r="AN580" s="10" t="str">
        <f t="shared" si="17"/>
        <v/>
      </c>
      <c r="AO580" s="10" t="str">
        <f t="shared" si="18"/>
        <v>|--</v>
      </c>
      <c r="AP580" s="10"/>
      <c r="AQ580" s="51" t="str">
        <f t="shared" si="19"/>
        <v>出庫入力</v>
      </c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</row>
    <row r="581" ht="15" spans="1:57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25">
        <v>325</v>
      </c>
      <c r="AA581" s="25"/>
      <c r="AB581" s="25"/>
      <c r="AC581" s="26">
        <v>3</v>
      </c>
      <c r="AD581" s="25"/>
      <c r="AE581" s="25"/>
      <c r="AF581" s="25">
        <v>15</v>
      </c>
      <c r="AG581" s="25"/>
      <c r="AH581" s="25"/>
      <c r="AI581" s="30" t="s">
        <v>117</v>
      </c>
      <c r="AJ581" s="48" t="str">
        <f t="shared" si="16"/>
        <v>一般ユーザー</v>
      </c>
      <c r="AK581" s="10"/>
      <c r="AL581" s="10"/>
      <c r="AM581" s="10"/>
      <c r="AN581" s="10" t="str">
        <f t="shared" si="17"/>
        <v/>
      </c>
      <c r="AO581" s="10" t="str">
        <f t="shared" si="18"/>
        <v>|--</v>
      </c>
      <c r="AP581" s="10"/>
      <c r="AQ581" s="51" t="str">
        <f t="shared" si="19"/>
        <v>出庫削除</v>
      </c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</row>
    <row r="582" ht="15" spans="1:57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25">
        <v>326</v>
      </c>
      <c r="AA582" s="25"/>
      <c r="AB582" s="25"/>
      <c r="AC582" s="26">
        <v>3</v>
      </c>
      <c r="AD582" s="25"/>
      <c r="AE582" s="25"/>
      <c r="AF582" s="25">
        <v>16</v>
      </c>
      <c r="AG582" s="25"/>
      <c r="AH582" s="25"/>
      <c r="AI582" s="30" t="s">
        <v>117</v>
      </c>
      <c r="AJ582" s="48" t="str">
        <f t="shared" si="16"/>
        <v>一般ユーザー</v>
      </c>
      <c r="AK582" s="10"/>
      <c r="AL582" s="10"/>
      <c r="AM582" s="10"/>
      <c r="AN582" s="10" t="str">
        <f t="shared" si="17"/>
        <v/>
      </c>
      <c r="AO582" s="10" t="str">
        <f t="shared" si="18"/>
        <v>|--</v>
      </c>
      <c r="AP582" s="10"/>
      <c r="AQ582" s="51" t="str">
        <f t="shared" si="19"/>
        <v>出庫照会</v>
      </c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</row>
    <row r="583" ht="15" spans="1:57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25">
        <v>327</v>
      </c>
      <c r="AA583" s="25"/>
      <c r="AB583" s="25"/>
      <c r="AC583" s="26">
        <v>3</v>
      </c>
      <c r="AD583" s="25"/>
      <c r="AE583" s="25"/>
      <c r="AF583" s="25">
        <v>17</v>
      </c>
      <c r="AG583" s="25"/>
      <c r="AH583" s="25"/>
      <c r="AI583" s="30" t="s">
        <v>117</v>
      </c>
      <c r="AJ583" s="48" t="str">
        <f t="shared" si="16"/>
        <v>一般ユーザー</v>
      </c>
      <c r="AK583" s="10"/>
      <c r="AL583" s="10"/>
      <c r="AM583" s="10"/>
      <c r="AN583" s="10" t="str">
        <f t="shared" si="17"/>
        <v/>
      </c>
      <c r="AO583" s="10" t="str">
        <f t="shared" si="18"/>
        <v>|--</v>
      </c>
      <c r="AP583" s="10"/>
      <c r="AQ583" s="51" t="str">
        <f t="shared" si="19"/>
        <v>出荷検品</v>
      </c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</row>
    <row r="584" ht="15" spans="1:57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25">
        <v>328</v>
      </c>
      <c r="AA584" s="25"/>
      <c r="AB584" s="25"/>
      <c r="AC584" s="26">
        <v>3</v>
      </c>
      <c r="AD584" s="25"/>
      <c r="AE584" s="25"/>
      <c r="AF584" s="25">
        <v>18</v>
      </c>
      <c r="AG584" s="25"/>
      <c r="AH584" s="25"/>
      <c r="AI584" s="30" t="s">
        <v>117</v>
      </c>
      <c r="AJ584" s="48" t="str">
        <f t="shared" si="16"/>
        <v>一般ユーザー</v>
      </c>
      <c r="AK584" s="10"/>
      <c r="AL584" s="10"/>
      <c r="AM584" s="10"/>
      <c r="AN584" s="10" t="str">
        <f t="shared" si="17"/>
        <v/>
      </c>
      <c r="AO584" s="10" t="str">
        <f t="shared" si="18"/>
        <v>|--</v>
      </c>
      <c r="AP584" s="10"/>
      <c r="AQ584" s="51" t="str">
        <f t="shared" si="19"/>
        <v>出荷一括検品</v>
      </c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</row>
    <row r="585" ht="15" spans="1:57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25">
        <v>329</v>
      </c>
      <c r="AA585" s="25"/>
      <c r="AB585" s="25"/>
      <c r="AC585" s="26">
        <v>3</v>
      </c>
      <c r="AD585" s="25"/>
      <c r="AE585" s="25"/>
      <c r="AF585" s="25">
        <v>19</v>
      </c>
      <c r="AG585" s="25"/>
      <c r="AH585" s="25"/>
      <c r="AI585" s="30" t="s">
        <v>117</v>
      </c>
      <c r="AJ585" s="48" t="str">
        <f t="shared" si="16"/>
        <v>一般ユーザー</v>
      </c>
      <c r="AK585" s="10"/>
      <c r="AL585" s="10"/>
      <c r="AM585" s="10"/>
      <c r="AN585" s="10" t="str">
        <f t="shared" si="17"/>
        <v/>
      </c>
      <c r="AO585" s="10" t="str">
        <f t="shared" si="18"/>
        <v>|--</v>
      </c>
      <c r="AP585" s="10"/>
      <c r="AQ585" s="51" t="str">
        <f t="shared" si="19"/>
        <v>納品書</v>
      </c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</row>
    <row r="586" ht="15" spans="1:57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25">
        <v>330</v>
      </c>
      <c r="AA586" s="25"/>
      <c r="AB586" s="25"/>
      <c r="AC586" s="26">
        <v>3</v>
      </c>
      <c r="AD586" s="25"/>
      <c r="AE586" s="25"/>
      <c r="AF586" s="25">
        <v>20</v>
      </c>
      <c r="AG586" s="25"/>
      <c r="AH586" s="25"/>
      <c r="AI586" s="30" t="s">
        <v>117</v>
      </c>
      <c r="AJ586" s="48" t="str">
        <f t="shared" si="16"/>
        <v>一般ユーザー</v>
      </c>
      <c r="AK586" s="10"/>
      <c r="AL586" s="10"/>
      <c r="AM586" s="10"/>
      <c r="AN586" s="10" t="str">
        <f t="shared" si="17"/>
        <v/>
      </c>
      <c r="AO586" s="10" t="str">
        <f t="shared" si="18"/>
        <v>|--</v>
      </c>
      <c r="AP586" s="10"/>
      <c r="AQ586" s="51" t="str">
        <f t="shared" si="19"/>
        <v>梱包</v>
      </c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</row>
    <row r="587" ht="15" spans="1:5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25">
        <v>331</v>
      </c>
      <c r="AA587" s="25"/>
      <c r="AB587" s="25"/>
      <c r="AC587" s="26">
        <v>3</v>
      </c>
      <c r="AD587" s="25"/>
      <c r="AE587" s="25"/>
      <c r="AF587" s="25">
        <v>21</v>
      </c>
      <c r="AG587" s="25"/>
      <c r="AH587" s="25"/>
      <c r="AI587" s="30" t="s">
        <v>117</v>
      </c>
      <c r="AJ587" s="48" t="str">
        <f t="shared" si="16"/>
        <v>一般ユーザー</v>
      </c>
      <c r="AK587" s="10"/>
      <c r="AL587" s="10"/>
      <c r="AM587" s="10"/>
      <c r="AN587" s="10" t="str">
        <f t="shared" si="17"/>
        <v/>
      </c>
      <c r="AO587" s="10" t="str">
        <f t="shared" si="18"/>
        <v>|--</v>
      </c>
      <c r="AP587" s="10"/>
      <c r="AQ587" s="51" t="str">
        <f t="shared" si="19"/>
        <v>出荷ラベル</v>
      </c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</row>
    <row r="588" ht="15" spans="1:57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25">
        <v>332</v>
      </c>
      <c r="AA588" s="25"/>
      <c r="AB588" s="25"/>
      <c r="AC588" s="26">
        <v>3</v>
      </c>
      <c r="AD588" s="25"/>
      <c r="AE588" s="25"/>
      <c r="AF588" s="25">
        <v>22</v>
      </c>
      <c r="AG588" s="25"/>
      <c r="AH588" s="25"/>
      <c r="AI588" s="30" t="s">
        <v>117</v>
      </c>
      <c r="AJ588" s="48" t="str">
        <f t="shared" ref="AJ588:AJ651" si="20">VLOOKUP(AC588,$Z$26:$AH$28,4,FALSE)</f>
        <v>一般ユーザー</v>
      </c>
      <c r="AK588" s="10"/>
      <c r="AL588" s="10"/>
      <c r="AM588" s="10"/>
      <c r="AN588" s="10" t="str">
        <f t="shared" ref="AN588:AN651" si="21">IF(VLOOKUP(AF588,$Z$109:$AI$263,4,FALSE),"","|----")</f>
        <v/>
      </c>
      <c r="AO588" s="10" t="str">
        <f t="shared" ref="AO588:AO651" si="22">IF(VLOOKUP(AF588,$Z$109:$AI$263,4,FALSE),"|--","")</f>
        <v>|--</v>
      </c>
      <c r="AP588" s="10"/>
      <c r="AQ588" s="51" t="str">
        <f t="shared" ref="AQ588:AQ651" si="23">VLOOKUP(AF588,$Z$109:$AI$263,7,FALSE)</f>
        <v>送り状データ取込（CSV）</v>
      </c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</row>
    <row r="589" ht="15" spans="1:57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25">
        <v>333</v>
      </c>
      <c r="AA589" s="25"/>
      <c r="AB589" s="25"/>
      <c r="AC589" s="26">
        <v>3</v>
      </c>
      <c r="AD589" s="25"/>
      <c r="AE589" s="25"/>
      <c r="AF589" s="25">
        <v>23</v>
      </c>
      <c r="AG589" s="25"/>
      <c r="AH589" s="25"/>
      <c r="AI589" s="30" t="s">
        <v>117</v>
      </c>
      <c r="AJ589" s="48" t="str">
        <f t="shared" si="20"/>
        <v>一般ユーザー</v>
      </c>
      <c r="AK589" s="10"/>
      <c r="AL589" s="10"/>
      <c r="AM589" s="10"/>
      <c r="AN589" s="10" t="str">
        <f t="shared" si="21"/>
        <v/>
      </c>
      <c r="AO589" s="10" t="str">
        <f t="shared" si="22"/>
        <v>|--</v>
      </c>
      <c r="AP589" s="10"/>
      <c r="AQ589" s="51" t="str">
        <f t="shared" si="23"/>
        <v>送り状データ取込（API）</v>
      </c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</row>
    <row r="590" ht="15" spans="1:57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25">
        <v>334</v>
      </c>
      <c r="AA590" s="25"/>
      <c r="AB590" s="25"/>
      <c r="AC590" s="26">
        <v>3</v>
      </c>
      <c r="AD590" s="25"/>
      <c r="AE590" s="25"/>
      <c r="AF590" s="25">
        <v>24</v>
      </c>
      <c r="AG590" s="25"/>
      <c r="AH590" s="25"/>
      <c r="AI590" s="30" t="s">
        <v>117</v>
      </c>
      <c r="AJ590" s="48" t="str">
        <f t="shared" si="20"/>
        <v>一般ユーザー</v>
      </c>
      <c r="AK590" s="10"/>
      <c r="AL590" s="10"/>
      <c r="AM590" s="10"/>
      <c r="AN590" s="10" t="str">
        <f t="shared" si="21"/>
        <v/>
      </c>
      <c r="AO590" s="10" t="str">
        <f t="shared" si="22"/>
        <v>|--</v>
      </c>
      <c r="AP590" s="10"/>
      <c r="AQ590" s="51" t="str">
        <f t="shared" si="23"/>
        <v>送り状データ出力（CSV）</v>
      </c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</row>
    <row r="591" ht="15" spans="1:57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25">
        <v>335</v>
      </c>
      <c r="AA591" s="25"/>
      <c r="AB591" s="25"/>
      <c r="AC591" s="26">
        <v>3</v>
      </c>
      <c r="AD591" s="25"/>
      <c r="AE591" s="25"/>
      <c r="AF591" s="25">
        <v>25</v>
      </c>
      <c r="AG591" s="25"/>
      <c r="AH591" s="25"/>
      <c r="AI591" s="30" t="s">
        <v>117</v>
      </c>
      <c r="AJ591" s="48" t="str">
        <f t="shared" si="20"/>
        <v>一般ユーザー</v>
      </c>
      <c r="AK591" s="10"/>
      <c r="AL591" s="10"/>
      <c r="AM591" s="10"/>
      <c r="AN591" s="10" t="str">
        <f t="shared" si="21"/>
        <v/>
      </c>
      <c r="AO591" s="10" t="str">
        <f t="shared" si="22"/>
        <v>|--</v>
      </c>
      <c r="AP591" s="10"/>
      <c r="AQ591" s="51" t="str">
        <f t="shared" si="23"/>
        <v>送り状データ出力（API）</v>
      </c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</row>
    <row r="592" ht="15" spans="1:57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25">
        <v>336</v>
      </c>
      <c r="AA592" s="25"/>
      <c r="AB592" s="25"/>
      <c r="AC592" s="26">
        <v>3</v>
      </c>
      <c r="AD592" s="25"/>
      <c r="AE592" s="25"/>
      <c r="AF592" s="25">
        <v>26</v>
      </c>
      <c r="AG592" s="25"/>
      <c r="AH592" s="25"/>
      <c r="AI592" s="30" t="s">
        <v>117</v>
      </c>
      <c r="AJ592" s="48" t="str">
        <f t="shared" si="20"/>
        <v>一般ユーザー</v>
      </c>
      <c r="AK592" s="10"/>
      <c r="AL592" s="10"/>
      <c r="AM592" s="10"/>
      <c r="AN592" s="10" t="str">
        <f t="shared" si="21"/>
        <v/>
      </c>
      <c r="AO592" s="10" t="str">
        <f t="shared" si="22"/>
        <v>|--</v>
      </c>
      <c r="AP592" s="10"/>
      <c r="AQ592" s="51" t="str">
        <f t="shared" si="23"/>
        <v>出荷確定</v>
      </c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</row>
    <row r="593" ht="15" spans="1:57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25">
        <v>337</v>
      </c>
      <c r="AA593" s="25"/>
      <c r="AB593" s="25"/>
      <c r="AC593" s="26">
        <v>3</v>
      </c>
      <c r="AD593" s="25"/>
      <c r="AE593" s="25"/>
      <c r="AF593" s="25">
        <v>27</v>
      </c>
      <c r="AG593" s="25"/>
      <c r="AH593" s="25"/>
      <c r="AI593" s="30" t="s">
        <v>117</v>
      </c>
      <c r="AJ593" s="48" t="str">
        <f t="shared" si="20"/>
        <v>一般ユーザー</v>
      </c>
      <c r="AK593" s="10"/>
      <c r="AL593" s="10"/>
      <c r="AM593" s="10"/>
      <c r="AN593" s="10" t="str">
        <f t="shared" si="21"/>
        <v/>
      </c>
      <c r="AO593" s="10" t="str">
        <f t="shared" si="22"/>
        <v>|--</v>
      </c>
      <c r="AP593" s="10"/>
      <c r="AQ593" s="51" t="str">
        <f t="shared" si="23"/>
        <v>出荷確定取消</v>
      </c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</row>
    <row r="594" ht="15" spans="1:57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25">
        <v>338</v>
      </c>
      <c r="AA594" s="25"/>
      <c r="AB594" s="25"/>
      <c r="AC594" s="26">
        <v>3</v>
      </c>
      <c r="AD594" s="25"/>
      <c r="AE594" s="25"/>
      <c r="AF594" s="25">
        <v>28</v>
      </c>
      <c r="AG594" s="25"/>
      <c r="AH594" s="25"/>
      <c r="AI594" s="30" t="s">
        <v>117</v>
      </c>
      <c r="AJ594" s="48" t="str">
        <f t="shared" si="20"/>
        <v>一般ユーザー</v>
      </c>
      <c r="AK594" s="10"/>
      <c r="AL594" s="10"/>
      <c r="AM594" s="10"/>
      <c r="AN594" s="10" t="str">
        <f t="shared" si="21"/>
        <v/>
      </c>
      <c r="AO594" s="10" t="str">
        <f t="shared" si="22"/>
        <v>|--</v>
      </c>
      <c r="AP594" s="10"/>
      <c r="AQ594" s="51" t="str">
        <f t="shared" si="23"/>
        <v>出荷確定照会</v>
      </c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</row>
    <row r="595" ht="15" spans="1:57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25">
        <v>339</v>
      </c>
      <c r="AA595" s="25"/>
      <c r="AB595" s="25"/>
      <c r="AC595" s="26">
        <v>3</v>
      </c>
      <c r="AD595" s="25"/>
      <c r="AE595" s="25"/>
      <c r="AF595" s="25">
        <v>29</v>
      </c>
      <c r="AG595" s="25"/>
      <c r="AH595" s="25"/>
      <c r="AI595" s="30" t="s">
        <v>117</v>
      </c>
      <c r="AJ595" s="48" t="str">
        <f t="shared" si="20"/>
        <v>一般ユーザー</v>
      </c>
      <c r="AK595" s="10"/>
      <c r="AL595" s="10"/>
      <c r="AM595" s="10"/>
      <c r="AN595" s="10" t="str">
        <f t="shared" si="21"/>
        <v/>
      </c>
      <c r="AO595" s="10" t="str">
        <f t="shared" si="22"/>
        <v>|--</v>
      </c>
      <c r="AP595" s="10"/>
      <c r="AQ595" s="51" t="str">
        <f t="shared" si="23"/>
        <v>出荷確定データ出力（CSV）</v>
      </c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</row>
    <row r="596" ht="15" spans="1:57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25">
        <v>340</v>
      </c>
      <c r="AA596" s="25"/>
      <c r="AB596" s="25"/>
      <c r="AC596" s="26">
        <v>3</v>
      </c>
      <c r="AD596" s="25"/>
      <c r="AE596" s="25"/>
      <c r="AF596" s="25">
        <v>30</v>
      </c>
      <c r="AG596" s="25"/>
      <c r="AH596" s="25"/>
      <c r="AI596" s="30" t="s">
        <v>117</v>
      </c>
      <c r="AJ596" s="48" t="str">
        <f t="shared" si="20"/>
        <v>一般ユーザー</v>
      </c>
      <c r="AK596" s="10"/>
      <c r="AL596" s="10"/>
      <c r="AM596" s="10"/>
      <c r="AN596" s="10" t="str">
        <f t="shared" si="21"/>
        <v/>
      </c>
      <c r="AO596" s="10" t="str">
        <f t="shared" si="22"/>
        <v>|--</v>
      </c>
      <c r="AP596" s="10"/>
      <c r="AQ596" s="51" t="str">
        <f t="shared" si="23"/>
        <v>出荷確定データ出力（API）</v>
      </c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</row>
    <row r="597" ht="15" spans="1:5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25">
        <v>341</v>
      </c>
      <c r="AA597" s="25"/>
      <c r="AB597" s="25"/>
      <c r="AC597" s="26">
        <v>3</v>
      </c>
      <c r="AD597" s="25"/>
      <c r="AE597" s="25"/>
      <c r="AF597" s="25">
        <v>31</v>
      </c>
      <c r="AG597" s="25"/>
      <c r="AH597" s="25"/>
      <c r="AI597" s="30" t="s">
        <v>117</v>
      </c>
      <c r="AJ597" s="48" t="str">
        <f t="shared" si="20"/>
        <v>一般ユーザー</v>
      </c>
      <c r="AK597" s="10"/>
      <c r="AL597" s="10"/>
      <c r="AM597" s="10"/>
      <c r="AN597" s="10" t="str">
        <f t="shared" si="21"/>
        <v/>
      </c>
      <c r="AO597" s="10" t="str">
        <f t="shared" si="22"/>
        <v>|--</v>
      </c>
      <c r="AP597" s="10"/>
      <c r="AQ597" s="51" t="str">
        <f t="shared" si="23"/>
        <v>出荷状況照会（取引先用）</v>
      </c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</row>
    <row r="598" ht="15" spans="1:57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25">
        <v>342</v>
      </c>
      <c r="AA598" s="25"/>
      <c r="AB598" s="25"/>
      <c r="AC598" s="26">
        <v>3</v>
      </c>
      <c r="AD598" s="25"/>
      <c r="AE598" s="25"/>
      <c r="AF598" s="25">
        <v>32</v>
      </c>
      <c r="AG598" s="25"/>
      <c r="AH598" s="25"/>
      <c r="AI598" s="30" t="s">
        <v>117</v>
      </c>
      <c r="AJ598" s="48" t="str">
        <f t="shared" si="20"/>
        <v>一般ユーザー</v>
      </c>
      <c r="AK598" s="10"/>
      <c r="AL598" s="10"/>
      <c r="AM598" s="10"/>
      <c r="AN598" s="10" t="str">
        <f t="shared" si="21"/>
        <v>|----</v>
      </c>
      <c r="AO598" s="10" t="str">
        <f t="shared" si="22"/>
        <v/>
      </c>
      <c r="AP598" s="10"/>
      <c r="AQ598" s="51" t="str">
        <f t="shared" si="23"/>
        <v>入荷</v>
      </c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</row>
    <row r="599" ht="15" spans="1:57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25">
        <v>343</v>
      </c>
      <c r="AA599" s="25"/>
      <c r="AB599" s="25"/>
      <c r="AC599" s="26">
        <v>3</v>
      </c>
      <c r="AD599" s="25"/>
      <c r="AE599" s="25"/>
      <c r="AF599" s="25">
        <v>33</v>
      </c>
      <c r="AG599" s="25"/>
      <c r="AH599" s="25"/>
      <c r="AI599" s="30" t="s">
        <v>117</v>
      </c>
      <c r="AJ599" s="48" t="str">
        <f t="shared" si="20"/>
        <v>一般ユーザー</v>
      </c>
      <c r="AK599" s="10"/>
      <c r="AL599" s="10"/>
      <c r="AM599" s="10"/>
      <c r="AN599" s="10" t="str">
        <f t="shared" si="21"/>
        <v/>
      </c>
      <c r="AO599" s="10" t="str">
        <f t="shared" si="22"/>
        <v>|--</v>
      </c>
      <c r="AP599" s="10"/>
      <c r="AQ599" s="51" t="str">
        <f t="shared" si="23"/>
        <v>入荷予定データ取込（CSV）</v>
      </c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</row>
    <row r="600" ht="15" spans="1:57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25">
        <v>344</v>
      </c>
      <c r="AA600" s="25"/>
      <c r="AB600" s="25"/>
      <c r="AC600" s="26">
        <v>3</v>
      </c>
      <c r="AD600" s="25"/>
      <c r="AE600" s="25"/>
      <c r="AF600" s="25">
        <v>34</v>
      </c>
      <c r="AG600" s="25"/>
      <c r="AH600" s="25"/>
      <c r="AI600" s="30" t="s">
        <v>117</v>
      </c>
      <c r="AJ600" s="48" t="str">
        <f t="shared" si="20"/>
        <v>一般ユーザー</v>
      </c>
      <c r="AK600" s="10"/>
      <c r="AL600" s="10"/>
      <c r="AM600" s="10"/>
      <c r="AN600" s="10" t="str">
        <f t="shared" si="21"/>
        <v/>
      </c>
      <c r="AO600" s="10" t="str">
        <f t="shared" si="22"/>
        <v>|--</v>
      </c>
      <c r="AP600" s="10"/>
      <c r="AQ600" s="51" t="str">
        <f t="shared" si="23"/>
        <v>入荷予定データ取込（API）</v>
      </c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</row>
    <row r="601" ht="15" spans="1:57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25">
        <v>345</v>
      </c>
      <c r="AA601" s="25"/>
      <c r="AB601" s="25"/>
      <c r="AC601" s="26">
        <v>3</v>
      </c>
      <c r="AD601" s="25"/>
      <c r="AE601" s="25"/>
      <c r="AF601" s="25">
        <v>35</v>
      </c>
      <c r="AG601" s="25"/>
      <c r="AH601" s="25"/>
      <c r="AI601" s="30" t="s">
        <v>117</v>
      </c>
      <c r="AJ601" s="48" t="str">
        <f t="shared" si="20"/>
        <v>一般ユーザー</v>
      </c>
      <c r="AK601" s="10"/>
      <c r="AL601" s="10"/>
      <c r="AM601" s="10"/>
      <c r="AN601" s="10" t="str">
        <f t="shared" si="21"/>
        <v/>
      </c>
      <c r="AO601" s="10" t="str">
        <f t="shared" si="22"/>
        <v>|--</v>
      </c>
      <c r="AP601" s="10"/>
      <c r="AQ601" s="51" t="str">
        <f t="shared" si="23"/>
        <v>入荷予定照会</v>
      </c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</row>
    <row r="602" ht="15" spans="1:57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25">
        <v>346</v>
      </c>
      <c r="AA602" s="25"/>
      <c r="AB602" s="25"/>
      <c r="AC602" s="26">
        <v>3</v>
      </c>
      <c r="AD602" s="25"/>
      <c r="AE602" s="25"/>
      <c r="AF602" s="25">
        <v>36</v>
      </c>
      <c r="AG602" s="25"/>
      <c r="AH602" s="25"/>
      <c r="AI602" s="30" t="s">
        <v>117</v>
      </c>
      <c r="AJ602" s="48" t="str">
        <f t="shared" si="20"/>
        <v>一般ユーザー</v>
      </c>
      <c r="AK602" s="10"/>
      <c r="AL602" s="10"/>
      <c r="AM602" s="10"/>
      <c r="AN602" s="10" t="str">
        <f t="shared" si="21"/>
        <v/>
      </c>
      <c r="AO602" s="10" t="str">
        <f t="shared" si="22"/>
        <v>|--</v>
      </c>
      <c r="AP602" s="10"/>
      <c r="AQ602" s="51" t="str">
        <f t="shared" si="23"/>
        <v>入荷予定入力</v>
      </c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</row>
    <row r="603" ht="15" spans="1:57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25">
        <v>347</v>
      </c>
      <c r="AA603" s="25"/>
      <c r="AB603" s="25"/>
      <c r="AC603" s="26">
        <v>3</v>
      </c>
      <c r="AD603" s="25"/>
      <c r="AE603" s="25"/>
      <c r="AF603" s="25">
        <v>37</v>
      </c>
      <c r="AG603" s="25"/>
      <c r="AH603" s="25"/>
      <c r="AI603" s="30" t="s">
        <v>117</v>
      </c>
      <c r="AJ603" s="48" t="str">
        <f t="shared" si="20"/>
        <v>一般ユーザー</v>
      </c>
      <c r="AK603" s="10"/>
      <c r="AL603" s="10"/>
      <c r="AM603" s="10"/>
      <c r="AN603" s="10" t="str">
        <f t="shared" si="21"/>
        <v/>
      </c>
      <c r="AO603" s="10" t="str">
        <f t="shared" si="22"/>
        <v>|--</v>
      </c>
      <c r="AP603" s="10"/>
      <c r="AQ603" s="51" t="str">
        <f t="shared" si="23"/>
        <v>入荷予定削除</v>
      </c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</row>
    <row r="604" ht="15" spans="1:57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25">
        <v>348</v>
      </c>
      <c r="AA604" s="25"/>
      <c r="AB604" s="25"/>
      <c r="AC604" s="26">
        <v>3</v>
      </c>
      <c r="AD604" s="25"/>
      <c r="AE604" s="25"/>
      <c r="AF604" s="25">
        <v>38</v>
      </c>
      <c r="AG604" s="25"/>
      <c r="AH604" s="25"/>
      <c r="AI604" s="30" t="s">
        <v>117</v>
      </c>
      <c r="AJ604" s="48" t="str">
        <f t="shared" si="20"/>
        <v>一般ユーザー</v>
      </c>
      <c r="AK604" s="10"/>
      <c r="AL604" s="10"/>
      <c r="AM604" s="10"/>
      <c r="AN604" s="10" t="str">
        <f t="shared" si="21"/>
        <v/>
      </c>
      <c r="AO604" s="10" t="str">
        <f t="shared" si="22"/>
        <v>|--</v>
      </c>
      <c r="AP604" s="10"/>
      <c r="AQ604" s="51" t="str">
        <f t="shared" si="23"/>
        <v>入荷検品</v>
      </c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</row>
    <row r="605" ht="15" spans="1:57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25">
        <v>349</v>
      </c>
      <c r="AA605" s="25"/>
      <c r="AB605" s="25"/>
      <c r="AC605" s="26">
        <v>3</v>
      </c>
      <c r="AD605" s="25"/>
      <c r="AE605" s="25"/>
      <c r="AF605" s="25">
        <v>39</v>
      </c>
      <c r="AG605" s="25"/>
      <c r="AH605" s="25"/>
      <c r="AI605" s="30" t="s">
        <v>117</v>
      </c>
      <c r="AJ605" s="48" t="str">
        <f t="shared" si="20"/>
        <v>一般ユーザー</v>
      </c>
      <c r="AK605" s="10"/>
      <c r="AL605" s="10"/>
      <c r="AM605" s="10"/>
      <c r="AN605" s="10" t="str">
        <f t="shared" si="21"/>
        <v/>
      </c>
      <c r="AO605" s="10" t="str">
        <f t="shared" si="22"/>
        <v>|--</v>
      </c>
      <c r="AP605" s="10"/>
      <c r="AQ605" s="51" t="str">
        <f t="shared" si="23"/>
        <v>入荷一括検品</v>
      </c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</row>
    <row r="606" ht="15" spans="1:57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25">
        <v>350</v>
      </c>
      <c r="AA606" s="25"/>
      <c r="AB606" s="25"/>
      <c r="AC606" s="26">
        <v>3</v>
      </c>
      <c r="AD606" s="25"/>
      <c r="AE606" s="25"/>
      <c r="AF606" s="25">
        <v>40</v>
      </c>
      <c r="AG606" s="25"/>
      <c r="AH606" s="25"/>
      <c r="AI606" s="30" t="s">
        <v>117</v>
      </c>
      <c r="AJ606" s="48" t="str">
        <f t="shared" si="20"/>
        <v>一般ユーザー</v>
      </c>
      <c r="AK606" s="10"/>
      <c r="AL606" s="10"/>
      <c r="AM606" s="10"/>
      <c r="AN606" s="10" t="str">
        <f t="shared" si="21"/>
        <v/>
      </c>
      <c r="AO606" s="10" t="str">
        <f t="shared" si="22"/>
        <v>|--</v>
      </c>
      <c r="AP606" s="10"/>
      <c r="AQ606" s="51" t="str">
        <f t="shared" si="23"/>
        <v>入庫入力</v>
      </c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</row>
    <row r="607" ht="15" spans="1:5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25">
        <v>351</v>
      </c>
      <c r="AA607" s="25"/>
      <c r="AB607" s="25"/>
      <c r="AC607" s="26">
        <v>3</v>
      </c>
      <c r="AD607" s="25"/>
      <c r="AE607" s="25"/>
      <c r="AF607" s="25">
        <v>41</v>
      </c>
      <c r="AG607" s="25"/>
      <c r="AH607" s="25"/>
      <c r="AI607" s="30" t="s">
        <v>117</v>
      </c>
      <c r="AJ607" s="48" t="str">
        <f t="shared" si="20"/>
        <v>一般ユーザー</v>
      </c>
      <c r="AK607" s="10"/>
      <c r="AL607" s="10"/>
      <c r="AM607" s="10"/>
      <c r="AN607" s="10" t="str">
        <f t="shared" si="21"/>
        <v/>
      </c>
      <c r="AO607" s="10" t="str">
        <f t="shared" si="22"/>
        <v>|--</v>
      </c>
      <c r="AP607" s="10"/>
      <c r="AQ607" s="51" t="str">
        <f t="shared" si="23"/>
        <v>入庫削除</v>
      </c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</row>
    <row r="608" ht="15" spans="1:57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25">
        <v>352</v>
      </c>
      <c r="AA608" s="25"/>
      <c r="AB608" s="25"/>
      <c r="AC608" s="26">
        <v>3</v>
      </c>
      <c r="AD608" s="25"/>
      <c r="AE608" s="25"/>
      <c r="AF608" s="25">
        <v>42</v>
      </c>
      <c r="AG608" s="25"/>
      <c r="AH608" s="25"/>
      <c r="AI608" s="30" t="s">
        <v>117</v>
      </c>
      <c r="AJ608" s="48" t="str">
        <f t="shared" si="20"/>
        <v>一般ユーザー</v>
      </c>
      <c r="AK608" s="10"/>
      <c r="AL608" s="10"/>
      <c r="AM608" s="10"/>
      <c r="AN608" s="10" t="str">
        <f t="shared" si="21"/>
        <v/>
      </c>
      <c r="AO608" s="10" t="str">
        <f t="shared" si="22"/>
        <v>|--</v>
      </c>
      <c r="AP608" s="10"/>
      <c r="AQ608" s="51" t="str">
        <f t="shared" si="23"/>
        <v>入庫照会</v>
      </c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</row>
    <row r="609" ht="15" spans="1:57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25">
        <v>353</v>
      </c>
      <c r="AA609" s="25"/>
      <c r="AB609" s="25"/>
      <c r="AC609" s="26">
        <v>3</v>
      </c>
      <c r="AD609" s="25"/>
      <c r="AE609" s="25"/>
      <c r="AF609" s="25">
        <v>43</v>
      </c>
      <c r="AG609" s="25"/>
      <c r="AH609" s="25"/>
      <c r="AI609" s="30" t="s">
        <v>117</v>
      </c>
      <c r="AJ609" s="48" t="str">
        <f t="shared" si="20"/>
        <v>一般ユーザー</v>
      </c>
      <c r="AK609" s="10"/>
      <c r="AL609" s="10"/>
      <c r="AM609" s="10"/>
      <c r="AN609" s="10" t="str">
        <f t="shared" si="21"/>
        <v/>
      </c>
      <c r="AO609" s="10" t="str">
        <f t="shared" si="22"/>
        <v>|--</v>
      </c>
      <c r="AP609" s="10"/>
      <c r="AQ609" s="51" t="str">
        <f t="shared" si="23"/>
        <v>入庫ラベル</v>
      </c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</row>
    <row r="610" ht="15" spans="1:57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25">
        <v>354</v>
      </c>
      <c r="AA610" s="25"/>
      <c r="AB610" s="25"/>
      <c r="AC610" s="26">
        <v>3</v>
      </c>
      <c r="AD610" s="25"/>
      <c r="AE610" s="25"/>
      <c r="AF610" s="25">
        <v>44</v>
      </c>
      <c r="AG610" s="25"/>
      <c r="AH610" s="25"/>
      <c r="AI610" s="30" t="s">
        <v>117</v>
      </c>
      <c r="AJ610" s="48" t="str">
        <f t="shared" si="20"/>
        <v>一般ユーザー</v>
      </c>
      <c r="AK610" s="10"/>
      <c r="AL610" s="10"/>
      <c r="AM610" s="10"/>
      <c r="AN610" s="10" t="str">
        <f t="shared" si="21"/>
        <v/>
      </c>
      <c r="AO610" s="10" t="str">
        <f t="shared" si="22"/>
        <v>|--</v>
      </c>
      <c r="AP610" s="10"/>
      <c r="AQ610" s="51" t="str">
        <f t="shared" si="23"/>
        <v>入荷確定</v>
      </c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</row>
    <row r="611" ht="15" spans="1:57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25">
        <v>355</v>
      </c>
      <c r="AA611" s="25"/>
      <c r="AB611" s="25"/>
      <c r="AC611" s="26">
        <v>3</v>
      </c>
      <c r="AD611" s="25"/>
      <c r="AE611" s="25"/>
      <c r="AF611" s="25">
        <v>45</v>
      </c>
      <c r="AG611" s="25"/>
      <c r="AH611" s="25"/>
      <c r="AI611" s="30" t="s">
        <v>117</v>
      </c>
      <c r="AJ611" s="48" t="str">
        <f t="shared" si="20"/>
        <v>一般ユーザー</v>
      </c>
      <c r="AK611" s="10"/>
      <c r="AL611" s="10"/>
      <c r="AM611" s="10"/>
      <c r="AN611" s="10" t="str">
        <f t="shared" si="21"/>
        <v/>
      </c>
      <c r="AO611" s="10" t="str">
        <f t="shared" si="22"/>
        <v>|--</v>
      </c>
      <c r="AP611" s="10"/>
      <c r="AQ611" s="51" t="str">
        <f t="shared" si="23"/>
        <v>入荷確定取消</v>
      </c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</row>
    <row r="612" ht="15" spans="1:57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25">
        <v>356</v>
      </c>
      <c r="AA612" s="25"/>
      <c r="AB612" s="25"/>
      <c r="AC612" s="26">
        <v>3</v>
      </c>
      <c r="AD612" s="25"/>
      <c r="AE612" s="25"/>
      <c r="AF612" s="25">
        <v>46</v>
      </c>
      <c r="AG612" s="25"/>
      <c r="AH612" s="25"/>
      <c r="AI612" s="30" t="s">
        <v>117</v>
      </c>
      <c r="AJ612" s="48" t="str">
        <f t="shared" si="20"/>
        <v>一般ユーザー</v>
      </c>
      <c r="AK612" s="10"/>
      <c r="AL612" s="10"/>
      <c r="AM612" s="10"/>
      <c r="AN612" s="10" t="str">
        <f t="shared" si="21"/>
        <v/>
      </c>
      <c r="AO612" s="10" t="str">
        <f t="shared" si="22"/>
        <v>|--</v>
      </c>
      <c r="AP612" s="10"/>
      <c r="AQ612" s="51" t="str">
        <f t="shared" si="23"/>
        <v>入荷確定照会</v>
      </c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</row>
    <row r="613" ht="15" spans="1:57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25">
        <v>357</v>
      </c>
      <c r="AA613" s="25"/>
      <c r="AB613" s="25"/>
      <c r="AC613" s="26">
        <v>3</v>
      </c>
      <c r="AD613" s="25"/>
      <c r="AE613" s="25"/>
      <c r="AF613" s="25">
        <v>47</v>
      </c>
      <c r="AG613" s="25"/>
      <c r="AH613" s="25"/>
      <c r="AI613" s="30" t="s">
        <v>117</v>
      </c>
      <c r="AJ613" s="48" t="str">
        <f t="shared" si="20"/>
        <v>一般ユーザー</v>
      </c>
      <c r="AK613" s="10"/>
      <c r="AL613" s="10"/>
      <c r="AM613" s="10"/>
      <c r="AN613" s="10" t="str">
        <f t="shared" si="21"/>
        <v/>
      </c>
      <c r="AO613" s="10" t="str">
        <f t="shared" si="22"/>
        <v>|--</v>
      </c>
      <c r="AP613" s="10"/>
      <c r="AQ613" s="51" t="str">
        <f t="shared" si="23"/>
        <v>入荷確定データ出力（CSV）</v>
      </c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</row>
    <row r="614" ht="15" spans="1:57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25">
        <v>358</v>
      </c>
      <c r="AA614" s="25"/>
      <c r="AB614" s="25"/>
      <c r="AC614" s="26">
        <v>3</v>
      </c>
      <c r="AD614" s="25"/>
      <c r="AE614" s="25"/>
      <c r="AF614" s="25">
        <v>48</v>
      </c>
      <c r="AG614" s="25"/>
      <c r="AH614" s="25"/>
      <c r="AI614" s="30" t="s">
        <v>117</v>
      </c>
      <c r="AJ614" s="48" t="str">
        <f t="shared" si="20"/>
        <v>一般ユーザー</v>
      </c>
      <c r="AK614" s="10"/>
      <c r="AL614" s="10"/>
      <c r="AM614" s="10"/>
      <c r="AN614" s="10" t="str">
        <f t="shared" si="21"/>
        <v/>
      </c>
      <c r="AO614" s="10" t="str">
        <f t="shared" si="22"/>
        <v>|--</v>
      </c>
      <c r="AP614" s="10"/>
      <c r="AQ614" s="51" t="str">
        <f t="shared" si="23"/>
        <v>入荷確定データ出力（API）</v>
      </c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</row>
    <row r="615" ht="15" spans="1:57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25">
        <v>359</v>
      </c>
      <c r="AA615" s="25"/>
      <c r="AB615" s="25"/>
      <c r="AC615" s="26">
        <v>3</v>
      </c>
      <c r="AD615" s="25"/>
      <c r="AE615" s="25"/>
      <c r="AF615" s="25">
        <v>49</v>
      </c>
      <c r="AG615" s="25"/>
      <c r="AH615" s="25"/>
      <c r="AI615" s="30" t="s">
        <v>117</v>
      </c>
      <c r="AJ615" s="48" t="str">
        <f t="shared" si="20"/>
        <v>一般ユーザー</v>
      </c>
      <c r="AK615" s="10"/>
      <c r="AL615" s="10"/>
      <c r="AM615" s="10"/>
      <c r="AN615" s="10" t="str">
        <f t="shared" si="21"/>
        <v/>
      </c>
      <c r="AO615" s="10" t="str">
        <f t="shared" si="22"/>
        <v>|--</v>
      </c>
      <c r="AP615" s="10"/>
      <c r="AQ615" s="51" t="str">
        <f t="shared" si="23"/>
        <v>入荷状況照会（取引先用）</v>
      </c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</row>
    <row r="616" ht="15" spans="1:57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25">
        <v>360</v>
      </c>
      <c r="AA616" s="25"/>
      <c r="AB616" s="25"/>
      <c r="AC616" s="26">
        <v>3</v>
      </c>
      <c r="AD616" s="25"/>
      <c r="AE616" s="25"/>
      <c r="AF616" s="25">
        <v>50</v>
      </c>
      <c r="AG616" s="25"/>
      <c r="AH616" s="25"/>
      <c r="AI616" s="30" t="s">
        <v>117</v>
      </c>
      <c r="AJ616" s="48" t="str">
        <f t="shared" si="20"/>
        <v>一般ユーザー</v>
      </c>
      <c r="AK616" s="10"/>
      <c r="AL616" s="10"/>
      <c r="AM616" s="10"/>
      <c r="AN616" s="10" t="str">
        <f t="shared" si="21"/>
        <v>|----</v>
      </c>
      <c r="AO616" s="10" t="str">
        <f t="shared" si="22"/>
        <v/>
      </c>
      <c r="AP616" s="10"/>
      <c r="AQ616" s="51" t="str">
        <f t="shared" si="23"/>
        <v>在庫</v>
      </c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</row>
    <row r="617" ht="15" spans="1:5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25">
        <v>361</v>
      </c>
      <c r="AA617" s="25"/>
      <c r="AB617" s="25"/>
      <c r="AC617" s="26">
        <v>3</v>
      </c>
      <c r="AD617" s="25"/>
      <c r="AE617" s="25"/>
      <c r="AF617" s="25">
        <v>51</v>
      </c>
      <c r="AG617" s="25"/>
      <c r="AH617" s="25"/>
      <c r="AI617" s="30" t="s">
        <v>117</v>
      </c>
      <c r="AJ617" s="48" t="str">
        <f t="shared" si="20"/>
        <v>一般ユーザー</v>
      </c>
      <c r="AK617" s="10"/>
      <c r="AL617" s="10"/>
      <c r="AM617" s="10"/>
      <c r="AN617" s="10" t="str">
        <f t="shared" si="21"/>
        <v/>
      </c>
      <c r="AO617" s="10" t="str">
        <f t="shared" si="22"/>
        <v>|--</v>
      </c>
      <c r="AP617" s="10"/>
      <c r="AQ617" s="51" t="str">
        <f t="shared" si="23"/>
        <v>在庫データ取込（CSV）</v>
      </c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</row>
    <row r="618" ht="15" spans="1:57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25">
        <v>362</v>
      </c>
      <c r="AA618" s="25"/>
      <c r="AB618" s="25"/>
      <c r="AC618" s="26">
        <v>3</v>
      </c>
      <c r="AD618" s="25"/>
      <c r="AE618" s="25"/>
      <c r="AF618" s="25">
        <v>52</v>
      </c>
      <c r="AG618" s="25"/>
      <c r="AH618" s="25"/>
      <c r="AI618" s="30" t="s">
        <v>117</v>
      </c>
      <c r="AJ618" s="48" t="str">
        <f t="shared" si="20"/>
        <v>一般ユーザー</v>
      </c>
      <c r="AK618" s="10"/>
      <c r="AL618" s="10"/>
      <c r="AM618" s="10"/>
      <c r="AN618" s="10" t="str">
        <f t="shared" si="21"/>
        <v/>
      </c>
      <c r="AO618" s="10" t="str">
        <f t="shared" si="22"/>
        <v>|--</v>
      </c>
      <c r="AP618" s="10"/>
      <c r="AQ618" s="51" t="str">
        <f t="shared" si="23"/>
        <v>在庫データ取込（API）</v>
      </c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</row>
    <row r="619" ht="15" spans="1:57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25">
        <v>363</v>
      </c>
      <c r="AA619" s="25"/>
      <c r="AB619" s="25"/>
      <c r="AC619" s="26">
        <v>3</v>
      </c>
      <c r="AD619" s="25"/>
      <c r="AE619" s="25"/>
      <c r="AF619" s="25">
        <v>53</v>
      </c>
      <c r="AG619" s="25"/>
      <c r="AH619" s="25"/>
      <c r="AI619" s="30" t="s">
        <v>117</v>
      </c>
      <c r="AJ619" s="48" t="str">
        <f t="shared" si="20"/>
        <v>一般ユーザー</v>
      </c>
      <c r="AK619" s="10"/>
      <c r="AL619" s="10"/>
      <c r="AM619" s="10"/>
      <c r="AN619" s="10" t="str">
        <f t="shared" si="21"/>
        <v/>
      </c>
      <c r="AO619" s="10" t="str">
        <f t="shared" si="22"/>
        <v>|--</v>
      </c>
      <c r="AP619" s="10"/>
      <c r="AQ619" s="51" t="str">
        <f t="shared" si="23"/>
        <v>在庫照会</v>
      </c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</row>
    <row r="620" ht="15" spans="1:57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25">
        <v>364</v>
      </c>
      <c r="AA620" s="25"/>
      <c r="AB620" s="25"/>
      <c r="AC620" s="26">
        <v>3</v>
      </c>
      <c r="AD620" s="25"/>
      <c r="AE620" s="25"/>
      <c r="AF620" s="25">
        <v>54</v>
      </c>
      <c r="AG620" s="25"/>
      <c r="AH620" s="25"/>
      <c r="AI620" s="30" t="s">
        <v>117</v>
      </c>
      <c r="AJ620" s="48" t="str">
        <f t="shared" si="20"/>
        <v>一般ユーザー</v>
      </c>
      <c r="AK620" s="10"/>
      <c r="AL620" s="10"/>
      <c r="AM620" s="10"/>
      <c r="AN620" s="10" t="str">
        <f t="shared" si="21"/>
        <v/>
      </c>
      <c r="AO620" s="10" t="str">
        <f t="shared" si="22"/>
        <v>|--</v>
      </c>
      <c r="AP620" s="10"/>
      <c r="AQ620" s="51" t="str">
        <f t="shared" si="23"/>
        <v>在庫照会（取引先用）</v>
      </c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</row>
    <row r="621" ht="15" spans="1:57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25">
        <v>365</v>
      </c>
      <c r="AA621" s="25"/>
      <c r="AB621" s="25"/>
      <c r="AC621" s="26">
        <v>3</v>
      </c>
      <c r="AD621" s="25"/>
      <c r="AE621" s="25"/>
      <c r="AF621" s="25">
        <v>55</v>
      </c>
      <c r="AG621" s="25"/>
      <c r="AH621" s="25"/>
      <c r="AI621" s="30" t="s">
        <v>117</v>
      </c>
      <c r="AJ621" s="48" t="str">
        <f t="shared" si="20"/>
        <v>一般ユーザー</v>
      </c>
      <c r="AK621" s="10"/>
      <c r="AL621" s="10"/>
      <c r="AM621" s="10"/>
      <c r="AN621" s="10" t="str">
        <f t="shared" si="21"/>
        <v/>
      </c>
      <c r="AO621" s="10" t="str">
        <f t="shared" si="22"/>
        <v>|--</v>
      </c>
      <c r="AP621" s="10"/>
      <c r="AQ621" s="51" t="str">
        <f t="shared" si="23"/>
        <v>在庫照会（取引先用）API</v>
      </c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</row>
    <row r="622" ht="15" spans="1:57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25">
        <v>366</v>
      </c>
      <c r="AA622" s="25"/>
      <c r="AB622" s="25"/>
      <c r="AC622" s="26">
        <v>3</v>
      </c>
      <c r="AD622" s="25"/>
      <c r="AE622" s="25"/>
      <c r="AF622" s="25">
        <v>56</v>
      </c>
      <c r="AG622" s="25"/>
      <c r="AH622" s="25"/>
      <c r="AI622" s="30" t="s">
        <v>117</v>
      </c>
      <c r="AJ622" s="48" t="str">
        <f t="shared" si="20"/>
        <v>一般ユーザー</v>
      </c>
      <c r="AK622" s="10"/>
      <c r="AL622" s="10"/>
      <c r="AM622" s="10"/>
      <c r="AN622" s="10" t="str">
        <f t="shared" si="21"/>
        <v/>
      </c>
      <c r="AO622" s="10" t="str">
        <f t="shared" si="22"/>
        <v>|--</v>
      </c>
      <c r="AP622" s="10"/>
      <c r="AQ622" s="51" t="str">
        <f t="shared" si="23"/>
        <v>受払照会</v>
      </c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</row>
    <row r="623" ht="15" spans="1:57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25">
        <v>367</v>
      </c>
      <c r="AA623" s="25"/>
      <c r="AB623" s="25"/>
      <c r="AC623" s="26">
        <v>3</v>
      </c>
      <c r="AD623" s="25"/>
      <c r="AE623" s="25"/>
      <c r="AF623" s="25">
        <v>57</v>
      </c>
      <c r="AG623" s="25"/>
      <c r="AH623" s="25"/>
      <c r="AI623" s="30" t="s">
        <v>117</v>
      </c>
      <c r="AJ623" s="48" t="str">
        <f t="shared" si="20"/>
        <v>一般ユーザー</v>
      </c>
      <c r="AK623" s="10"/>
      <c r="AL623" s="10"/>
      <c r="AM623" s="10"/>
      <c r="AN623" s="10" t="str">
        <f t="shared" si="21"/>
        <v/>
      </c>
      <c r="AO623" s="10" t="str">
        <f t="shared" si="22"/>
        <v>|--</v>
      </c>
      <c r="AP623" s="10"/>
      <c r="AQ623" s="51" t="str">
        <f t="shared" si="23"/>
        <v>商品構成指示入力</v>
      </c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</row>
    <row r="624" ht="15" spans="1:57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25">
        <v>368</v>
      </c>
      <c r="AA624" s="25"/>
      <c r="AB624" s="25"/>
      <c r="AC624" s="26">
        <v>3</v>
      </c>
      <c r="AD624" s="25"/>
      <c r="AE624" s="25"/>
      <c r="AF624" s="25">
        <v>58</v>
      </c>
      <c r="AG624" s="25"/>
      <c r="AH624" s="25"/>
      <c r="AI624" s="30" t="s">
        <v>117</v>
      </c>
      <c r="AJ624" s="48" t="str">
        <f t="shared" si="20"/>
        <v>一般ユーザー</v>
      </c>
      <c r="AK624" s="10"/>
      <c r="AL624" s="10"/>
      <c r="AM624" s="10"/>
      <c r="AN624" s="10" t="str">
        <f t="shared" si="21"/>
        <v/>
      </c>
      <c r="AO624" s="10" t="str">
        <f t="shared" si="22"/>
        <v>|--</v>
      </c>
      <c r="AP624" s="10"/>
      <c r="AQ624" s="51" t="str">
        <f t="shared" si="23"/>
        <v>商品構成指示書</v>
      </c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</row>
    <row r="625" ht="15" spans="1:57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25">
        <v>369</v>
      </c>
      <c r="AA625" s="25"/>
      <c r="AB625" s="25"/>
      <c r="AC625" s="26">
        <v>3</v>
      </c>
      <c r="AD625" s="25"/>
      <c r="AE625" s="25"/>
      <c r="AF625" s="25">
        <v>59</v>
      </c>
      <c r="AG625" s="25"/>
      <c r="AH625" s="25"/>
      <c r="AI625" s="30" t="s">
        <v>117</v>
      </c>
      <c r="AJ625" s="48" t="str">
        <f t="shared" si="20"/>
        <v>一般ユーザー</v>
      </c>
      <c r="AK625" s="10"/>
      <c r="AL625" s="10"/>
      <c r="AM625" s="10"/>
      <c r="AN625" s="10" t="str">
        <f t="shared" si="21"/>
        <v/>
      </c>
      <c r="AO625" s="10" t="str">
        <f t="shared" si="22"/>
        <v>|--</v>
      </c>
      <c r="AP625" s="10"/>
      <c r="AQ625" s="51" t="str">
        <f t="shared" si="23"/>
        <v>商品構成完了入力</v>
      </c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</row>
    <row r="626" ht="15" spans="1:57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25">
        <v>370</v>
      </c>
      <c r="AA626" s="25"/>
      <c r="AB626" s="25"/>
      <c r="AC626" s="26">
        <v>3</v>
      </c>
      <c r="AD626" s="25"/>
      <c r="AE626" s="25"/>
      <c r="AF626" s="25">
        <v>60</v>
      </c>
      <c r="AG626" s="25"/>
      <c r="AH626" s="25"/>
      <c r="AI626" s="30" t="s">
        <v>117</v>
      </c>
      <c r="AJ626" s="48" t="str">
        <f t="shared" si="20"/>
        <v>一般ユーザー</v>
      </c>
      <c r="AK626" s="10"/>
      <c r="AL626" s="10"/>
      <c r="AM626" s="10"/>
      <c r="AN626" s="10" t="str">
        <f t="shared" si="21"/>
        <v/>
      </c>
      <c r="AO626" s="10" t="str">
        <f t="shared" si="22"/>
        <v>|--</v>
      </c>
      <c r="AP626" s="10"/>
      <c r="AQ626" s="51" t="str">
        <f t="shared" si="23"/>
        <v>返品入力</v>
      </c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</row>
    <row r="627" ht="15" spans="1:5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25">
        <v>371</v>
      </c>
      <c r="AA627" s="25"/>
      <c r="AB627" s="25"/>
      <c r="AC627" s="26">
        <v>3</v>
      </c>
      <c r="AD627" s="25"/>
      <c r="AE627" s="25"/>
      <c r="AF627" s="25">
        <v>61</v>
      </c>
      <c r="AG627" s="25"/>
      <c r="AH627" s="25"/>
      <c r="AI627" s="30" t="s">
        <v>117</v>
      </c>
      <c r="AJ627" s="48" t="str">
        <f t="shared" si="20"/>
        <v>一般ユーザー</v>
      </c>
      <c r="AK627" s="10"/>
      <c r="AL627" s="10"/>
      <c r="AM627" s="10"/>
      <c r="AN627" s="10" t="str">
        <f t="shared" si="21"/>
        <v/>
      </c>
      <c r="AO627" s="10" t="str">
        <f t="shared" si="22"/>
        <v>|--</v>
      </c>
      <c r="AP627" s="10"/>
      <c r="AQ627" s="51" t="str">
        <f t="shared" si="23"/>
        <v>返品削除</v>
      </c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</row>
    <row r="628" ht="15" spans="1:57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25">
        <v>372</v>
      </c>
      <c r="AA628" s="25"/>
      <c r="AB628" s="25"/>
      <c r="AC628" s="26">
        <v>3</v>
      </c>
      <c r="AD628" s="25"/>
      <c r="AE628" s="25"/>
      <c r="AF628" s="25">
        <v>62</v>
      </c>
      <c r="AG628" s="25"/>
      <c r="AH628" s="25"/>
      <c r="AI628" s="30" t="s">
        <v>117</v>
      </c>
      <c r="AJ628" s="48" t="str">
        <f t="shared" si="20"/>
        <v>一般ユーザー</v>
      </c>
      <c r="AK628" s="10"/>
      <c r="AL628" s="10"/>
      <c r="AM628" s="10"/>
      <c r="AN628" s="10" t="str">
        <f t="shared" si="21"/>
        <v/>
      </c>
      <c r="AO628" s="10" t="str">
        <f t="shared" si="22"/>
        <v>|--</v>
      </c>
      <c r="AP628" s="10"/>
      <c r="AQ628" s="51" t="str">
        <f t="shared" si="23"/>
        <v>返品照会</v>
      </c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</row>
    <row r="629" ht="15" spans="1:57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25">
        <v>373</v>
      </c>
      <c r="AA629" s="25"/>
      <c r="AB629" s="25"/>
      <c r="AC629" s="26">
        <v>3</v>
      </c>
      <c r="AD629" s="25"/>
      <c r="AE629" s="25"/>
      <c r="AF629" s="25">
        <v>63</v>
      </c>
      <c r="AG629" s="25"/>
      <c r="AH629" s="25"/>
      <c r="AI629" s="30" t="s">
        <v>117</v>
      </c>
      <c r="AJ629" s="48" t="str">
        <f t="shared" si="20"/>
        <v>一般ユーザー</v>
      </c>
      <c r="AK629" s="10"/>
      <c r="AL629" s="10"/>
      <c r="AM629" s="10"/>
      <c r="AN629" s="10" t="str">
        <f t="shared" si="21"/>
        <v/>
      </c>
      <c r="AO629" s="10" t="str">
        <f t="shared" si="22"/>
        <v>|--</v>
      </c>
      <c r="AP629" s="10"/>
      <c r="AQ629" s="51" t="str">
        <f t="shared" si="23"/>
        <v>在庫移動（出庫）</v>
      </c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</row>
    <row r="630" ht="15" spans="1:57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25">
        <v>374</v>
      </c>
      <c r="AA630" s="25"/>
      <c r="AB630" s="25"/>
      <c r="AC630" s="26">
        <v>3</v>
      </c>
      <c r="AD630" s="25"/>
      <c r="AE630" s="25"/>
      <c r="AF630" s="25">
        <v>64</v>
      </c>
      <c r="AG630" s="25"/>
      <c r="AH630" s="25"/>
      <c r="AI630" s="30" t="s">
        <v>117</v>
      </c>
      <c r="AJ630" s="48" t="str">
        <f t="shared" si="20"/>
        <v>一般ユーザー</v>
      </c>
      <c r="AK630" s="10"/>
      <c r="AL630" s="10"/>
      <c r="AM630" s="10"/>
      <c r="AN630" s="10" t="str">
        <f t="shared" si="21"/>
        <v/>
      </c>
      <c r="AO630" s="10" t="str">
        <f t="shared" si="22"/>
        <v>|--</v>
      </c>
      <c r="AP630" s="10"/>
      <c r="AQ630" s="51" t="str">
        <f t="shared" si="23"/>
        <v>在庫移動（入庫）</v>
      </c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</row>
    <row r="631" ht="15" spans="1:57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25">
        <v>375</v>
      </c>
      <c r="AA631" s="25"/>
      <c r="AB631" s="25"/>
      <c r="AC631" s="26">
        <v>3</v>
      </c>
      <c r="AD631" s="25"/>
      <c r="AE631" s="25"/>
      <c r="AF631" s="25">
        <v>65</v>
      </c>
      <c r="AG631" s="25"/>
      <c r="AH631" s="25"/>
      <c r="AI631" s="30" t="s">
        <v>117</v>
      </c>
      <c r="AJ631" s="48" t="str">
        <f t="shared" si="20"/>
        <v>一般ユーザー</v>
      </c>
      <c r="AK631" s="10"/>
      <c r="AL631" s="10"/>
      <c r="AM631" s="10"/>
      <c r="AN631" s="10" t="str">
        <f t="shared" si="21"/>
        <v/>
      </c>
      <c r="AO631" s="10" t="str">
        <f t="shared" si="22"/>
        <v>|--</v>
      </c>
      <c r="AP631" s="10"/>
      <c r="AQ631" s="51" t="str">
        <f t="shared" si="23"/>
        <v>在庫移動指示書</v>
      </c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</row>
    <row r="632" ht="15" spans="1:57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25">
        <v>376</v>
      </c>
      <c r="AA632" s="25"/>
      <c r="AB632" s="25"/>
      <c r="AC632" s="26">
        <v>3</v>
      </c>
      <c r="AD632" s="25"/>
      <c r="AE632" s="25"/>
      <c r="AF632" s="25">
        <v>66</v>
      </c>
      <c r="AG632" s="25"/>
      <c r="AH632" s="25"/>
      <c r="AI632" s="30" t="s">
        <v>117</v>
      </c>
      <c r="AJ632" s="48" t="str">
        <f t="shared" si="20"/>
        <v>一般ユーザー</v>
      </c>
      <c r="AK632" s="10"/>
      <c r="AL632" s="10"/>
      <c r="AM632" s="10"/>
      <c r="AN632" s="10" t="str">
        <f t="shared" si="21"/>
        <v/>
      </c>
      <c r="AO632" s="10" t="str">
        <f t="shared" si="22"/>
        <v>|--</v>
      </c>
      <c r="AP632" s="10"/>
      <c r="AQ632" s="51" t="str">
        <f t="shared" si="23"/>
        <v>在庫調整</v>
      </c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</row>
    <row r="633" ht="15" spans="1:57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25">
        <v>377</v>
      </c>
      <c r="AA633" s="25"/>
      <c r="AB633" s="25"/>
      <c r="AC633" s="26">
        <v>3</v>
      </c>
      <c r="AD633" s="25"/>
      <c r="AE633" s="25"/>
      <c r="AF633" s="25">
        <v>67</v>
      </c>
      <c r="AG633" s="25"/>
      <c r="AH633" s="25"/>
      <c r="AI633" s="30" t="s">
        <v>117</v>
      </c>
      <c r="AJ633" s="48" t="str">
        <f t="shared" si="20"/>
        <v>一般ユーザー</v>
      </c>
      <c r="AK633" s="10"/>
      <c r="AL633" s="10"/>
      <c r="AM633" s="10"/>
      <c r="AN633" s="10" t="str">
        <f t="shared" si="21"/>
        <v/>
      </c>
      <c r="AO633" s="10" t="str">
        <f t="shared" si="22"/>
        <v>|--</v>
      </c>
      <c r="AP633" s="10"/>
      <c r="AQ633" s="51" t="str">
        <f t="shared" si="23"/>
        <v>荷姿変更</v>
      </c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</row>
    <row r="634" ht="15" spans="1:57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25">
        <v>378</v>
      </c>
      <c r="AA634" s="25"/>
      <c r="AB634" s="25"/>
      <c r="AC634" s="26">
        <v>3</v>
      </c>
      <c r="AD634" s="25"/>
      <c r="AE634" s="25"/>
      <c r="AF634" s="25">
        <v>68</v>
      </c>
      <c r="AG634" s="25"/>
      <c r="AH634" s="25"/>
      <c r="AI634" s="30" t="s">
        <v>117</v>
      </c>
      <c r="AJ634" s="48" t="str">
        <f t="shared" si="20"/>
        <v>一般ユーザー</v>
      </c>
      <c r="AK634" s="10"/>
      <c r="AL634" s="10"/>
      <c r="AM634" s="10"/>
      <c r="AN634" s="10" t="str">
        <f t="shared" si="21"/>
        <v/>
      </c>
      <c r="AO634" s="10" t="str">
        <f t="shared" si="22"/>
        <v>|--</v>
      </c>
      <c r="AP634" s="10"/>
      <c r="AQ634" s="51" t="str">
        <f t="shared" si="23"/>
        <v>在庫移動照会</v>
      </c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</row>
    <row r="635" ht="15" spans="1:57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25">
        <v>379</v>
      </c>
      <c r="AA635" s="25"/>
      <c r="AB635" s="25"/>
      <c r="AC635" s="26">
        <v>3</v>
      </c>
      <c r="AD635" s="25"/>
      <c r="AE635" s="25"/>
      <c r="AF635" s="25">
        <v>69</v>
      </c>
      <c r="AG635" s="25"/>
      <c r="AH635" s="25"/>
      <c r="AI635" s="30" t="s">
        <v>117</v>
      </c>
      <c r="AJ635" s="48" t="str">
        <f t="shared" si="20"/>
        <v>一般ユーザー</v>
      </c>
      <c r="AK635" s="10"/>
      <c r="AL635" s="10"/>
      <c r="AM635" s="10"/>
      <c r="AN635" s="10" t="str">
        <f t="shared" si="21"/>
        <v/>
      </c>
      <c r="AO635" s="10" t="str">
        <f t="shared" si="22"/>
        <v>|--</v>
      </c>
      <c r="AP635" s="10"/>
      <c r="AQ635" s="51" t="str">
        <f t="shared" si="23"/>
        <v>在庫調整照会</v>
      </c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</row>
    <row r="636" ht="15" spans="1:57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25">
        <v>380</v>
      </c>
      <c r="AA636" s="25"/>
      <c r="AB636" s="25"/>
      <c r="AC636" s="26">
        <v>3</v>
      </c>
      <c r="AD636" s="25"/>
      <c r="AE636" s="25"/>
      <c r="AF636" s="25">
        <v>70</v>
      </c>
      <c r="AG636" s="25"/>
      <c r="AH636" s="25"/>
      <c r="AI636" s="30" t="s">
        <v>117</v>
      </c>
      <c r="AJ636" s="48" t="str">
        <f t="shared" si="20"/>
        <v>一般ユーザー</v>
      </c>
      <c r="AK636" s="10"/>
      <c r="AL636" s="10"/>
      <c r="AM636" s="10"/>
      <c r="AN636" s="10" t="str">
        <f t="shared" si="21"/>
        <v/>
      </c>
      <c r="AO636" s="10" t="str">
        <f t="shared" si="22"/>
        <v>|--</v>
      </c>
      <c r="AP636" s="10"/>
      <c r="AQ636" s="51" t="str">
        <f t="shared" si="23"/>
        <v>荷姿変更照会</v>
      </c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</row>
    <row r="637" ht="15" spans="1:5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25">
        <v>381</v>
      </c>
      <c r="AA637" s="25"/>
      <c r="AB637" s="25"/>
      <c r="AC637" s="26">
        <v>3</v>
      </c>
      <c r="AD637" s="25"/>
      <c r="AE637" s="25"/>
      <c r="AF637" s="25">
        <v>71</v>
      </c>
      <c r="AG637" s="25"/>
      <c r="AH637" s="25"/>
      <c r="AI637" s="30" t="s">
        <v>117</v>
      </c>
      <c r="AJ637" s="48" t="str">
        <f t="shared" si="20"/>
        <v>一般ユーザー</v>
      </c>
      <c r="AK637" s="10"/>
      <c r="AL637" s="10"/>
      <c r="AM637" s="10"/>
      <c r="AN637" s="10" t="str">
        <f t="shared" si="21"/>
        <v>|----</v>
      </c>
      <c r="AO637" s="10" t="str">
        <f t="shared" si="22"/>
        <v/>
      </c>
      <c r="AP637" s="10"/>
      <c r="AQ637" s="51" t="str">
        <f t="shared" si="23"/>
        <v>棚卸</v>
      </c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</row>
    <row r="638" ht="15" spans="1:57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25">
        <v>382</v>
      </c>
      <c r="AA638" s="25"/>
      <c r="AB638" s="25"/>
      <c r="AC638" s="26">
        <v>3</v>
      </c>
      <c r="AD638" s="25"/>
      <c r="AE638" s="25"/>
      <c r="AF638" s="25">
        <v>72</v>
      </c>
      <c r="AG638" s="25"/>
      <c r="AH638" s="25"/>
      <c r="AI638" s="30" t="s">
        <v>117</v>
      </c>
      <c r="AJ638" s="48" t="str">
        <f t="shared" si="20"/>
        <v>一般ユーザー</v>
      </c>
      <c r="AK638" s="10"/>
      <c r="AL638" s="10"/>
      <c r="AM638" s="10"/>
      <c r="AN638" s="10" t="str">
        <f t="shared" si="21"/>
        <v/>
      </c>
      <c r="AO638" s="10" t="str">
        <f t="shared" si="22"/>
        <v>|--</v>
      </c>
      <c r="AP638" s="10"/>
      <c r="AQ638" s="51" t="str">
        <f t="shared" si="23"/>
        <v>棚卸開始処理</v>
      </c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</row>
    <row r="639" ht="15" spans="1:57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25">
        <v>383</v>
      </c>
      <c r="AA639" s="25"/>
      <c r="AB639" s="25"/>
      <c r="AC639" s="26">
        <v>3</v>
      </c>
      <c r="AD639" s="25"/>
      <c r="AE639" s="25"/>
      <c r="AF639" s="25">
        <v>73</v>
      </c>
      <c r="AG639" s="25"/>
      <c r="AH639" s="25"/>
      <c r="AI639" s="30" t="s">
        <v>117</v>
      </c>
      <c r="AJ639" s="48" t="str">
        <f t="shared" si="20"/>
        <v>一般ユーザー</v>
      </c>
      <c r="AK639" s="10"/>
      <c r="AL639" s="10"/>
      <c r="AM639" s="10"/>
      <c r="AN639" s="10" t="str">
        <f t="shared" si="21"/>
        <v/>
      </c>
      <c r="AO639" s="10" t="str">
        <f t="shared" si="22"/>
        <v>|--</v>
      </c>
      <c r="AP639" s="10"/>
      <c r="AQ639" s="51" t="str">
        <f t="shared" si="23"/>
        <v>棚卸記入表</v>
      </c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</row>
    <row r="640" ht="15" spans="1:57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25">
        <v>384</v>
      </c>
      <c r="AA640" s="25"/>
      <c r="AB640" s="25"/>
      <c r="AC640" s="26">
        <v>3</v>
      </c>
      <c r="AD640" s="25"/>
      <c r="AE640" s="25"/>
      <c r="AF640" s="25">
        <v>74</v>
      </c>
      <c r="AG640" s="25"/>
      <c r="AH640" s="25"/>
      <c r="AI640" s="30" t="s">
        <v>117</v>
      </c>
      <c r="AJ640" s="48" t="str">
        <f t="shared" si="20"/>
        <v>一般ユーザー</v>
      </c>
      <c r="AK640" s="10"/>
      <c r="AL640" s="10"/>
      <c r="AM640" s="10"/>
      <c r="AN640" s="10" t="str">
        <f t="shared" si="21"/>
        <v/>
      </c>
      <c r="AO640" s="10" t="str">
        <f t="shared" si="22"/>
        <v>|--</v>
      </c>
      <c r="AP640" s="10"/>
      <c r="AQ640" s="51" t="str">
        <f t="shared" si="23"/>
        <v>実棚明細入力</v>
      </c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</row>
    <row r="641" ht="15" spans="1:57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25">
        <v>385</v>
      </c>
      <c r="AA641" s="25"/>
      <c r="AB641" s="25"/>
      <c r="AC641" s="26">
        <v>3</v>
      </c>
      <c r="AD641" s="25"/>
      <c r="AE641" s="25"/>
      <c r="AF641" s="25">
        <v>75</v>
      </c>
      <c r="AG641" s="25"/>
      <c r="AH641" s="25"/>
      <c r="AI641" s="30" t="s">
        <v>117</v>
      </c>
      <c r="AJ641" s="48" t="str">
        <f t="shared" si="20"/>
        <v>一般ユーザー</v>
      </c>
      <c r="AK641" s="10"/>
      <c r="AL641" s="10"/>
      <c r="AM641" s="10"/>
      <c r="AN641" s="10" t="str">
        <f t="shared" si="21"/>
        <v/>
      </c>
      <c r="AO641" s="10" t="str">
        <f t="shared" si="22"/>
        <v>|--</v>
      </c>
      <c r="AP641" s="10"/>
      <c r="AQ641" s="51" t="str">
        <f t="shared" si="23"/>
        <v>実棚明細削除</v>
      </c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</row>
    <row r="642" ht="15" spans="1:57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25">
        <v>386</v>
      </c>
      <c r="AA642" s="25"/>
      <c r="AB642" s="25"/>
      <c r="AC642" s="26">
        <v>3</v>
      </c>
      <c r="AD642" s="25"/>
      <c r="AE642" s="25"/>
      <c r="AF642" s="25">
        <v>76</v>
      </c>
      <c r="AG642" s="25"/>
      <c r="AH642" s="25"/>
      <c r="AI642" s="30" t="s">
        <v>117</v>
      </c>
      <c r="AJ642" s="48" t="str">
        <f t="shared" si="20"/>
        <v>一般ユーザー</v>
      </c>
      <c r="AK642" s="10"/>
      <c r="AL642" s="10"/>
      <c r="AM642" s="10"/>
      <c r="AN642" s="10" t="str">
        <f t="shared" si="21"/>
        <v/>
      </c>
      <c r="AO642" s="10" t="str">
        <f t="shared" si="22"/>
        <v>|--</v>
      </c>
      <c r="AP642" s="10"/>
      <c r="AQ642" s="51" t="str">
        <f t="shared" si="23"/>
        <v>棚卸照会</v>
      </c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</row>
    <row r="643" ht="15" spans="1:57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25">
        <v>387</v>
      </c>
      <c r="AA643" s="25"/>
      <c r="AB643" s="25"/>
      <c r="AC643" s="26">
        <v>3</v>
      </c>
      <c r="AD643" s="25"/>
      <c r="AE643" s="25"/>
      <c r="AF643" s="25">
        <v>77</v>
      </c>
      <c r="AG643" s="25"/>
      <c r="AH643" s="25"/>
      <c r="AI643" s="30" t="s">
        <v>117</v>
      </c>
      <c r="AJ643" s="48" t="str">
        <f t="shared" si="20"/>
        <v>一般ユーザー</v>
      </c>
      <c r="AK643" s="10"/>
      <c r="AL643" s="10"/>
      <c r="AM643" s="10"/>
      <c r="AN643" s="10" t="str">
        <f t="shared" si="21"/>
        <v/>
      </c>
      <c r="AO643" s="10" t="str">
        <f t="shared" si="22"/>
        <v>|--</v>
      </c>
      <c r="AP643" s="10"/>
      <c r="AQ643" s="51" t="str">
        <f t="shared" si="23"/>
        <v>棚卸確定処理</v>
      </c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</row>
    <row r="644" ht="15" spans="1:57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25">
        <v>388</v>
      </c>
      <c r="AA644" s="25"/>
      <c r="AB644" s="25"/>
      <c r="AC644" s="26">
        <v>3</v>
      </c>
      <c r="AD644" s="25"/>
      <c r="AE644" s="25"/>
      <c r="AF644" s="25">
        <v>78</v>
      </c>
      <c r="AG644" s="25"/>
      <c r="AH644" s="25"/>
      <c r="AI644" s="30" t="s">
        <v>117</v>
      </c>
      <c r="AJ644" s="48" t="str">
        <f t="shared" si="20"/>
        <v>一般ユーザー</v>
      </c>
      <c r="AK644" s="10"/>
      <c r="AL644" s="10"/>
      <c r="AM644" s="10"/>
      <c r="AN644" s="10" t="str">
        <f t="shared" si="21"/>
        <v/>
      </c>
      <c r="AO644" s="10" t="str">
        <f t="shared" si="22"/>
        <v>|--</v>
      </c>
      <c r="AP644" s="10"/>
      <c r="AQ644" s="51" t="str">
        <f t="shared" si="23"/>
        <v>棚卸確定取消</v>
      </c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</row>
    <row r="645" ht="15" spans="1:57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25">
        <v>389</v>
      </c>
      <c r="AA645" s="25"/>
      <c r="AB645" s="25"/>
      <c r="AC645" s="26">
        <v>3</v>
      </c>
      <c r="AD645" s="25"/>
      <c r="AE645" s="25"/>
      <c r="AF645" s="25">
        <v>79</v>
      </c>
      <c r="AG645" s="25"/>
      <c r="AH645" s="25"/>
      <c r="AI645" s="30" t="s">
        <v>117</v>
      </c>
      <c r="AJ645" s="48" t="str">
        <f t="shared" si="20"/>
        <v>一般ユーザー</v>
      </c>
      <c r="AK645" s="10"/>
      <c r="AL645" s="10"/>
      <c r="AM645" s="10"/>
      <c r="AN645" s="10" t="str">
        <f t="shared" si="21"/>
        <v/>
      </c>
      <c r="AO645" s="10" t="str">
        <f t="shared" si="22"/>
        <v>|--</v>
      </c>
      <c r="AP645" s="10"/>
      <c r="AQ645" s="51" t="str">
        <f t="shared" si="23"/>
        <v>棚卸データ出力（CSV）</v>
      </c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</row>
    <row r="646" ht="15" spans="1:57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25">
        <v>390</v>
      </c>
      <c r="AA646" s="25"/>
      <c r="AB646" s="25"/>
      <c r="AC646" s="26">
        <v>3</v>
      </c>
      <c r="AD646" s="25"/>
      <c r="AE646" s="25"/>
      <c r="AF646" s="25">
        <v>80</v>
      </c>
      <c r="AG646" s="25"/>
      <c r="AH646" s="25"/>
      <c r="AI646" s="30" t="s">
        <v>117</v>
      </c>
      <c r="AJ646" s="48" t="str">
        <f t="shared" si="20"/>
        <v>一般ユーザー</v>
      </c>
      <c r="AK646" s="10"/>
      <c r="AL646" s="10"/>
      <c r="AM646" s="10"/>
      <c r="AN646" s="10" t="str">
        <f t="shared" si="21"/>
        <v/>
      </c>
      <c r="AO646" s="10" t="str">
        <f t="shared" si="22"/>
        <v>|--</v>
      </c>
      <c r="AP646" s="10"/>
      <c r="AQ646" s="51" t="str">
        <f t="shared" si="23"/>
        <v>棚卸データ出力（API）</v>
      </c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</row>
    <row r="647" ht="15" spans="1:5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25">
        <v>391</v>
      </c>
      <c r="AA647" s="25"/>
      <c r="AB647" s="25"/>
      <c r="AC647" s="26">
        <v>3</v>
      </c>
      <c r="AD647" s="25"/>
      <c r="AE647" s="25"/>
      <c r="AF647" s="25">
        <v>81</v>
      </c>
      <c r="AG647" s="25"/>
      <c r="AH647" s="25"/>
      <c r="AI647" s="30" t="s">
        <v>117</v>
      </c>
      <c r="AJ647" s="48" t="str">
        <f t="shared" si="20"/>
        <v>一般ユーザー</v>
      </c>
      <c r="AK647" s="10"/>
      <c r="AL647" s="10"/>
      <c r="AM647" s="10"/>
      <c r="AN647" s="10" t="str">
        <f t="shared" si="21"/>
        <v/>
      </c>
      <c r="AO647" s="10" t="str">
        <f t="shared" si="22"/>
        <v>|--</v>
      </c>
      <c r="AP647" s="10"/>
      <c r="AQ647" s="51" t="str">
        <f t="shared" si="23"/>
        <v>棚卸仕訳データ出力（CSV）</v>
      </c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</row>
    <row r="648" ht="15" spans="1:57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25">
        <v>392</v>
      </c>
      <c r="AA648" s="25"/>
      <c r="AB648" s="25"/>
      <c r="AC648" s="26">
        <v>3</v>
      </c>
      <c r="AD648" s="25"/>
      <c r="AE648" s="25"/>
      <c r="AF648" s="25">
        <v>82</v>
      </c>
      <c r="AG648" s="25"/>
      <c r="AH648" s="25"/>
      <c r="AI648" s="30" t="s">
        <v>117</v>
      </c>
      <c r="AJ648" s="48" t="str">
        <f t="shared" si="20"/>
        <v>一般ユーザー</v>
      </c>
      <c r="AK648" s="10"/>
      <c r="AL648" s="10"/>
      <c r="AM648" s="10"/>
      <c r="AN648" s="10" t="str">
        <f t="shared" si="21"/>
        <v/>
      </c>
      <c r="AO648" s="10" t="str">
        <f t="shared" si="22"/>
        <v>|--</v>
      </c>
      <c r="AP648" s="10"/>
      <c r="AQ648" s="51" t="str">
        <f t="shared" si="23"/>
        <v>棚卸仕訳データ出力（API）</v>
      </c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</row>
    <row r="649" ht="15" spans="1:57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25">
        <v>393</v>
      </c>
      <c r="AA649" s="25"/>
      <c r="AB649" s="25"/>
      <c r="AC649" s="26">
        <v>3</v>
      </c>
      <c r="AD649" s="25"/>
      <c r="AE649" s="25"/>
      <c r="AF649" s="25">
        <v>83</v>
      </c>
      <c r="AG649" s="25"/>
      <c r="AH649" s="25"/>
      <c r="AI649" s="30" t="s">
        <v>117</v>
      </c>
      <c r="AJ649" s="48" t="str">
        <f t="shared" si="20"/>
        <v>一般ユーザー</v>
      </c>
      <c r="AK649" s="10"/>
      <c r="AL649" s="10"/>
      <c r="AM649" s="10"/>
      <c r="AN649" s="10" t="str">
        <f t="shared" si="21"/>
        <v>|----</v>
      </c>
      <c r="AO649" s="10" t="str">
        <f t="shared" si="22"/>
        <v/>
      </c>
      <c r="AP649" s="10"/>
      <c r="AQ649" s="51" t="str">
        <f t="shared" si="23"/>
        <v>分析</v>
      </c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</row>
    <row r="650" ht="15" spans="1:57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25">
        <v>394</v>
      </c>
      <c r="AA650" s="25"/>
      <c r="AB650" s="25"/>
      <c r="AC650" s="26">
        <v>3</v>
      </c>
      <c r="AD650" s="25"/>
      <c r="AE650" s="25"/>
      <c r="AF650" s="25">
        <v>84</v>
      </c>
      <c r="AG650" s="25"/>
      <c r="AH650" s="25"/>
      <c r="AI650" s="30" t="s">
        <v>117</v>
      </c>
      <c r="AJ650" s="48" t="str">
        <f t="shared" si="20"/>
        <v>一般ユーザー</v>
      </c>
      <c r="AK650" s="10"/>
      <c r="AL650" s="10"/>
      <c r="AM650" s="10"/>
      <c r="AN650" s="10" t="str">
        <f t="shared" si="21"/>
        <v/>
      </c>
      <c r="AO650" s="10" t="str">
        <f t="shared" si="22"/>
        <v>|--</v>
      </c>
      <c r="AP650" s="10"/>
      <c r="AQ650" s="51" t="str">
        <f t="shared" si="23"/>
        <v>ABC分析</v>
      </c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</row>
    <row r="651" ht="15" spans="1:57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25">
        <v>395</v>
      </c>
      <c r="AA651" s="25"/>
      <c r="AB651" s="25"/>
      <c r="AC651" s="26">
        <v>3</v>
      </c>
      <c r="AD651" s="25"/>
      <c r="AE651" s="25"/>
      <c r="AF651" s="25">
        <v>85</v>
      </c>
      <c r="AG651" s="25"/>
      <c r="AH651" s="25"/>
      <c r="AI651" s="30" t="s">
        <v>117</v>
      </c>
      <c r="AJ651" s="48" t="str">
        <f t="shared" si="20"/>
        <v>一般ユーザー</v>
      </c>
      <c r="AK651" s="10"/>
      <c r="AL651" s="10"/>
      <c r="AM651" s="10"/>
      <c r="AN651" s="10" t="str">
        <f t="shared" si="21"/>
        <v/>
      </c>
      <c r="AO651" s="10" t="str">
        <f t="shared" si="22"/>
        <v>|--</v>
      </c>
      <c r="AP651" s="10"/>
      <c r="AQ651" s="51" t="str">
        <f t="shared" si="23"/>
        <v>在庫回転率</v>
      </c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</row>
    <row r="652" ht="15" spans="1:57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25">
        <v>396</v>
      </c>
      <c r="AA652" s="25"/>
      <c r="AB652" s="25"/>
      <c r="AC652" s="26">
        <v>3</v>
      </c>
      <c r="AD652" s="25"/>
      <c r="AE652" s="25"/>
      <c r="AF652" s="25">
        <v>86</v>
      </c>
      <c r="AG652" s="25"/>
      <c r="AH652" s="25"/>
      <c r="AI652" s="30" t="s">
        <v>117</v>
      </c>
      <c r="AJ652" s="48" t="str">
        <f t="shared" ref="AJ652:AJ672" si="24">VLOOKUP(AC652,$Z$26:$AH$28,4,FALSE)</f>
        <v>一般ユーザー</v>
      </c>
      <c r="AK652" s="10"/>
      <c r="AL652" s="10"/>
      <c r="AM652" s="10"/>
      <c r="AN652" s="10" t="str">
        <f t="shared" ref="AN652:AN672" si="25">IF(VLOOKUP(AF652,$Z$109:$AI$263,4,FALSE),"","|----")</f>
        <v/>
      </c>
      <c r="AO652" s="10" t="str">
        <f t="shared" ref="AO652:AO672" si="26">IF(VLOOKUP(AF652,$Z$109:$AI$263,4,FALSE),"|--","")</f>
        <v>|--</v>
      </c>
      <c r="AP652" s="10"/>
      <c r="AQ652" s="51" t="str">
        <f t="shared" ref="AQ652:AQ672" si="27">VLOOKUP(AF652,$Z$109:$AI$263,7,FALSE)</f>
        <v>発注点割れ</v>
      </c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</row>
    <row r="653" ht="15" spans="1:57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25">
        <v>397</v>
      </c>
      <c r="AA653" s="25"/>
      <c r="AB653" s="25"/>
      <c r="AC653" s="26">
        <v>3</v>
      </c>
      <c r="AD653" s="25"/>
      <c r="AE653" s="25"/>
      <c r="AF653" s="25">
        <v>87</v>
      </c>
      <c r="AG653" s="25"/>
      <c r="AH653" s="25"/>
      <c r="AI653" s="30" t="s">
        <v>117</v>
      </c>
      <c r="AJ653" s="48" t="str">
        <f t="shared" si="24"/>
        <v>一般ユーザー</v>
      </c>
      <c r="AK653" s="10"/>
      <c r="AL653" s="10"/>
      <c r="AM653" s="10"/>
      <c r="AN653" s="10" t="str">
        <f t="shared" si="25"/>
        <v/>
      </c>
      <c r="AO653" s="10" t="str">
        <f t="shared" si="26"/>
        <v>|--</v>
      </c>
      <c r="AP653" s="10"/>
      <c r="AQ653" s="51" t="str">
        <f t="shared" si="27"/>
        <v>欠品</v>
      </c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</row>
    <row r="654" ht="15" spans="1:57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25">
        <v>398</v>
      </c>
      <c r="AA654" s="25"/>
      <c r="AB654" s="25"/>
      <c r="AC654" s="26">
        <v>3</v>
      </c>
      <c r="AD654" s="25"/>
      <c r="AE654" s="25"/>
      <c r="AF654" s="25">
        <v>88</v>
      </c>
      <c r="AG654" s="25"/>
      <c r="AH654" s="25"/>
      <c r="AI654" s="30" t="s">
        <v>117</v>
      </c>
      <c r="AJ654" s="48" t="str">
        <f t="shared" si="24"/>
        <v>一般ユーザー</v>
      </c>
      <c r="AK654" s="10"/>
      <c r="AL654" s="10"/>
      <c r="AM654" s="10"/>
      <c r="AN654" s="10" t="str">
        <f t="shared" si="25"/>
        <v/>
      </c>
      <c r="AO654" s="10" t="str">
        <f t="shared" si="26"/>
        <v>|--</v>
      </c>
      <c r="AP654" s="10"/>
      <c r="AQ654" s="51" t="str">
        <f t="shared" si="27"/>
        <v>返品</v>
      </c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</row>
    <row r="655" ht="15" spans="1:57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25">
        <v>399</v>
      </c>
      <c r="AA655" s="25"/>
      <c r="AB655" s="25"/>
      <c r="AC655" s="26">
        <v>3</v>
      </c>
      <c r="AD655" s="25"/>
      <c r="AE655" s="25"/>
      <c r="AF655" s="25">
        <v>89</v>
      </c>
      <c r="AG655" s="25"/>
      <c r="AH655" s="25"/>
      <c r="AI655" s="30" t="s">
        <v>117</v>
      </c>
      <c r="AJ655" s="48" t="str">
        <f t="shared" si="24"/>
        <v>一般ユーザー</v>
      </c>
      <c r="AK655" s="10"/>
      <c r="AL655" s="10"/>
      <c r="AM655" s="10"/>
      <c r="AN655" s="10" t="str">
        <f t="shared" si="25"/>
        <v/>
      </c>
      <c r="AO655" s="10" t="str">
        <f t="shared" si="26"/>
        <v>|--</v>
      </c>
      <c r="AP655" s="10"/>
      <c r="AQ655" s="51" t="str">
        <f t="shared" si="27"/>
        <v>商品追跡照会</v>
      </c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</row>
    <row r="656" ht="15" spans="1:57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25">
        <v>400</v>
      </c>
      <c r="AA656" s="25"/>
      <c r="AB656" s="25"/>
      <c r="AC656" s="26">
        <v>3</v>
      </c>
      <c r="AD656" s="25"/>
      <c r="AE656" s="25"/>
      <c r="AF656" s="25">
        <v>90</v>
      </c>
      <c r="AG656" s="25"/>
      <c r="AH656" s="25"/>
      <c r="AI656" s="30" t="s">
        <v>117</v>
      </c>
      <c r="AJ656" s="48" t="str">
        <f t="shared" si="24"/>
        <v>一般ユーザー</v>
      </c>
      <c r="AK656" s="10"/>
      <c r="AL656" s="10"/>
      <c r="AM656" s="10"/>
      <c r="AN656" s="10" t="str">
        <f t="shared" si="25"/>
        <v/>
      </c>
      <c r="AO656" s="10" t="str">
        <f t="shared" si="26"/>
        <v>|--</v>
      </c>
      <c r="AP656" s="10"/>
      <c r="AQ656" s="51" t="str">
        <f t="shared" si="27"/>
        <v>担当者別ピッキング実績</v>
      </c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</row>
    <row r="657" ht="15" spans="1: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25">
        <v>401</v>
      </c>
      <c r="AA657" s="25"/>
      <c r="AB657" s="25"/>
      <c r="AC657" s="26">
        <v>3</v>
      </c>
      <c r="AD657" s="25"/>
      <c r="AE657" s="25"/>
      <c r="AF657" s="25">
        <v>91</v>
      </c>
      <c r="AG657" s="25"/>
      <c r="AH657" s="25"/>
      <c r="AI657" s="30" t="s">
        <v>117</v>
      </c>
      <c r="AJ657" s="48" t="str">
        <f t="shared" si="24"/>
        <v>一般ユーザー</v>
      </c>
      <c r="AK657" s="10"/>
      <c r="AL657" s="10"/>
      <c r="AM657" s="10"/>
      <c r="AN657" s="10" t="str">
        <f t="shared" si="25"/>
        <v/>
      </c>
      <c r="AO657" s="10" t="str">
        <f t="shared" si="26"/>
        <v>|--</v>
      </c>
      <c r="AP657" s="10"/>
      <c r="AQ657" s="51" t="str">
        <f t="shared" si="27"/>
        <v>出荷状況照会</v>
      </c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</row>
    <row r="658" ht="15" spans="1:57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25">
        <v>402</v>
      </c>
      <c r="AA658" s="25"/>
      <c r="AB658" s="25"/>
      <c r="AC658" s="26">
        <v>3</v>
      </c>
      <c r="AD658" s="25"/>
      <c r="AE658" s="25"/>
      <c r="AF658" s="25">
        <v>92</v>
      </c>
      <c r="AG658" s="25"/>
      <c r="AH658" s="25"/>
      <c r="AI658" s="30" t="s">
        <v>117</v>
      </c>
      <c r="AJ658" s="48" t="str">
        <f t="shared" si="24"/>
        <v>一般ユーザー</v>
      </c>
      <c r="AK658" s="10"/>
      <c r="AL658" s="10"/>
      <c r="AM658" s="10"/>
      <c r="AN658" s="10" t="str">
        <f t="shared" si="25"/>
        <v/>
      </c>
      <c r="AO658" s="10" t="str">
        <f t="shared" si="26"/>
        <v>|--</v>
      </c>
      <c r="AP658" s="10"/>
      <c r="AQ658" s="51" t="str">
        <f t="shared" si="27"/>
        <v>入荷状況照会</v>
      </c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</row>
    <row r="659" ht="15" spans="1:57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25">
        <v>403</v>
      </c>
      <c r="AA659" s="25"/>
      <c r="AB659" s="25"/>
      <c r="AC659" s="26">
        <v>3</v>
      </c>
      <c r="AD659" s="25"/>
      <c r="AE659" s="25"/>
      <c r="AF659" s="25">
        <v>93</v>
      </c>
      <c r="AG659" s="25"/>
      <c r="AH659" s="25"/>
      <c r="AI659" s="30" t="s">
        <v>117</v>
      </c>
      <c r="AJ659" s="48" t="str">
        <f t="shared" si="24"/>
        <v>一般ユーザー</v>
      </c>
      <c r="AK659" s="10"/>
      <c r="AL659" s="10"/>
      <c r="AM659" s="10"/>
      <c r="AN659" s="10" t="str">
        <f t="shared" si="25"/>
        <v/>
      </c>
      <c r="AO659" s="10" t="str">
        <f t="shared" si="26"/>
        <v>|--</v>
      </c>
      <c r="AP659" s="10"/>
      <c r="AQ659" s="51" t="str">
        <f t="shared" si="27"/>
        <v>棚卸状況照会</v>
      </c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</row>
    <row r="660" ht="15" spans="1:57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25">
        <v>404</v>
      </c>
      <c r="AA660" s="25"/>
      <c r="AB660" s="25"/>
      <c r="AC660" s="26">
        <v>3</v>
      </c>
      <c r="AD660" s="25"/>
      <c r="AE660" s="25"/>
      <c r="AF660" s="25">
        <v>94</v>
      </c>
      <c r="AG660" s="25"/>
      <c r="AH660" s="25"/>
      <c r="AI660" s="30" t="s">
        <v>117</v>
      </c>
      <c r="AJ660" s="48" t="str">
        <f t="shared" si="24"/>
        <v>一般ユーザー</v>
      </c>
      <c r="AK660" s="10"/>
      <c r="AL660" s="10"/>
      <c r="AM660" s="10"/>
      <c r="AN660" s="10" t="str">
        <f t="shared" si="25"/>
        <v/>
      </c>
      <c r="AO660" s="10" t="str">
        <f t="shared" si="26"/>
        <v>|--</v>
      </c>
      <c r="AP660" s="10"/>
      <c r="AQ660" s="51" t="str">
        <f t="shared" si="27"/>
        <v>商品別予定推移</v>
      </c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</row>
    <row r="661" ht="15" spans="1:57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25">
        <v>405</v>
      </c>
      <c r="AA661" s="25"/>
      <c r="AB661" s="25"/>
      <c r="AC661" s="26">
        <v>3</v>
      </c>
      <c r="AD661" s="25"/>
      <c r="AE661" s="25"/>
      <c r="AF661" s="25">
        <v>95</v>
      </c>
      <c r="AG661" s="25"/>
      <c r="AH661" s="25"/>
      <c r="AI661" s="30" t="s">
        <v>117</v>
      </c>
      <c r="AJ661" s="48" t="str">
        <f t="shared" si="24"/>
        <v>一般ユーザー</v>
      </c>
      <c r="AK661" s="10"/>
      <c r="AL661" s="10"/>
      <c r="AM661" s="10"/>
      <c r="AN661" s="10" t="str">
        <f t="shared" si="25"/>
        <v>|----</v>
      </c>
      <c r="AO661" s="10" t="str">
        <f t="shared" si="26"/>
        <v/>
      </c>
      <c r="AP661" s="10"/>
      <c r="AQ661" s="51" t="str">
        <f t="shared" si="27"/>
        <v>リスト</v>
      </c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</row>
    <row r="662" ht="15" spans="1:57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25">
        <v>406</v>
      </c>
      <c r="AA662" s="25"/>
      <c r="AB662" s="25"/>
      <c r="AC662" s="26">
        <v>3</v>
      </c>
      <c r="AD662" s="25"/>
      <c r="AE662" s="25"/>
      <c r="AF662" s="25">
        <v>96</v>
      </c>
      <c r="AG662" s="25"/>
      <c r="AH662" s="25"/>
      <c r="AI662" s="30" t="s">
        <v>117</v>
      </c>
      <c r="AJ662" s="48" t="str">
        <f t="shared" si="24"/>
        <v>一般ユーザー</v>
      </c>
      <c r="AK662" s="10"/>
      <c r="AL662" s="10"/>
      <c r="AM662" s="10"/>
      <c r="AN662" s="10" t="str">
        <f t="shared" si="25"/>
        <v/>
      </c>
      <c r="AO662" s="10" t="str">
        <f t="shared" si="26"/>
        <v>|--</v>
      </c>
      <c r="AP662" s="10"/>
      <c r="AQ662" s="51" t="str">
        <f t="shared" si="27"/>
        <v>商品ラベル</v>
      </c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</row>
    <row r="663" ht="15" spans="1:57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25">
        <v>407</v>
      </c>
      <c r="AA663" s="25"/>
      <c r="AB663" s="25"/>
      <c r="AC663" s="26">
        <v>3</v>
      </c>
      <c r="AD663" s="25"/>
      <c r="AE663" s="25"/>
      <c r="AF663" s="25">
        <v>97</v>
      </c>
      <c r="AG663" s="25"/>
      <c r="AH663" s="25"/>
      <c r="AI663" s="30" t="s">
        <v>117</v>
      </c>
      <c r="AJ663" s="48" t="str">
        <f t="shared" si="24"/>
        <v>一般ユーザー</v>
      </c>
      <c r="AK663" s="10"/>
      <c r="AL663" s="10"/>
      <c r="AM663" s="10"/>
      <c r="AN663" s="10" t="str">
        <f t="shared" si="25"/>
        <v/>
      </c>
      <c r="AO663" s="10" t="str">
        <f t="shared" si="26"/>
        <v>|--</v>
      </c>
      <c r="AP663" s="10"/>
      <c r="AQ663" s="51" t="str">
        <f t="shared" si="27"/>
        <v>ロケーションラベル</v>
      </c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</row>
    <row r="664" ht="15" spans="1:57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25">
        <v>408</v>
      </c>
      <c r="AA664" s="25"/>
      <c r="AB664" s="25"/>
      <c r="AC664" s="26">
        <v>3</v>
      </c>
      <c r="AD664" s="25"/>
      <c r="AE664" s="25"/>
      <c r="AF664" s="25">
        <v>98</v>
      </c>
      <c r="AG664" s="25"/>
      <c r="AH664" s="25"/>
      <c r="AI664" s="30" t="s">
        <v>117</v>
      </c>
      <c r="AJ664" s="48" t="str">
        <f t="shared" si="24"/>
        <v>一般ユーザー</v>
      </c>
      <c r="AK664" s="10"/>
      <c r="AL664" s="10"/>
      <c r="AM664" s="10"/>
      <c r="AN664" s="10" t="str">
        <f t="shared" si="25"/>
        <v/>
      </c>
      <c r="AO664" s="10" t="str">
        <f t="shared" si="26"/>
        <v>|--</v>
      </c>
      <c r="AP664" s="10"/>
      <c r="AQ664" s="51" t="str">
        <f t="shared" si="27"/>
        <v>箱ラベル</v>
      </c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</row>
    <row r="665" ht="15" spans="1:57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25">
        <v>432</v>
      </c>
      <c r="AA665" s="25"/>
      <c r="AB665" s="25"/>
      <c r="AC665" s="26">
        <v>3</v>
      </c>
      <c r="AD665" s="25"/>
      <c r="AE665" s="25"/>
      <c r="AF665" s="25">
        <v>122</v>
      </c>
      <c r="AG665" s="25"/>
      <c r="AH665" s="25"/>
      <c r="AI665" s="30" t="s">
        <v>117</v>
      </c>
      <c r="AJ665" s="48" t="str">
        <f t="shared" si="24"/>
        <v>一般ユーザー</v>
      </c>
      <c r="AK665" s="10"/>
      <c r="AL665" s="10"/>
      <c r="AM665" s="10"/>
      <c r="AN665" s="10" t="str">
        <f t="shared" si="25"/>
        <v>|----</v>
      </c>
      <c r="AO665" s="10" t="str">
        <f t="shared" si="26"/>
        <v/>
      </c>
      <c r="AP665" s="10"/>
      <c r="AQ665" s="51" t="str">
        <f t="shared" si="27"/>
        <v>設定</v>
      </c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</row>
    <row r="666" ht="15" spans="1:57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25">
        <v>433</v>
      </c>
      <c r="AA666" s="25"/>
      <c r="AB666" s="25"/>
      <c r="AC666" s="26">
        <v>3</v>
      </c>
      <c r="AD666" s="25"/>
      <c r="AE666" s="25"/>
      <c r="AF666" s="25">
        <v>123</v>
      </c>
      <c r="AG666" s="25"/>
      <c r="AH666" s="25"/>
      <c r="AI666" s="30" t="s">
        <v>117</v>
      </c>
      <c r="AJ666" s="48" t="str">
        <f t="shared" si="24"/>
        <v>一般ユーザー</v>
      </c>
      <c r="AK666" s="10"/>
      <c r="AL666" s="10"/>
      <c r="AM666" s="10"/>
      <c r="AN666" s="10" t="str">
        <f t="shared" si="25"/>
        <v/>
      </c>
      <c r="AO666" s="10" t="str">
        <f t="shared" si="26"/>
        <v>|--</v>
      </c>
      <c r="AP666" s="10"/>
      <c r="AQ666" s="51" t="str">
        <f t="shared" si="27"/>
        <v>帳票紐付け</v>
      </c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</row>
    <row r="667" ht="15" spans="1:5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25">
        <v>454</v>
      </c>
      <c r="AA667" s="25"/>
      <c r="AB667" s="25"/>
      <c r="AC667" s="26">
        <v>3</v>
      </c>
      <c r="AD667" s="25"/>
      <c r="AE667" s="25"/>
      <c r="AF667" s="25">
        <v>144</v>
      </c>
      <c r="AG667" s="25"/>
      <c r="AH667" s="25"/>
      <c r="AI667" s="30" t="s">
        <v>117</v>
      </c>
      <c r="AJ667" s="48" t="str">
        <f t="shared" si="24"/>
        <v>一般ユーザー</v>
      </c>
      <c r="AK667" s="10"/>
      <c r="AL667" s="10"/>
      <c r="AM667" s="10"/>
      <c r="AN667" s="10" t="str">
        <f t="shared" si="25"/>
        <v>|----</v>
      </c>
      <c r="AO667" s="10" t="str">
        <f t="shared" si="26"/>
        <v/>
      </c>
      <c r="AP667" s="10"/>
      <c r="AQ667" s="51" t="str">
        <f t="shared" si="27"/>
        <v>ヘルプ</v>
      </c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</row>
    <row r="668" ht="15" spans="1:57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25">
        <v>455</v>
      </c>
      <c r="AA668" s="25"/>
      <c r="AB668" s="25"/>
      <c r="AC668" s="26">
        <v>3</v>
      </c>
      <c r="AD668" s="25"/>
      <c r="AE668" s="25"/>
      <c r="AF668" s="25">
        <v>145</v>
      </c>
      <c r="AG668" s="25"/>
      <c r="AH668" s="25"/>
      <c r="AI668" s="30" t="s">
        <v>117</v>
      </c>
      <c r="AJ668" s="48" t="str">
        <f t="shared" si="24"/>
        <v>一般ユーザー</v>
      </c>
      <c r="AK668" s="10"/>
      <c r="AL668" s="10"/>
      <c r="AM668" s="10"/>
      <c r="AN668" s="10" t="str">
        <f t="shared" si="25"/>
        <v/>
      </c>
      <c r="AO668" s="10" t="str">
        <f t="shared" si="26"/>
        <v>|--</v>
      </c>
      <c r="AP668" s="10"/>
      <c r="AQ668" s="51" t="str">
        <f t="shared" si="27"/>
        <v>設定ガイド</v>
      </c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</row>
    <row r="669" ht="15" spans="1:57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25">
        <v>456</v>
      </c>
      <c r="AA669" s="25"/>
      <c r="AB669" s="25"/>
      <c r="AC669" s="26">
        <v>3</v>
      </c>
      <c r="AD669" s="25"/>
      <c r="AE669" s="25"/>
      <c r="AF669" s="25">
        <v>146</v>
      </c>
      <c r="AG669" s="25"/>
      <c r="AH669" s="25"/>
      <c r="AI669" s="30" t="s">
        <v>117</v>
      </c>
      <c r="AJ669" s="48" t="str">
        <f t="shared" si="24"/>
        <v>一般ユーザー</v>
      </c>
      <c r="AK669" s="10"/>
      <c r="AL669" s="10"/>
      <c r="AM669" s="10"/>
      <c r="AN669" s="10" t="str">
        <f t="shared" si="25"/>
        <v/>
      </c>
      <c r="AO669" s="10" t="str">
        <f t="shared" si="26"/>
        <v>|--</v>
      </c>
      <c r="AP669" s="10"/>
      <c r="AQ669" s="51" t="str">
        <f t="shared" si="27"/>
        <v>基本設定</v>
      </c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</row>
    <row r="670" ht="15" spans="1:57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25">
        <v>457</v>
      </c>
      <c r="AA670" s="25"/>
      <c r="AB670" s="25"/>
      <c r="AC670" s="26">
        <v>3</v>
      </c>
      <c r="AD670" s="25"/>
      <c r="AE670" s="25"/>
      <c r="AF670" s="25">
        <v>147</v>
      </c>
      <c r="AG670" s="25"/>
      <c r="AH670" s="25"/>
      <c r="AI670" s="30" t="s">
        <v>117</v>
      </c>
      <c r="AJ670" s="48" t="str">
        <f t="shared" si="24"/>
        <v>一般ユーザー</v>
      </c>
      <c r="AK670" s="10"/>
      <c r="AL670" s="10"/>
      <c r="AM670" s="10"/>
      <c r="AN670" s="10" t="str">
        <f t="shared" si="25"/>
        <v/>
      </c>
      <c r="AO670" s="10" t="str">
        <f t="shared" si="26"/>
        <v>|--</v>
      </c>
      <c r="AP670" s="10"/>
      <c r="AQ670" s="51" t="str">
        <f t="shared" si="27"/>
        <v>在庫回転率</v>
      </c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</row>
    <row r="671" ht="15" spans="1:57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25">
        <v>458</v>
      </c>
      <c r="AA671" s="25"/>
      <c r="AB671" s="25"/>
      <c r="AC671" s="26">
        <v>3</v>
      </c>
      <c r="AD671" s="25"/>
      <c r="AE671" s="25"/>
      <c r="AF671" s="25">
        <v>148</v>
      </c>
      <c r="AG671" s="25"/>
      <c r="AH671" s="25"/>
      <c r="AI671" s="30" t="s">
        <v>117</v>
      </c>
      <c r="AJ671" s="48" t="str">
        <f t="shared" si="24"/>
        <v>一般ユーザー</v>
      </c>
      <c r="AK671" s="10"/>
      <c r="AL671" s="10"/>
      <c r="AM671" s="10"/>
      <c r="AN671" s="10" t="str">
        <f t="shared" si="25"/>
        <v/>
      </c>
      <c r="AO671" s="10" t="str">
        <f t="shared" si="26"/>
        <v>|--</v>
      </c>
      <c r="AP671" s="10"/>
      <c r="AQ671" s="51" t="str">
        <f t="shared" si="27"/>
        <v>言語設定</v>
      </c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</row>
    <row r="672" ht="15" spans="1:57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25">
        <v>459</v>
      </c>
      <c r="AA672" s="25"/>
      <c r="AB672" s="25"/>
      <c r="AC672" s="26">
        <v>3</v>
      </c>
      <c r="AD672" s="25"/>
      <c r="AE672" s="25"/>
      <c r="AF672" s="25">
        <v>149</v>
      </c>
      <c r="AG672" s="25"/>
      <c r="AH672" s="25"/>
      <c r="AI672" s="30" t="s">
        <v>117</v>
      </c>
      <c r="AJ672" s="48" t="str">
        <f t="shared" si="24"/>
        <v>一般ユーザー</v>
      </c>
      <c r="AK672" s="10"/>
      <c r="AL672" s="10"/>
      <c r="AM672" s="10"/>
      <c r="AN672" s="10" t="str">
        <f t="shared" si="25"/>
        <v/>
      </c>
      <c r="AO672" s="10" t="str">
        <f t="shared" si="26"/>
        <v>|--</v>
      </c>
      <c r="AP672" s="10"/>
      <c r="AQ672" s="51" t="str">
        <f t="shared" si="27"/>
        <v>お支払い</v>
      </c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</row>
    <row r="673" spans="1:57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</row>
    <row r="674" spans="1:57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</row>
    <row r="675" spans="1:57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</row>
    <row r="676" spans="1:57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</row>
    <row r="677" spans="1:5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</row>
  </sheetData>
  <sheetProtection formatCells="0" insertHyperlinks="0" autoFilter="0"/>
  <mergeCells count="185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Z11:AB11"/>
    <mergeCell ref="AC11:AE11"/>
    <mergeCell ref="AF11:AH11"/>
    <mergeCell ref="Z12:AB12"/>
    <mergeCell ref="AC12:AE12"/>
    <mergeCell ref="AF12:AH12"/>
    <mergeCell ref="Z13:AB13"/>
    <mergeCell ref="AC13:AE13"/>
    <mergeCell ref="AF13:AH13"/>
    <mergeCell ref="Z14:AB14"/>
    <mergeCell ref="AC14:AE14"/>
    <mergeCell ref="AF14:AH14"/>
    <mergeCell ref="Z15:AB15"/>
    <mergeCell ref="AC15:AE15"/>
    <mergeCell ref="AF15:AH15"/>
    <mergeCell ref="Z16:AB16"/>
    <mergeCell ref="AC16:AE16"/>
    <mergeCell ref="AF16:AH16"/>
    <mergeCell ref="Z17:AB17"/>
    <mergeCell ref="AC17:AE17"/>
    <mergeCell ref="AF17:AH17"/>
    <mergeCell ref="Z18:AB18"/>
    <mergeCell ref="AC18:AE18"/>
    <mergeCell ref="AF18:AH18"/>
    <mergeCell ref="Z19:AB19"/>
    <mergeCell ref="AC19:AE19"/>
    <mergeCell ref="AF19:AH19"/>
    <mergeCell ref="Z20:AB20"/>
    <mergeCell ref="AC20:AE20"/>
    <mergeCell ref="AF20:AH20"/>
    <mergeCell ref="Z25:AB25"/>
    <mergeCell ref="AC25:AE25"/>
    <mergeCell ref="AF25:AH25"/>
    <mergeCell ref="Z26:AB26"/>
    <mergeCell ref="AC26:AE26"/>
    <mergeCell ref="AF26:AH26"/>
    <mergeCell ref="Z27:AB27"/>
    <mergeCell ref="AC27:AE27"/>
    <mergeCell ref="AF27:AH27"/>
    <mergeCell ref="Z28:AB28"/>
    <mergeCell ref="AC28:AE28"/>
    <mergeCell ref="AF28:AH28"/>
    <mergeCell ref="Z32:AB32"/>
    <mergeCell ref="AC32:AE32"/>
    <mergeCell ref="AF32:AH32"/>
    <mergeCell ref="Z33:AB33"/>
    <mergeCell ref="AC33:AE33"/>
    <mergeCell ref="AF33:AH33"/>
    <mergeCell ref="Z34:AB34"/>
    <mergeCell ref="AC34:AE34"/>
    <mergeCell ref="AF34:AH34"/>
    <mergeCell ref="Z35:AB35"/>
    <mergeCell ref="AC35:AE35"/>
    <mergeCell ref="AF35:AH35"/>
    <mergeCell ref="Z36:AB36"/>
    <mergeCell ref="AC36:AE36"/>
    <mergeCell ref="AF36:AH36"/>
    <mergeCell ref="Z37:AB37"/>
    <mergeCell ref="AC37:AE37"/>
    <mergeCell ref="AF37:AH37"/>
    <mergeCell ref="Z38:AB38"/>
    <mergeCell ref="AC38:AE38"/>
    <mergeCell ref="AF38:AH38"/>
    <mergeCell ref="Z39:AB39"/>
    <mergeCell ref="AC39:AE39"/>
    <mergeCell ref="AF39:AH39"/>
    <mergeCell ref="Z40:AB40"/>
    <mergeCell ref="AC40:AE40"/>
    <mergeCell ref="AF40:AH40"/>
    <mergeCell ref="Z41:AB41"/>
    <mergeCell ref="AC41:AE41"/>
    <mergeCell ref="AF41:AH41"/>
    <mergeCell ref="Z42:AB42"/>
    <mergeCell ref="AC42:AE42"/>
    <mergeCell ref="AF42:AH42"/>
    <mergeCell ref="Z43:AB43"/>
    <mergeCell ref="AC43:AE43"/>
    <mergeCell ref="AF43:AH43"/>
    <mergeCell ref="Z44:AB44"/>
    <mergeCell ref="AC44:AE44"/>
    <mergeCell ref="AF44:AH44"/>
    <mergeCell ref="Z45:AB45"/>
    <mergeCell ref="AC45:AE45"/>
    <mergeCell ref="AF45:AH45"/>
    <mergeCell ref="Z46:AB46"/>
    <mergeCell ref="AC46:AE46"/>
    <mergeCell ref="AF46:AH46"/>
    <mergeCell ref="Z47:AB47"/>
    <mergeCell ref="AC47:AE47"/>
    <mergeCell ref="AF47:AH47"/>
    <mergeCell ref="Z48:AB48"/>
    <mergeCell ref="AC48:AE48"/>
    <mergeCell ref="AF48:AH48"/>
    <mergeCell ref="Z49:AB49"/>
    <mergeCell ref="AC49:AE49"/>
    <mergeCell ref="AF49:AH49"/>
    <mergeCell ref="Z50:AB50"/>
    <mergeCell ref="AC50:AE50"/>
    <mergeCell ref="AF50:AH50"/>
    <mergeCell ref="Z51:AB51"/>
    <mergeCell ref="AC51:AE51"/>
    <mergeCell ref="AF51:AH51"/>
    <mergeCell ref="Z54:AB54"/>
    <mergeCell ref="AC54:AE54"/>
    <mergeCell ref="AF54:AH54"/>
    <mergeCell ref="Z55:AB55"/>
    <mergeCell ref="AC55:AE55"/>
    <mergeCell ref="AF55:AH55"/>
    <mergeCell ref="Z56:AB56"/>
    <mergeCell ref="AC56:AE56"/>
    <mergeCell ref="AF56:AH56"/>
    <mergeCell ref="Z57:AB57"/>
    <mergeCell ref="AC57:AE57"/>
    <mergeCell ref="AF57:AH57"/>
    <mergeCell ref="H94:J94"/>
    <mergeCell ref="K94:N94"/>
    <mergeCell ref="O94:S94"/>
    <mergeCell ref="T94:W94"/>
    <mergeCell ref="AE94:AG94"/>
    <mergeCell ref="AH94:AK94"/>
    <mergeCell ref="AL94:AP94"/>
    <mergeCell ref="AQ94:AT94"/>
    <mergeCell ref="H95:J95"/>
    <mergeCell ref="K95:N95"/>
    <mergeCell ref="O95:S95"/>
    <mergeCell ref="T95:W95"/>
    <mergeCell ref="AE95:AG95"/>
    <mergeCell ref="AH95:AK95"/>
    <mergeCell ref="AL95:AP95"/>
    <mergeCell ref="AQ95:AT95"/>
    <mergeCell ref="H96:J96"/>
    <mergeCell ref="K96:N96"/>
    <mergeCell ref="O96:S96"/>
    <mergeCell ref="T96:W96"/>
    <mergeCell ref="AE96:AG96"/>
    <mergeCell ref="AH96:AK96"/>
    <mergeCell ref="AL96:AP96"/>
    <mergeCell ref="AQ96:AT96"/>
    <mergeCell ref="H97:J97"/>
    <mergeCell ref="K97:N97"/>
    <mergeCell ref="O97:S97"/>
    <mergeCell ref="T97:W97"/>
    <mergeCell ref="AE97:AG97"/>
    <mergeCell ref="AH97:AK97"/>
    <mergeCell ref="AL97:AP97"/>
    <mergeCell ref="AQ97:AT97"/>
    <mergeCell ref="H98:J98"/>
    <mergeCell ref="K98:N98"/>
    <mergeCell ref="O98:S98"/>
    <mergeCell ref="T98:W98"/>
    <mergeCell ref="Z108:AB108"/>
    <mergeCell ref="AC108:AE108"/>
    <mergeCell ref="AF108:AH108"/>
    <mergeCell ref="Z109:AB109"/>
    <mergeCell ref="AC109:AE109"/>
    <mergeCell ref="AF109:AH109"/>
    <mergeCell ref="Z110:AB110"/>
    <mergeCell ref="AC110:AE110"/>
    <mergeCell ref="AF110:AH110"/>
    <mergeCell ref="Z111:AB111"/>
    <mergeCell ref="AC111:AE111"/>
    <mergeCell ref="AF111:AH111"/>
    <mergeCell ref="Z112:AB112"/>
    <mergeCell ref="AC112:AE112"/>
    <mergeCell ref="AF112:AH112"/>
    <mergeCell ref="Z113:AB113"/>
    <mergeCell ref="AC113:AE113"/>
    <mergeCell ref="AF113:AH113"/>
    <mergeCell ref="Z114:AB114"/>
    <mergeCell ref="AC114:AE114"/>
    <mergeCell ref="AF114:AH114"/>
    <mergeCell ref="Z115:AB115"/>
    <mergeCell ref="AC115:AE115"/>
    <mergeCell ref="AF115:AH115"/>
    <mergeCell ref="Z116:AB116"/>
    <mergeCell ref="AC116:AE116"/>
    <mergeCell ref="AF116:AH116"/>
    <mergeCell ref="Z117:AB117"/>
    <mergeCell ref="AC117:AE117"/>
    <mergeCell ref="AF117:AH117"/>
    <mergeCell ref="Z118:AB118"/>
    <mergeCell ref="AC118:AE118"/>
    <mergeCell ref="AF118:AH118"/>
    <mergeCell ref="Z119:AB119"/>
    <mergeCell ref="AC119:AE119"/>
    <mergeCell ref="AF119:AH119"/>
    <mergeCell ref="Z120:AB120"/>
    <mergeCell ref="AC120:AE120"/>
    <mergeCell ref="AF120:AH120"/>
    <mergeCell ref="Z121:AB121"/>
    <mergeCell ref="AC121:AE121"/>
    <mergeCell ref="AF121:AH121"/>
    <mergeCell ref="Z122:AB122"/>
    <mergeCell ref="AC122:AE122"/>
    <mergeCell ref="AF122:AH122"/>
    <mergeCell ref="Z123:AB123"/>
    <mergeCell ref="AC123:AE123"/>
    <mergeCell ref="AF123:AH123"/>
    <mergeCell ref="Z124:AB124"/>
    <mergeCell ref="AC124:AE124"/>
    <mergeCell ref="AF124:AH124"/>
    <mergeCell ref="Z125:AB125"/>
    <mergeCell ref="AC125:AE125"/>
    <mergeCell ref="AF125:AH125"/>
    <mergeCell ref="Z126:AB126"/>
    <mergeCell ref="AC126:AE126"/>
    <mergeCell ref="AF126:AH126"/>
    <mergeCell ref="Z127:AB127"/>
    <mergeCell ref="AC127:AE127"/>
    <mergeCell ref="AF127:AH127"/>
    <mergeCell ref="Z128:AB128"/>
    <mergeCell ref="AC128:AE128"/>
    <mergeCell ref="AF128:AH128"/>
    <mergeCell ref="Z129:AB129"/>
    <mergeCell ref="AC129:AE129"/>
    <mergeCell ref="AF129:AH129"/>
    <mergeCell ref="Z130:AB130"/>
    <mergeCell ref="AC130:AE130"/>
    <mergeCell ref="AF130:AH130"/>
    <mergeCell ref="Z131:AB131"/>
    <mergeCell ref="AC131:AE131"/>
    <mergeCell ref="AF131:AH131"/>
    <mergeCell ref="Z132:AB132"/>
    <mergeCell ref="AC132:AE132"/>
    <mergeCell ref="AF132:AH132"/>
    <mergeCell ref="Z133:AB133"/>
    <mergeCell ref="AC133:AE133"/>
    <mergeCell ref="AF133:AH133"/>
    <mergeCell ref="Z134:AB134"/>
    <mergeCell ref="AC134:AE134"/>
    <mergeCell ref="AF134:AH134"/>
    <mergeCell ref="Z135:AB135"/>
    <mergeCell ref="AC135:AE135"/>
    <mergeCell ref="AF135:AH135"/>
    <mergeCell ref="Z136:AB136"/>
    <mergeCell ref="AC136:AE136"/>
    <mergeCell ref="AF136:AH136"/>
    <mergeCell ref="Z137:AB137"/>
    <mergeCell ref="AC137:AE137"/>
    <mergeCell ref="AF137:AH137"/>
    <mergeCell ref="Z138:AB138"/>
    <mergeCell ref="AC138:AE138"/>
    <mergeCell ref="AF138:AH138"/>
    <mergeCell ref="Z139:AB139"/>
    <mergeCell ref="AC139:AE139"/>
    <mergeCell ref="AF139:AH139"/>
    <mergeCell ref="Z140:AB140"/>
    <mergeCell ref="AC140:AE140"/>
    <mergeCell ref="AF140:AH140"/>
    <mergeCell ref="Z141:AB141"/>
    <mergeCell ref="AC141:AE141"/>
    <mergeCell ref="AF141:AH141"/>
    <mergeCell ref="Z142:AB142"/>
    <mergeCell ref="AC142:AE142"/>
    <mergeCell ref="AF142:AH142"/>
    <mergeCell ref="Z143:AB143"/>
    <mergeCell ref="AC143:AE143"/>
    <mergeCell ref="AF143:AH143"/>
    <mergeCell ref="Z144:AB144"/>
    <mergeCell ref="AC144:AE144"/>
    <mergeCell ref="AF144:AH144"/>
    <mergeCell ref="Z145:AB145"/>
    <mergeCell ref="AC145:AE145"/>
    <mergeCell ref="AF145:AH145"/>
    <mergeCell ref="Z146:AB146"/>
    <mergeCell ref="AC146:AE146"/>
    <mergeCell ref="AF146:AH146"/>
    <mergeCell ref="Z147:AB147"/>
    <mergeCell ref="AC147:AE147"/>
    <mergeCell ref="AF147:AH147"/>
    <mergeCell ref="Z148:AB148"/>
    <mergeCell ref="AC148:AE148"/>
    <mergeCell ref="AF148:AH148"/>
    <mergeCell ref="Z149:AB149"/>
    <mergeCell ref="AC149:AE149"/>
    <mergeCell ref="AF149:AH149"/>
    <mergeCell ref="Z150:AB150"/>
    <mergeCell ref="AC150:AE150"/>
    <mergeCell ref="AF150:AH150"/>
    <mergeCell ref="Z151:AB151"/>
    <mergeCell ref="AC151:AE151"/>
    <mergeCell ref="AF151:AH151"/>
    <mergeCell ref="Z152:AB152"/>
    <mergeCell ref="AC152:AE152"/>
    <mergeCell ref="AF152:AH152"/>
    <mergeCell ref="Z153:AB153"/>
    <mergeCell ref="AC153:AE153"/>
    <mergeCell ref="AF153:AH153"/>
    <mergeCell ref="Z154:AB154"/>
    <mergeCell ref="AC154:AE154"/>
    <mergeCell ref="AF154:AH154"/>
    <mergeCell ref="Z155:AB155"/>
    <mergeCell ref="AC155:AE155"/>
    <mergeCell ref="AF155:AH155"/>
    <mergeCell ref="Z156:AB156"/>
    <mergeCell ref="AC156:AE156"/>
    <mergeCell ref="AF156:AH156"/>
    <mergeCell ref="Z157:AB157"/>
    <mergeCell ref="AC157:AE157"/>
    <mergeCell ref="AF157:AH157"/>
    <mergeCell ref="Z158:AB158"/>
    <mergeCell ref="AC158:AE158"/>
    <mergeCell ref="AF158:AH158"/>
    <mergeCell ref="Z159:AB159"/>
    <mergeCell ref="AC159:AE159"/>
    <mergeCell ref="AF159:AH159"/>
    <mergeCell ref="Z160:AB160"/>
    <mergeCell ref="AC160:AE160"/>
    <mergeCell ref="AF160:AH160"/>
    <mergeCell ref="Z161:AB161"/>
    <mergeCell ref="AC161:AE161"/>
    <mergeCell ref="AF161:AH161"/>
    <mergeCell ref="Z162:AB162"/>
    <mergeCell ref="AC162:AE162"/>
    <mergeCell ref="AF162:AH162"/>
    <mergeCell ref="Z163:AB163"/>
    <mergeCell ref="AC163:AE163"/>
    <mergeCell ref="AF163:AH163"/>
    <mergeCell ref="Z164:AB164"/>
    <mergeCell ref="AC164:AE164"/>
    <mergeCell ref="AF164:AH164"/>
    <mergeCell ref="Z165:AB165"/>
    <mergeCell ref="AC165:AE165"/>
    <mergeCell ref="AF165:AH165"/>
    <mergeCell ref="Z166:AB166"/>
    <mergeCell ref="AC166:AE166"/>
    <mergeCell ref="AF166:AH166"/>
    <mergeCell ref="Z167:AB167"/>
    <mergeCell ref="AC167:AE167"/>
    <mergeCell ref="AF167:AH167"/>
    <mergeCell ref="Z168:AB168"/>
    <mergeCell ref="AC168:AE168"/>
    <mergeCell ref="AF168:AH168"/>
    <mergeCell ref="Z169:AB169"/>
    <mergeCell ref="AC169:AE169"/>
    <mergeCell ref="AF169:AH169"/>
    <mergeCell ref="Z170:AB170"/>
    <mergeCell ref="AC170:AE170"/>
    <mergeCell ref="AF170:AH170"/>
    <mergeCell ref="Z171:AB171"/>
    <mergeCell ref="AC171:AE171"/>
    <mergeCell ref="AF171:AH171"/>
    <mergeCell ref="Z172:AB172"/>
    <mergeCell ref="AC172:AE172"/>
    <mergeCell ref="AF172:AH172"/>
    <mergeCell ref="Z173:AB173"/>
    <mergeCell ref="AC173:AE173"/>
    <mergeCell ref="AF173:AH173"/>
    <mergeCell ref="Z174:AB174"/>
    <mergeCell ref="AC174:AE174"/>
    <mergeCell ref="AF174:AH174"/>
    <mergeCell ref="Z175:AB175"/>
    <mergeCell ref="AC175:AE175"/>
    <mergeCell ref="AF175:AH175"/>
    <mergeCell ref="Z176:AB176"/>
    <mergeCell ref="AC176:AE176"/>
    <mergeCell ref="AF176:AH176"/>
    <mergeCell ref="Z177:AB177"/>
    <mergeCell ref="AC177:AE177"/>
    <mergeCell ref="AF177:AH177"/>
    <mergeCell ref="Z178:AB178"/>
    <mergeCell ref="AC178:AE178"/>
    <mergeCell ref="AF178:AH178"/>
    <mergeCell ref="Z179:AB179"/>
    <mergeCell ref="AC179:AE179"/>
    <mergeCell ref="AF179:AH179"/>
    <mergeCell ref="Z180:AB180"/>
    <mergeCell ref="AC180:AE180"/>
    <mergeCell ref="AF180:AH180"/>
    <mergeCell ref="Z181:AB181"/>
    <mergeCell ref="AC181:AE181"/>
    <mergeCell ref="AF181:AH181"/>
    <mergeCell ref="Z182:AB182"/>
    <mergeCell ref="AC182:AE182"/>
    <mergeCell ref="AF182:AH182"/>
    <mergeCell ref="Z183:AB183"/>
    <mergeCell ref="AC183:AE183"/>
    <mergeCell ref="AF183:AH183"/>
    <mergeCell ref="Z184:AB184"/>
    <mergeCell ref="AC184:AE184"/>
    <mergeCell ref="AF184:AH184"/>
    <mergeCell ref="Z185:AB185"/>
    <mergeCell ref="AC185:AE185"/>
    <mergeCell ref="AF185:AH185"/>
    <mergeCell ref="Z186:AB186"/>
    <mergeCell ref="AC186:AE186"/>
    <mergeCell ref="AF186:AH186"/>
    <mergeCell ref="Z187:AB187"/>
    <mergeCell ref="AC187:AE187"/>
    <mergeCell ref="AF187:AH187"/>
    <mergeCell ref="Z188:AB188"/>
    <mergeCell ref="AC188:AE188"/>
    <mergeCell ref="AF188:AH188"/>
    <mergeCell ref="Z189:AB189"/>
    <mergeCell ref="AC189:AE189"/>
    <mergeCell ref="AF189:AH189"/>
    <mergeCell ref="Z190:AB190"/>
    <mergeCell ref="AC190:AE190"/>
    <mergeCell ref="AF190:AH190"/>
    <mergeCell ref="Z191:AB191"/>
    <mergeCell ref="AC191:AE191"/>
    <mergeCell ref="AF191:AH191"/>
    <mergeCell ref="Z192:AB192"/>
    <mergeCell ref="AC192:AE192"/>
    <mergeCell ref="AF192:AH192"/>
    <mergeCell ref="Z193:AB193"/>
    <mergeCell ref="AC193:AE193"/>
    <mergeCell ref="AF193:AH193"/>
    <mergeCell ref="Z194:AB194"/>
    <mergeCell ref="AC194:AE194"/>
    <mergeCell ref="AF194:AH194"/>
    <mergeCell ref="Z195:AB195"/>
    <mergeCell ref="AC195:AE195"/>
    <mergeCell ref="AF195:AH195"/>
    <mergeCell ref="Z196:AB196"/>
    <mergeCell ref="AC196:AE196"/>
    <mergeCell ref="AF196:AH196"/>
    <mergeCell ref="Z197:AB197"/>
    <mergeCell ref="AC197:AE197"/>
    <mergeCell ref="AF197:AH197"/>
    <mergeCell ref="Z198:AB198"/>
    <mergeCell ref="AC198:AE198"/>
    <mergeCell ref="AF198:AH198"/>
    <mergeCell ref="Z199:AB199"/>
    <mergeCell ref="AC199:AE199"/>
    <mergeCell ref="AF199:AH199"/>
    <mergeCell ref="Z200:AB200"/>
    <mergeCell ref="AC200:AE200"/>
    <mergeCell ref="AF200:AH200"/>
    <mergeCell ref="Z201:AB201"/>
    <mergeCell ref="AC201:AE201"/>
    <mergeCell ref="AF201:AH201"/>
    <mergeCell ref="Z202:AB202"/>
    <mergeCell ref="AC202:AE202"/>
    <mergeCell ref="AF202:AH202"/>
    <mergeCell ref="Z203:AB203"/>
    <mergeCell ref="AC203:AE203"/>
    <mergeCell ref="AF203:AH203"/>
    <mergeCell ref="Z204:AB204"/>
    <mergeCell ref="AC204:AE204"/>
    <mergeCell ref="AF204:AH204"/>
    <mergeCell ref="Z205:AB205"/>
    <mergeCell ref="AC205:AE205"/>
    <mergeCell ref="AF205:AH205"/>
    <mergeCell ref="Z206:AB206"/>
    <mergeCell ref="AC206:AE206"/>
    <mergeCell ref="AF206:AH206"/>
    <mergeCell ref="Z207:AB207"/>
    <mergeCell ref="AC207:AE207"/>
    <mergeCell ref="AF207:AH207"/>
    <mergeCell ref="Z208:AB208"/>
    <mergeCell ref="AC208:AE208"/>
    <mergeCell ref="AF208:AH208"/>
    <mergeCell ref="Z209:AB209"/>
    <mergeCell ref="AC209:AE209"/>
    <mergeCell ref="AF209:AH209"/>
    <mergeCell ref="Z210:AB210"/>
    <mergeCell ref="AC210:AE210"/>
    <mergeCell ref="AF210:AH210"/>
    <mergeCell ref="Z211:AB211"/>
    <mergeCell ref="AC211:AE211"/>
    <mergeCell ref="AF211:AH211"/>
    <mergeCell ref="Z212:AB212"/>
    <mergeCell ref="AC212:AE212"/>
    <mergeCell ref="AF212:AH212"/>
    <mergeCell ref="Z213:AB213"/>
    <mergeCell ref="AC213:AE213"/>
    <mergeCell ref="AF213:AH213"/>
    <mergeCell ref="Z214:AB214"/>
    <mergeCell ref="AC214:AE214"/>
    <mergeCell ref="AF214:AH214"/>
    <mergeCell ref="Z215:AB215"/>
    <mergeCell ref="AC215:AE215"/>
    <mergeCell ref="AF215:AH215"/>
    <mergeCell ref="Z216:AB216"/>
    <mergeCell ref="AC216:AE216"/>
    <mergeCell ref="AF216:AH216"/>
    <mergeCell ref="Z217:AB217"/>
    <mergeCell ref="AC217:AE217"/>
    <mergeCell ref="AF217:AH217"/>
    <mergeCell ref="Z218:AB218"/>
    <mergeCell ref="AC218:AE218"/>
    <mergeCell ref="AF218:AH218"/>
    <mergeCell ref="Z219:AB219"/>
    <mergeCell ref="AC219:AE219"/>
    <mergeCell ref="AF219:AH219"/>
    <mergeCell ref="Z220:AB220"/>
    <mergeCell ref="AC220:AE220"/>
    <mergeCell ref="AF220:AH220"/>
    <mergeCell ref="Z221:AB221"/>
    <mergeCell ref="AC221:AE221"/>
    <mergeCell ref="AF221:AH221"/>
    <mergeCell ref="Z222:AB222"/>
    <mergeCell ref="AC222:AE222"/>
    <mergeCell ref="AF222:AH222"/>
    <mergeCell ref="Z223:AB223"/>
    <mergeCell ref="AC223:AE223"/>
    <mergeCell ref="AF223:AH223"/>
    <mergeCell ref="Z224:AB224"/>
    <mergeCell ref="AC224:AE224"/>
    <mergeCell ref="AF224:AH224"/>
    <mergeCell ref="Z225:AB225"/>
    <mergeCell ref="AC225:AE225"/>
    <mergeCell ref="AF225:AH225"/>
    <mergeCell ref="Z226:AB226"/>
    <mergeCell ref="AC226:AE226"/>
    <mergeCell ref="AF226:AH226"/>
    <mergeCell ref="Z227:AB227"/>
    <mergeCell ref="AC227:AE227"/>
    <mergeCell ref="AF227:AH227"/>
    <mergeCell ref="Z228:AB228"/>
    <mergeCell ref="AC228:AE228"/>
    <mergeCell ref="AF228:AH228"/>
    <mergeCell ref="Z229:AB229"/>
    <mergeCell ref="AC229:AE229"/>
    <mergeCell ref="AF229:AH229"/>
    <mergeCell ref="Z230:AB230"/>
    <mergeCell ref="AC230:AE230"/>
    <mergeCell ref="AF230:AH230"/>
    <mergeCell ref="Z231:AB231"/>
    <mergeCell ref="AC231:AE231"/>
    <mergeCell ref="AF231:AH231"/>
    <mergeCell ref="Z232:AB232"/>
    <mergeCell ref="AC232:AE232"/>
    <mergeCell ref="AF232:AH232"/>
    <mergeCell ref="Z233:AB233"/>
    <mergeCell ref="AC233:AE233"/>
    <mergeCell ref="AF233:AH233"/>
    <mergeCell ref="Z234:AB234"/>
    <mergeCell ref="AC234:AE234"/>
    <mergeCell ref="AF234:AH234"/>
    <mergeCell ref="Z235:AB235"/>
    <mergeCell ref="AC235:AE235"/>
    <mergeCell ref="AF235:AH235"/>
    <mergeCell ref="Z236:AB236"/>
    <mergeCell ref="AC236:AE236"/>
    <mergeCell ref="AF236:AH236"/>
    <mergeCell ref="Z237:AB237"/>
    <mergeCell ref="AC237:AE237"/>
    <mergeCell ref="AF237:AH237"/>
    <mergeCell ref="Z238:AB238"/>
    <mergeCell ref="AC238:AE238"/>
    <mergeCell ref="AF238:AH238"/>
    <mergeCell ref="Z239:AB239"/>
    <mergeCell ref="AC239:AE239"/>
    <mergeCell ref="AF239:AH239"/>
    <mergeCell ref="Z240:AB240"/>
    <mergeCell ref="AC240:AE240"/>
    <mergeCell ref="AF240:AH240"/>
    <mergeCell ref="Z241:AB241"/>
    <mergeCell ref="AC241:AE241"/>
    <mergeCell ref="AF241:AH241"/>
    <mergeCell ref="Z242:AB242"/>
    <mergeCell ref="AC242:AE242"/>
    <mergeCell ref="AF242:AH242"/>
    <mergeCell ref="Z243:AB243"/>
    <mergeCell ref="AC243:AE243"/>
    <mergeCell ref="AF243:AH243"/>
    <mergeCell ref="Z244:AB244"/>
    <mergeCell ref="AC244:AE244"/>
    <mergeCell ref="AF244:AH244"/>
    <mergeCell ref="Z245:AB245"/>
    <mergeCell ref="AC245:AE245"/>
    <mergeCell ref="AF245:AH245"/>
    <mergeCell ref="Z246:AB246"/>
    <mergeCell ref="AC246:AE246"/>
    <mergeCell ref="AF246:AH246"/>
    <mergeCell ref="Z247:AB247"/>
    <mergeCell ref="AC247:AE247"/>
    <mergeCell ref="AF247:AH247"/>
    <mergeCell ref="Z248:AB248"/>
    <mergeCell ref="AC248:AE248"/>
    <mergeCell ref="AF248:AH248"/>
    <mergeCell ref="Z249:AB249"/>
    <mergeCell ref="AC249:AE249"/>
    <mergeCell ref="AF249:AH249"/>
    <mergeCell ref="Z250:AB250"/>
    <mergeCell ref="AC250:AE250"/>
    <mergeCell ref="AF250:AH250"/>
    <mergeCell ref="Z251:AB251"/>
    <mergeCell ref="AC251:AE251"/>
    <mergeCell ref="AF251:AH251"/>
    <mergeCell ref="Z252:AB252"/>
    <mergeCell ref="AC252:AE252"/>
    <mergeCell ref="AF252:AH252"/>
    <mergeCell ref="Z253:AB253"/>
    <mergeCell ref="AC253:AE253"/>
    <mergeCell ref="AF253:AH253"/>
    <mergeCell ref="Z254:AB254"/>
    <mergeCell ref="AC254:AE254"/>
    <mergeCell ref="AF254:AH254"/>
    <mergeCell ref="Z255:AB255"/>
    <mergeCell ref="AC255:AE255"/>
    <mergeCell ref="AF255:AH255"/>
    <mergeCell ref="Z256:AB256"/>
    <mergeCell ref="AC256:AE256"/>
    <mergeCell ref="AF256:AH256"/>
    <mergeCell ref="Z257:AB257"/>
    <mergeCell ref="AC257:AE257"/>
    <mergeCell ref="AF257:AH257"/>
    <mergeCell ref="Z258:AB258"/>
    <mergeCell ref="AC258:AE258"/>
    <mergeCell ref="AF258:AH258"/>
    <mergeCell ref="Z259:AB259"/>
    <mergeCell ref="AC259:AE259"/>
    <mergeCell ref="AF259:AH259"/>
    <mergeCell ref="Z260:AB260"/>
    <mergeCell ref="AC260:AE260"/>
    <mergeCell ref="AF260:AH260"/>
    <mergeCell ref="Z261:AB261"/>
    <mergeCell ref="AC261:AE261"/>
    <mergeCell ref="AF261:AH261"/>
    <mergeCell ref="Z262:AB262"/>
    <mergeCell ref="AC262:AE262"/>
    <mergeCell ref="AF262:AH262"/>
    <mergeCell ref="Z263:AB263"/>
    <mergeCell ref="AC263:AE263"/>
    <mergeCell ref="AF263:AH263"/>
    <mergeCell ref="Z267:AB267"/>
    <mergeCell ref="AC267:AE267"/>
    <mergeCell ref="AF267:AH267"/>
    <mergeCell ref="AJ267:AL267"/>
    <mergeCell ref="Z268:AB268"/>
    <mergeCell ref="AC268:AE268"/>
    <mergeCell ref="AF268:AH268"/>
    <mergeCell ref="Z269:AB269"/>
    <mergeCell ref="AC269:AE269"/>
    <mergeCell ref="AF269:AH269"/>
    <mergeCell ref="Z270:AB270"/>
    <mergeCell ref="AC270:AE270"/>
    <mergeCell ref="AF270:AH270"/>
    <mergeCell ref="Z271:AB271"/>
    <mergeCell ref="AC271:AE271"/>
    <mergeCell ref="AF271:AH271"/>
    <mergeCell ref="Z272:AB272"/>
    <mergeCell ref="AC272:AE272"/>
    <mergeCell ref="AF272:AH272"/>
    <mergeCell ref="Z273:AB273"/>
    <mergeCell ref="AC273:AE273"/>
    <mergeCell ref="AF273:AH273"/>
    <mergeCell ref="Z274:AB274"/>
    <mergeCell ref="AC274:AE274"/>
    <mergeCell ref="AF274:AH274"/>
    <mergeCell ref="Z275:AB275"/>
    <mergeCell ref="AC275:AE275"/>
    <mergeCell ref="AF275:AH275"/>
    <mergeCell ref="Z276:AB276"/>
    <mergeCell ref="AC276:AE276"/>
    <mergeCell ref="AF276:AH276"/>
    <mergeCell ref="Z277:AB277"/>
    <mergeCell ref="AC277:AE277"/>
    <mergeCell ref="AF277:AH277"/>
    <mergeCell ref="Z278:AB278"/>
    <mergeCell ref="AC278:AE278"/>
    <mergeCell ref="AF278:AH278"/>
    <mergeCell ref="Z279:AB279"/>
    <mergeCell ref="AC279:AE279"/>
    <mergeCell ref="AF279:AH279"/>
    <mergeCell ref="Z280:AB280"/>
    <mergeCell ref="AC280:AE280"/>
    <mergeCell ref="AF280:AH280"/>
    <mergeCell ref="Z281:AB281"/>
    <mergeCell ref="AC281:AE281"/>
    <mergeCell ref="AF281:AH281"/>
    <mergeCell ref="Z282:AB282"/>
    <mergeCell ref="AC282:AE282"/>
    <mergeCell ref="AF282:AH282"/>
    <mergeCell ref="Z283:AB283"/>
    <mergeCell ref="AC283:AE283"/>
    <mergeCell ref="AF283:AH283"/>
    <mergeCell ref="Z284:AB284"/>
    <mergeCell ref="AC284:AE284"/>
    <mergeCell ref="AF284:AH284"/>
    <mergeCell ref="Z285:AB285"/>
    <mergeCell ref="AC285:AE285"/>
    <mergeCell ref="AF285:AH285"/>
    <mergeCell ref="Z286:AB286"/>
    <mergeCell ref="AC286:AE286"/>
    <mergeCell ref="AF286:AH286"/>
    <mergeCell ref="Z287:AB287"/>
    <mergeCell ref="AC287:AE287"/>
    <mergeCell ref="AF287:AH287"/>
    <mergeCell ref="Z288:AB288"/>
    <mergeCell ref="AC288:AE288"/>
    <mergeCell ref="AF288:AH288"/>
    <mergeCell ref="Z289:AB289"/>
    <mergeCell ref="AC289:AE289"/>
    <mergeCell ref="AF289:AH289"/>
    <mergeCell ref="Z290:AB290"/>
    <mergeCell ref="AC290:AE290"/>
    <mergeCell ref="AF290:AH290"/>
    <mergeCell ref="Z291:AB291"/>
    <mergeCell ref="AC291:AE291"/>
    <mergeCell ref="AF291:AH291"/>
    <mergeCell ref="Z292:AB292"/>
    <mergeCell ref="AC292:AE292"/>
    <mergeCell ref="AF292:AH292"/>
    <mergeCell ref="Z293:AB293"/>
    <mergeCell ref="AC293:AE293"/>
    <mergeCell ref="AF293:AH293"/>
    <mergeCell ref="Z294:AB294"/>
    <mergeCell ref="AC294:AE294"/>
    <mergeCell ref="AF294:AH294"/>
    <mergeCell ref="Z295:AB295"/>
    <mergeCell ref="AC295:AE295"/>
    <mergeCell ref="AF295:AH295"/>
    <mergeCell ref="Z296:AB296"/>
    <mergeCell ref="AC296:AE296"/>
    <mergeCell ref="AF296:AH296"/>
    <mergeCell ref="Z297:AB297"/>
    <mergeCell ref="AC297:AE297"/>
    <mergeCell ref="AF297:AH297"/>
    <mergeCell ref="Z298:AB298"/>
    <mergeCell ref="AC298:AE298"/>
    <mergeCell ref="AF298:AH298"/>
    <mergeCell ref="Z299:AB299"/>
    <mergeCell ref="AC299:AE299"/>
    <mergeCell ref="AF299:AH299"/>
    <mergeCell ref="Z300:AB300"/>
    <mergeCell ref="AC300:AE300"/>
    <mergeCell ref="AF300:AH300"/>
    <mergeCell ref="Z301:AB301"/>
    <mergeCell ref="AC301:AE301"/>
    <mergeCell ref="AF301:AH301"/>
    <mergeCell ref="Z302:AB302"/>
    <mergeCell ref="AC302:AE302"/>
    <mergeCell ref="AF302:AH302"/>
    <mergeCell ref="Z303:AB303"/>
    <mergeCell ref="AC303:AE303"/>
    <mergeCell ref="AF303:AH303"/>
    <mergeCell ref="Z304:AB304"/>
    <mergeCell ref="AC304:AE304"/>
    <mergeCell ref="AF304:AH304"/>
    <mergeCell ref="Z305:AB305"/>
    <mergeCell ref="AC305:AE305"/>
    <mergeCell ref="AF305:AH305"/>
    <mergeCell ref="Z306:AB306"/>
    <mergeCell ref="AC306:AE306"/>
    <mergeCell ref="AF306:AH306"/>
    <mergeCell ref="Z307:AB307"/>
    <mergeCell ref="AC307:AE307"/>
    <mergeCell ref="AF307:AH307"/>
    <mergeCell ref="Z308:AB308"/>
    <mergeCell ref="AC308:AE308"/>
    <mergeCell ref="AF308:AH308"/>
    <mergeCell ref="Z309:AB309"/>
    <mergeCell ref="AC309:AE309"/>
    <mergeCell ref="AF309:AH309"/>
    <mergeCell ref="Z310:AB310"/>
    <mergeCell ref="AC310:AE310"/>
    <mergeCell ref="AF310:AH310"/>
    <mergeCell ref="Z311:AB311"/>
    <mergeCell ref="AC311:AE311"/>
    <mergeCell ref="AF311:AH311"/>
    <mergeCell ref="Z312:AB312"/>
    <mergeCell ref="AC312:AE312"/>
    <mergeCell ref="AF312:AH312"/>
    <mergeCell ref="Z313:AB313"/>
    <mergeCell ref="AC313:AE313"/>
    <mergeCell ref="AF313:AH313"/>
    <mergeCell ref="Z314:AB314"/>
    <mergeCell ref="AC314:AE314"/>
    <mergeCell ref="AF314:AH314"/>
    <mergeCell ref="Z315:AB315"/>
    <mergeCell ref="AC315:AE315"/>
    <mergeCell ref="AF315:AH315"/>
    <mergeCell ref="Z316:AB316"/>
    <mergeCell ref="AC316:AE316"/>
    <mergeCell ref="AF316:AH316"/>
    <mergeCell ref="Z317:AB317"/>
    <mergeCell ref="AC317:AE317"/>
    <mergeCell ref="AF317:AH317"/>
    <mergeCell ref="Z318:AB318"/>
    <mergeCell ref="AC318:AE318"/>
    <mergeCell ref="AF318:AH318"/>
    <mergeCell ref="Z319:AB319"/>
    <mergeCell ref="AC319:AE319"/>
    <mergeCell ref="AF319:AH319"/>
    <mergeCell ref="Z320:AB320"/>
    <mergeCell ref="AC320:AE320"/>
    <mergeCell ref="AF320:AH320"/>
    <mergeCell ref="Z321:AB321"/>
    <mergeCell ref="AC321:AE321"/>
    <mergeCell ref="AF321:AH321"/>
    <mergeCell ref="Z322:AB322"/>
    <mergeCell ref="AC322:AE322"/>
    <mergeCell ref="AF322:AH322"/>
    <mergeCell ref="Z323:AB323"/>
    <mergeCell ref="AC323:AE323"/>
    <mergeCell ref="AF323:AH323"/>
    <mergeCell ref="Z324:AB324"/>
    <mergeCell ref="AC324:AE324"/>
    <mergeCell ref="AF324:AH324"/>
    <mergeCell ref="Z325:AB325"/>
    <mergeCell ref="AC325:AE325"/>
    <mergeCell ref="AF325:AH325"/>
    <mergeCell ref="Z326:AB326"/>
    <mergeCell ref="AC326:AE326"/>
    <mergeCell ref="AF326:AH326"/>
    <mergeCell ref="Z327:AB327"/>
    <mergeCell ref="AC327:AE327"/>
    <mergeCell ref="AF327:AH327"/>
    <mergeCell ref="Z328:AB328"/>
    <mergeCell ref="AC328:AE328"/>
    <mergeCell ref="AF328:AH328"/>
    <mergeCell ref="Z329:AB329"/>
    <mergeCell ref="AC329:AE329"/>
    <mergeCell ref="AF329:AH329"/>
    <mergeCell ref="Z330:AB330"/>
    <mergeCell ref="AC330:AE330"/>
    <mergeCell ref="AF330:AH330"/>
    <mergeCell ref="Z331:AB331"/>
    <mergeCell ref="AC331:AE331"/>
    <mergeCell ref="AF331:AH331"/>
    <mergeCell ref="Z332:AB332"/>
    <mergeCell ref="AC332:AE332"/>
    <mergeCell ref="AF332:AH332"/>
    <mergeCell ref="Z333:AB333"/>
    <mergeCell ref="AC333:AE333"/>
    <mergeCell ref="AF333:AH333"/>
    <mergeCell ref="Z334:AB334"/>
    <mergeCell ref="AC334:AE334"/>
    <mergeCell ref="AF334:AH334"/>
    <mergeCell ref="Z335:AB335"/>
    <mergeCell ref="AC335:AE335"/>
    <mergeCell ref="AF335:AH335"/>
    <mergeCell ref="Z336:AB336"/>
    <mergeCell ref="AC336:AE336"/>
    <mergeCell ref="AF336:AH336"/>
    <mergeCell ref="Z337:AB337"/>
    <mergeCell ref="AC337:AE337"/>
    <mergeCell ref="AF337:AH337"/>
    <mergeCell ref="Z338:AB338"/>
    <mergeCell ref="AC338:AE338"/>
    <mergeCell ref="AF338:AH338"/>
    <mergeCell ref="Z339:AB339"/>
    <mergeCell ref="AC339:AE339"/>
    <mergeCell ref="AF339:AH339"/>
    <mergeCell ref="Z340:AB340"/>
    <mergeCell ref="AC340:AE340"/>
    <mergeCell ref="AF340:AH340"/>
    <mergeCell ref="Z341:AB341"/>
    <mergeCell ref="AC341:AE341"/>
    <mergeCell ref="AF341:AH341"/>
    <mergeCell ref="Z342:AB342"/>
    <mergeCell ref="AC342:AE342"/>
    <mergeCell ref="AF342:AH342"/>
    <mergeCell ref="Z343:AB343"/>
    <mergeCell ref="AC343:AE343"/>
    <mergeCell ref="AF343:AH343"/>
    <mergeCell ref="Z344:AB344"/>
    <mergeCell ref="AC344:AE344"/>
    <mergeCell ref="AF344:AH344"/>
    <mergeCell ref="Z345:AB345"/>
    <mergeCell ref="AC345:AE345"/>
    <mergeCell ref="AF345:AH345"/>
    <mergeCell ref="Z346:AB346"/>
    <mergeCell ref="AC346:AE346"/>
    <mergeCell ref="AF346:AH346"/>
    <mergeCell ref="Z347:AB347"/>
    <mergeCell ref="AC347:AE347"/>
    <mergeCell ref="AF347:AH347"/>
    <mergeCell ref="Z348:AB348"/>
    <mergeCell ref="AC348:AE348"/>
    <mergeCell ref="AF348:AH348"/>
    <mergeCell ref="Z349:AB349"/>
    <mergeCell ref="AC349:AE349"/>
    <mergeCell ref="AF349:AH349"/>
    <mergeCell ref="Z350:AB350"/>
    <mergeCell ref="AC350:AE350"/>
    <mergeCell ref="AF350:AH350"/>
    <mergeCell ref="Z351:AB351"/>
    <mergeCell ref="AC351:AE351"/>
    <mergeCell ref="AF351:AH351"/>
    <mergeCell ref="Z352:AB352"/>
    <mergeCell ref="AC352:AE352"/>
    <mergeCell ref="AF352:AH352"/>
    <mergeCell ref="Z353:AB353"/>
    <mergeCell ref="AC353:AE353"/>
    <mergeCell ref="AF353:AH353"/>
    <mergeCell ref="Z354:AB354"/>
    <mergeCell ref="AC354:AE354"/>
    <mergeCell ref="AF354:AH354"/>
    <mergeCell ref="Z355:AB355"/>
    <mergeCell ref="AC355:AE355"/>
    <mergeCell ref="AF355:AH355"/>
    <mergeCell ref="Z356:AB356"/>
    <mergeCell ref="AC356:AE356"/>
    <mergeCell ref="AF356:AH356"/>
    <mergeCell ref="Z357:AB357"/>
    <mergeCell ref="AC357:AE357"/>
    <mergeCell ref="AF357:AH357"/>
    <mergeCell ref="Z358:AB358"/>
    <mergeCell ref="AC358:AE358"/>
    <mergeCell ref="AF358:AH358"/>
    <mergeCell ref="Z359:AB359"/>
    <mergeCell ref="AC359:AE359"/>
    <mergeCell ref="AF359:AH359"/>
    <mergeCell ref="Z360:AB360"/>
    <mergeCell ref="AC360:AE360"/>
    <mergeCell ref="AF360:AH360"/>
    <mergeCell ref="Z361:AB361"/>
    <mergeCell ref="AC361:AE361"/>
    <mergeCell ref="AF361:AH361"/>
    <mergeCell ref="Z362:AB362"/>
    <mergeCell ref="AC362:AE362"/>
    <mergeCell ref="AF362:AH362"/>
    <mergeCell ref="Z363:AB363"/>
    <mergeCell ref="AC363:AE363"/>
    <mergeCell ref="AF363:AH363"/>
    <mergeCell ref="Z364:AB364"/>
    <mergeCell ref="AC364:AE364"/>
    <mergeCell ref="AF364:AH364"/>
    <mergeCell ref="Z365:AB365"/>
    <mergeCell ref="AC365:AE365"/>
    <mergeCell ref="AF365:AH365"/>
    <mergeCell ref="Z366:AB366"/>
    <mergeCell ref="AC366:AE366"/>
    <mergeCell ref="AF366:AH366"/>
    <mergeCell ref="Z367:AB367"/>
    <mergeCell ref="AC367:AE367"/>
    <mergeCell ref="AF367:AH367"/>
    <mergeCell ref="Z368:AB368"/>
    <mergeCell ref="AC368:AE368"/>
    <mergeCell ref="AF368:AH368"/>
    <mergeCell ref="Z369:AB369"/>
    <mergeCell ref="AC369:AE369"/>
    <mergeCell ref="AF369:AH369"/>
    <mergeCell ref="Z370:AB370"/>
    <mergeCell ref="AC370:AE370"/>
    <mergeCell ref="AF370:AH370"/>
    <mergeCell ref="Z371:AB371"/>
    <mergeCell ref="AC371:AE371"/>
    <mergeCell ref="AF371:AH371"/>
    <mergeCell ref="Z372:AB372"/>
    <mergeCell ref="AC372:AE372"/>
    <mergeCell ref="AF372:AH372"/>
    <mergeCell ref="Z373:AB373"/>
    <mergeCell ref="AC373:AE373"/>
    <mergeCell ref="AF373:AH373"/>
    <mergeCell ref="Z374:AB374"/>
    <mergeCell ref="AC374:AE374"/>
    <mergeCell ref="AF374:AH374"/>
    <mergeCell ref="Z375:AB375"/>
    <mergeCell ref="AC375:AE375"/>
    <mergeCell ref="AF375:AH375"/>
    <mergeCell ref="Z376:AB376"/>
    <mergeCell ref="AC376:AE376"/>
    <mergeCell ref="AF376:AH376"/>
    <mergeCell ref="Z377:AB377"/>
    <mergeCell ref="AC377:AE377"/>
    <mergeCell ref="AF377:AH377"/>
    <mergeCell ref="Z378:AB378"/>
    <mergeCell ref="AC378:AE378"/>
    <mergeCell ref="AF378:AH378"/>
    <mergeCell ref="Z379:AB379"/>
    <mergeCell ref="AC379:AE379"/>
    <mergeCell ref="AF379:AH379"/>
    <mergeCell ref="Z380:AB380"/>
    <mergeCell ref="AC380:AE380"/>
    <mergeCell ref="AF380:AH380"/>
    <mergeCell ref="Z381:AB381"/>
    <mergeCell ref="AC381:AE381"/>
    <mergeCell ref="AF381:AH381"/>
    <mergeCell ref="Z382:AB382"/>
    <mergeCell ref="AC382:AE382"/>
    <mergeCell ref="AF382:AH382"/>
    <mergeCell ref="Z383:AB383"/>
    <mergeCell ref="AC383:AE383"/>
    <mergeCell ref="AF383:AH383"/>
    <mergeCell ref="Z384:AB384"/>
    <mergeCell ref="AC384:AE384"/>
    <mergeCell ref="AF384:AH384"/>
    <mergeCell ref="Z385:AB385"/>
    <mergeCell ref="AC385:AE385"/>
    <mergeCell ref="AF385:AH385"/>
    <mergeCell ref="Z386:AB386"/>
    <mergeCell ref="AC386:AE386"/>
    <mergeCell ref="AF386:AH386"/>
    <mergeCell ref="Z387:AB387"/>
    <mergeCell ref="AC387:AE387"/>
    <mergeCell ref="AF387:AH387"/>
    <mergeCell ref="Z388:AB388"/>
    <mergeCell ref="AC388:AE388"/>
    <mergeCell ref="AF388:AH388"/>
    <mergeCell ref="Z389:AB389"/>
    <mergeCell ref="AC389:AE389"/>
    <mergeCell ref="AF389:AH389"/>
    <mergeCell ref="Z390:AB390"/>
    <mergeCell ref="AC390:AE390"/>
    <mergeCell ref="AF390:AH390"/>
    <mergeCell ref="Z391:AB391"/>
    <mergeCell ref="AC391:AE391"/>
    <mergeCell ref="AF391:AH391"/>
    <mergeCell ref="Z392:AB392"/>
    <mergeCell ref="AC392:AE392"/>
    <mergeCell ref="AF392:AH392"/>
    <mergeCell ref="Z393:AB393"/>
    <mergeCell ref="AC393:AE393"/>
    <mergeCell ref="AF393:AH393"/>
    <mergeCell ref="Z394:AB394"/>
    <mergeCell ref="AC394:AE394"/>
    <mergeCell ref="AF394:AH394"/>
    <mergeCell ref="Z395:AB395"/>
    <mergeCell ref="AC395:AE395"/>
    <mergeCell ref="AF395:AH395"/>
    <mergeCell ref="Z396:AB396"/>
    <mergeCell ref="AC396:AE396"/>
    <mergeCell ref="AF396:AH396"/>
    <mergeCell ref="Z397:AB397"/>
    <mergeCell ref="AC397:AE397"/>
    <mergeCell ref="AF397:AH397"/>
    <mergeCell ref="Z398:AB398"/>
    <mergeCell ref="AC398:AE398"/>
    <mergeCell ref="AF398:AH398"/>
    <mergeCell ref="Z399:AB399"/>
    <mergeCell ref="AC399:AE399"/>
    <mergeCell ref="AF399:AH399"/>
    <mergeCell ref="Z400:AB400"/>
    <mergeCell ref="AC400:AE400"/>
    <mergeCell ref="AF400:AH400"/>
    <mergeCell ref="Z401:AB401"/>
    <mergeCell ref="AC401:AE401"/>
    <mergeCell ref="AF401:AH401"/>
    <mergeCell ref="Z402:AB402"/>
    <mergeCell ref="AC402:AE402"/>
    <mergeCell ref="AF402:AH402"/>
    <mergeCell ref="Z403:AB403"/>
    <mergeCell ref="AC403:AE403"/>
    <mergeCell ref="AF403:AH403"/>
    <mergeCell ref="Z404:AB404"/>
    <mergeCell ref="AC404:AE404"/>
    <mergeCell ref="AF404:AH404"/>
    <mergeCell ref="Z405:AB405"/>
    <mergeCell ref="AC405:AE405"/>
    <mergeCell ref="AF405:AH405"/>
    <mergeCell ref="Z406:AB406"/>
    <mergeCell ref="AC406:AE406"/>
    <mergeCell ref="AF406:AH406"/>
    <mergeCell ref="Z407:AB407"/>
    <mergeCell ref="AC407:AE407"/>
    <mergeCell ref="AF407:AH407"/>
    <mergeCell ref="Z408:AB408"/>
    <mergeCell ref="AC408:AE408"/>
    <mergeCell ref="AF408:AH408"/>
    <mergeCell ref="Z409:AB409"/>
    <mergeCell ref="AC409:AE409"/>
    <mergeCell ref="AF409:AH409"/>
    <mergeCell ref="Z410:AB410"/>
    <mergeCell ref="AC410:AE410"/>
    <mergeCell ref="AF410:AH410"/>
    <mergeCell ref="Z411:AB411"/>
    <mergeCell ref="AC411:AE411"/>
    <mergeCell ref="AF411:AH411"/>
    <mergeCell ref="Z412:AB412"/>
    <mergeCell ref="AC412:AE412"/>
    <mergeCell ref="AF412:AH412"/>
    <mergeCell ref="Z413:AB413"/>
    <mergeCell ref="AC413:AE413"/>
    <mergeCell ref="AF413:AH413"/>
    <mergeCell ref="Z414:AB414"/>
    <mergeCell ref="AC414:AE414"/>
    <mergeCell ref="AF414:AH414"/>
    <mergeCell ref="Z415:AB415"/>
    <mergeCell ref="AC415:AE415"/>
    <mergeCell ref="AF415:AH415"/>
    <mergeCell ref="Z416:AB416"/>
    <mergeCell ref="AC416:AE416"/>
    <mergeCell ref="AF416:AH416"/>
    <mergeCell ref="Z417:AB417"/>
    <mergeCell ref="AC417:AE417"/>
    <mergeCell ref="AF417:AH417"/>
    <mergeCell ref="Z418:AB418"/>
    <mergeCell ref="AC418:AE418"/>
    <mergeCell ref="AF418:AH418"/>
    <mergeCell ref="Z419:AB419"/>
    <mergeCell ref="AC419:AE419"/>
    <mergeCell ref="AF419:AH419"/>
    <mergeCell ref="Z420:AB420"/>
    <mergeCell ref="AC420:AE420"/>
    <mergeCell ref="AF420:AH420"/>
    <mergeCell ref="Z421:AB421"/>
    <mergeCell ref="AC421:AE421"/>
    <mergeCell ref="AF421:AH421"/>
    <mergeCell ref="Z422:AB422"/>
    <mergeCell ref="AC422:AE422"/>
    <mergeCell ref="AF422:AH422"/>
    <mergeCell ref="Z423:AB423"/>
    <mergeCell ref="AC423:AE423"/>
    <mergeCell ref="AF423:AH423"/>
    <mergeCell ref="Z424:AB424"/>
    <mergeCell ref="AC424:AE424"/>
    <mergeCell ref="AF424:AH424"/>
    <mergeCell ref="Z425:AB425"/>
    <mergeCell ref="AC425:AE425"/>
    <mergeCell ref="AF425:AH425"/>
    <mergeCell ref="Z426:AB426"/>
    <mergeCell ref="AC426:AE426"/>
    <mergeCell ref="AF426:AH426"/>
    <mergeCell ref="Z427:AB427"/>
    <mergeCell ref="AC427:AE427"/>
    <mergeCell ref="AF427:AH427"/>
    <mergeCell ref="Z428:AB428"/>
    <mergeCell ref="AC428:AE428"/>
    <mergeCell ref="AF428:AH428"/>
    <mergeCell ref="Z429:AB429"/>
    <mergeCell ref="AC429:AE429"/>
    <mergeCell ref="AF429:AH429"/>
    <mergeCell ref="Z430:AB430"/>
    <mergeCell ref="AC430:AE430"/>
    <mergeCell ref="AF430:AH430"/>
    <mergeCell ref="Z431:AB431"/>
    <mergeCell ref="AC431:AE431"/>
    <mergeCell ref="AF431:AH431"/>
    <mergeCell ref="Z432:AB432"/>
    <mergeCell ref="AC432:AE432"/>
    <mergeCell ref="AF432:AH432"/>
    <mergeCell ref="Z433:AB433"/>
    <mergeCell ref="AC433:AE433"/>
    <mergeCell ref="AF433:AH433"/>
    <mergeCell ref="Z434:AB434"/>
    <mergeCell ref="AC434:AE434"/>
    <mergeCell ref="AF434:AH434"/>
    <mergeCell ref="Z435:AB435"/>
    <mergeCell ref="AC435:AE435"/>
    <mergeCell ref="AF435:AH435"/>
    <mergeCell ref="Z436:AB436"/>
    <mergeCell ref="AC436:AE436"/>
    <mergeCell ref="AF436:AH436"/>
    <mergeCell ref="Z437:AB437"/>
    <mergeCell ref="AC437:AE437"/>
    <mergeCell ref="AF437:AH437"/>
    <mergeCell ref="Z438:AB438"/>
    <mergeCell ref="AC438:AE438"/>
    <mergeCell ref="AF438:AH438"/>
    <mergeCell ref="Z439:AB439"/>
    <mergeCell ref="AC439:AE439"/>
    <mergeCell ref="AF439:AH439"/>
    <mergeCell ref="Z440:AB440"/>
    <mergeCell ref="AC440:AE440"/>
    <mergeCell ref="AF440:AH440"/>
    <mergeCell ref="Z441:AB441"/>
    <mergeCell ref="AC441:AE441"/>
    <mergeCell ref="AF441:AH441"/>
    <mergeCell ref="Z442:AB442"/>
    <mergeCell ref="AC442:AE442"/>
    <mergeCell ref="AF442:AH442"/>
    <mergeCell ref="Z443:AB443"/>
    <mergeCell ref="AC443:AE443"/>
    <mergeCell ref="AF443:AH443"/>
    <mergeCell ref="Z444:AB444"/>
    <mergeCell ref="AC444:AE444"/>
    <mergeCell ref="AF444:AH444"/>
    <mergeCell ref="Z445:AB445"/>
    <mergeCell ref="AC445:AE445"/>
    <mergeCell ref="AF445:AH445"/>
    <mergeCell ref="Z446:AB446"/>
    <mergeCell ref="AC446:AE446"/>
    <mergeCell ref="AF446:AH446"/>
    <mergeCell ref="Z447:AB447"/>
    <mergeCell ref="AC447:AE447"/>
    <mergeCell ref="AF447:AH447"/>
    <mergeCell ref="Z448:AB448"/>
    <mergeCell ref="AC448:AE448"/>
    <mergeCell ref="AF448:AH448"/>
    <mergeCell ref="Z449:AB449"/>
    <mergeCell ref="AC449:AE449"/>
    <mergeCell ref="AF449:AH449"/>
    <mergeCell ref="Z450:AB450"/>
    <mergeCell ref="AC450:AE450"/>
    <mergeCell ref="AF450:AH450"/>
    <mergeCell ref="Z451:AB451"/>
    <mergeCell ref="AC451:AE451"/>
    <mergeCell ref="AF451:AH451"/>
    <mergeCell ref="Z452:AB452"/>
    <mergeCell ref="AC452:AE452"/>
    <mergeCell ref="AF452:AH452"/>
    <mergeCell ref="Z453:AB453"/>
    <mergeCell ref="AC453:AE453"/>
    <mergeCell ref="AF453:AH453"/>
    <mergeCell ref="Z454:AB454"/>
    <mergeCell ref="AC454:AE454"/>
    <mergeCell ref="AF454:AH454"/>
    <mergeCell ref="Z455:AB455"/>
    <mergeCell ref="AC455:AE455"/>
    <mergeCell ref="AF455:AH455"/>
    <mergeCell ref="Z456:AB456"/>
    <mergeCell ref="AC456:AE456"/>
    <mergeCell ref="AF456:AH456"/>
    <mergeCell ref="Z457:AB457"/>
    <mergeCell ref="AC457:AE457"/>
    <mergeCell ref="AF457:AH457"/>
    <mergeCell ref="Z458:AB458"/>
    <mergeCell ref="AC458:AE458"/>
    <mergeCell ref="AF458:AH458"/>
    <mergeCell ref="Z459:AB459"/>
    <mergeCell ref="AC459:AE459"/>
    <mergeCell ref="AF459:AH459"/>
    <mergeCell ref="Z460:AB460"/>
    <mergeCell ref="AC460:AE460"/>
    <mergeCell ref="AF460:AH460"/>
    <mergeCell ref="Z461:AB461"/>
    <mergeCell ref="AC461:AE461"/>
    <mergeCell ref="AF461:AH461"/>
    <mergeCell ref="Z462:AB462"/>
    <mergeCell ref="AC462:AE462"/>
    <mergeCell ref="AF462:AH462"/>
    <mergeCell ref="Z463:AB463"/>
    <mergeCell ref="AC463:AE463"/>
    <mergeCell ref="AF463:AH463"/>
    <mergeCell ref="Z464:AB464"/>
    <mergeCell ref="AC464:AE464"/>
    <mergeCell ref="AF464:AH464"/>
    <mergeCell ref="Z465:AB465"/>
    <mergeCell ref="AC465:AE465"/>
    <mergeCell ref="AF465:AH465"/>
    <mergeCell ref="Z466:AB466"/>
    <mergeCell ref="AC466:AE466"/>
    <mergeCell ref="AF466:AH466"/>
    <mergeCell ref="Z467:AB467"/>
    <mergeCell ref="AC467:AE467"/>
    <mergeCell ref="AF467:AH467"/>
    <mergeCell ref="Z468:AB468"/>
    <mergeCell ref="AC468:AE468"/>
    <mergeCell ref="AF468:AH468"/>
    <mergeCell ref="Z469:AB469"/>
    <mergeCell ref="AC469:AE469"/>
    <mergeCell ref="AF469:AH469"/>
    <mergeCell ref="Z470:AB470"/>
    <mergeCell ref="AC470:AE470"/>
    <mergeCell ref="AF470:AH470"/>
    <mergeCell ref="Z471:AB471"/>
    <mergeCell ref="AC471:AE471"/>
    <mergeCell ref="AF471:AH471"/>
    <mergeCell ref="Z472:AB472"/>
    <mergeCell ref="AC472:AE472"/>
    <mergeCell ref="AF472:AH472"/>
    <mergeCell ref="Z473:AB473"/>
    <mergeCell ref="AC473:AE473"/>
    <mergeCell ref="AF473:AH473"/>
    <mergeCell ref="Z474:AB474"/>
    <mergeCell ref="AC474:AE474"/>
    <mergeCell ref="AF474:AH474"/>
    <mergeCell ref="Z475:AB475"/>
    <mergeCell ref="AC475:AE475"/>
    <mergeCell ref="AF475:AH475"/>
    <mergeCell ref="Z476:AB476"/>
    <mergeCell ref="AC476:AE476"/>
    <mergeCell ref="AF476:AH476"/>
    <mergeCell ref="Z477:AB477"/>
    <mergeCell ref="AC477:AE477"/>
    <mergeCell ref="AF477:AH477"/>
    <mergeCell ref="Z478:AB478"/>
    <mergeCell ref="AC478:AE478"/>
    <mergeCell ref="AF478:AH478"/>
    <mergeCell ref="Z479:AB479"/>
    <mergeCell ref="AC479:AE479"/>
    <mergeCell ref="AF479:AH479"/>
    <mergeCell ref="Z480:AB480"/>
    <mergeCell ref="AC480:AE480"/>
    <mergeCell ref="AF480:AH480"/>
    <mergeCell ref="Z481:AB481"/>
    <mergeCell ref="AC481:AE481"/>
    <mergeCell ref="AF481:AH481"/>
    <mergeCell ref="Z482:AB482"/>
    <mergeCell ref="AC482:AE482"/>
    <mergeCell ref="AF482:AH482"/>
    <mergeCell ref="Z483:AB483"/>
    <mergeCell ref="AC483:AE483"/>
    <mergeCell ref="AF483:AH483"/>
    <mergeCell ref="Z484:AB484"/>
    <mergeCell ref="AC484:AE484"/>
    <mergeCell ref="AF484:AH484"/>
    <mergeCell ref="Z485:AB485"/>
    <mergeCell ref="AC485:AE485"/>
    <mergeCell ref="AF485:AH485"/>
    <mergeCell ref="Z486:AB486"/>
    <mergeCell ref="AC486:AE486"/>
    <mergeCell ref="AF486:AH486"/>
    <mergeCell ref="Z487:AB487"/>
    <mergeCell ref="AC487:AE487"/>
    <mergeCell ref="AF487:AH487"/>
    <mergeCell ref="Z488:AB488"/>
    <mergeCell ref="AC488:AE488"/>
    <mergeCell ref="AF488:AH488"/>
    <mergeCell ref="Z489:AB489"/>
    <mergeCell ref="AC489:AE489"/>
    <mergeCell ref="AF489:AH489"/>
    <mergeCell ref="Z490:AB490"/>
    <mergeCell ref="AC490:AE490"/>
    <mergeCell ref="AF490:AH490"/>
    <mergeCell ref="Z491:AB491"/>
    <mergeCell ref="AC491:AE491"/>
    <mergeCell ref="AF491:AH491"/>
    <mergeCell ref="Z492:AB492"/>
    <mergeCell ref="AC492:AE492"/>
    <mergeCell ref="AF492:AH492"/>
    <mergeCell ref="Z493:AB493"/>
    <mergeCell ref="AC493:AE493"/>
    <mergeCell ref="AF493:AH493"/>
    <mergeCell ref="Z494:AB494"/>
    <mergeCell ref="AC494:AE494"/>
    <mergeCell ref="AF494:AH494"/>
    <mergeCell ref="Z495:AB495"/>
    <mergeCell ref="AC495:AE495"/>
    <mergeCell ref="AF495:AH495"/>
    <mergeCell ref="Z496:AB496"/>
    <mergeCell ref="AC496:AE496"/>
    <mergeCell ref="AF496:AH496"/>
    <mergeCell ref="Z497:AB497"/>
    <mergeCell ref="AC497:AE497"/>
    <mergeCell ref="AF497:AH497"/>
    <mergeCell ref="Z498:AB498"/>
    <mergeCell ref="AC498:AE498"/>
    <mergeCell ref="AF498:AH498"/>
    <mergeCell ref="Z499:AB499"/>
    <mergeCell ref="AC499:AE499"/>
    <mergeCell ref="AF499:AH499"/>
    <mergeCell ref="Z500:AB500"/>
    <mergeCell ref="AC500:AE500"/>
    <mergeCell ref="AF500:AH500"/>
    <mergeCell ref="Z501:AB501"/>
    <mergeCell ref="AC501:AE501"/>
    <mergeCell ref="AF501:AH501"/>
    <mergeCell ref="Z502:AB502"/>
    <mergeCell ref="AC502:AE502"/>
    <mergeCell ref="AF502:AH502"/>
    <mergeCell ref="Z503:AB503"/>
    <mergeCell ref="AC503:AE503"/>
    <mergeCell ref="AF503:AH503"/>
    <mergeCell ref="Z504:AB504"/>
    <mergeCell ref="AC504:AE504"/>
    <mergeCell ref="AF504:AH504"/>
    <mergeCell ref="Z505:AB505"/>
    <mergeCell ref="AC505:AE505"/>
    <mergeCell ref="AF505:AH505"/>
    <mergeCell ref="Z506:AB506"/>
    <mergeCell ref="AC506:AE506"/>
    <mergeCell ref="AF506:AH506"/>
    <mergeCell ref="Z507:AB507"/>
    <mergeCell ref="AC507:AE507"/>
    <mergeCell ref="AF507:AH507"/>
    <mergeCell ref="Z508:AB508"/>
    <mergeCell ref="AC508:AE508"/>
    <mergeCell ref="AF508:AH508"/>
    <mergeCell ref="Z509:AB509"/>
    <mergeCell ref="AC509:AE509"/>
    <mergeCell ref="AF509:AH509"/>
    <mergeCell ref="Z510:AB510"/>
    <mergeCell ref="AC510:AE510"/>
    <mergeCell ref="AF510:AH510"/>
    <mergeCell ref="Z511:AB511"/>
    <mergeCell ref="AC511:AE511"/>
    <mergeCell ref="AF511:AH511"/>
    <mergeCell ref="Z512:AB512"/>
    <mergeCell ref="AC512:AE512"/>
    <mergeCell ref="AF512:AH512"/>
    <mergeCell ref="Z513:AB513"/>
    <mergeCell ref="AC513:AE513"/>
    <mergeCell ref="AF513:AH513"/>
    <mergeCell ref="Z514:AB514"/>
    <mergeCell ref="AC514:AE514"/>
    <mergeCell ref="AF514:AH514"/>
    <mergeCell ref="Z515:AB515"/>
    <mergeCell ref="AC515:AE515"/>
    <mergeCell ref="AF515:AH515"/>
    <mergeCell ref="Z516:AB516"/>
    <mergeCell ref="AC516:AE516"/>
    <mergeCell ref="AF516:AH516"/>
    <mergeCell ref="Z517:AB517"/>
    <mergeCell ref="AC517:AE517"/>
    <mergeCell ref="AF517:AH517"/>
    <mergeCell ref="Z518:AB518"/>
    <mergeCell ref="AC518:AE518"/>
    <mergeCell ref="AF518:AH518"/>
    <mergeCell ref="Z519:AB519"/>
    <mergeCell ref="AC519:AE519"/>
    <mergeCell ref="AF519:AH519"/>
    <mergeCell ref="Z520:AB520"/>
    <mergeCell ref="AC520:AE520"/>
    <mergeCell ref="AF520:AH520"/>
    <mergeCell ref="Z521:AB521"/>
    <mergeCell ref="AC521:AE521"/>
    <mergeCell ref="AF521:AH521"/>
    <mergeCell ref="Z522:AB522"/>
    <mergeCell ref="AC522:AE522"/>
    <mergeCell ref="AF522:AH522"/>
    <mergeCell ref="Z523:AB523"/>
    <mergeCell ref="AC523:AE523"/>
    <mergeCell ref="AF523:AH523"/>
    <mergeCell ref="Z524:AB524"/>
    <mergeCell ref="AC524:AE524"/>
    <mergeCell ref="AF524:AH524"/>
    <mergeCell ref="Z525:AB525"/>
    <mergeCell ref="AC525:AE525"/>
    <mergeCell ref="AF525:AH525"/>
    <mergeCell ref="Z526:AB526"/>
    <mergeCell ref="AC526:AE526"/>
    <mergeCell ref="AF526:AH526"/>
    <mergeCell ref="Z527:AB527"/>
    <mergeCell ref="AC527:AE527"/>
    <mergeCell ref="AF527:AH527"/>
    <mergeCell ref="Z528:AB528"/>
    <mergeCell ref="AC528:AE528"/>
    <mergeCell ref="AF528:AH528"/>
    <mergeCell ref="Z529:AB529"/>
    <mergeCell ref="AC529:AE529"/>
    <mergeCell ref="AF529:AH529"/>
    <mergeCell ref="Z530:AB530"/>
    <mergeCell ref="AC530:AE530"/>
    <mergeCell ref="AF530:AH530"/>
    <mergeCell ref="Z531:AB531"/>
    <mergeCell ref="AC531:AE531"/>
    <mergeCell ref="AF531:AH531"/>
    <mergeCell ref="Z532:AB532"/>
    <mergeCell ref="AC532:AE532"/>
    <mergeCell ref="AF532:AH532"/>
    <mergeCell ref="Z533:AB533"/>
    <mergeCell ref="AC533:AE533"/>
    <mergeCell ref="AF533:AH533"/>
    <mergeCell ref="Z534:AB534"/>
    <mergeCell ref="AC534:AE534"/>
    <mergeCell ref="AF534:AH534"/>
    <mergeCell ref="Z535:AB535"/>
    <mergeCell ref="AC535:AE535"/>
    <mergeCell ref="AF535:AH535"/>
    <mergeCell ref="Z536:AB536"/>
    <mergeCell ref="AC536:AE536"/>
    <mergeCell ref="AF536:AH536"/>
    <mergeCell ref="Z537:AB537"/>
    <mergeCell ref="AC537:AE537"/>
    <mergeCell ref="AF537:AH537"/>
    <mergeCell ref="Z538:AB538"/>
    <mergeCell ref="AC538:AE538"/>
    <mergeCell ref="AF538:AH538"/>
    <mergeCell ref="Z539:AB539"/>
    <mergeCell ref="AC539:AE539"/>
    <mergeCell ref="AF539:AH539"/>
    <mergeCell ref="Z540:AB540"/>
    <mergeCell ref="AC540:AE540"/>
    <mergeCell ref="AF540:AH540"/>
    <mergeCell ref="Z541:AB541"/>
    <mergeCell ref="AC541:AE541"/>
    <mergeCell ref="AF541:AH541"/>
    <mergeCell ref="Z542:AB542"/>
    <mergeCell ref="AC542:AE542"/>
    <mergeCell ref="AF542:AH542"/>
    <mergeCell ref="Z543:AB543"/>
    <mergeCell ref="AC543:AE543"/>
    <mergeCell ref="AF543:AH543"/>
    <mergeCell ref="Z544:AB544"/>
    <mergeCell ref="AC544:AE544"/>
    <mergeCell ref="AF544:AH544"/>
    <mergeCell ref="Z545:AB545"/>
    <mergeCell ref="AC545:AE545"/>
    <mergeCell ref="AF545:AH545"/>
    <mergeCell ref="Z546:AB546"/>
    <mergeCell ref="AC546:AE546"/>
    <mergeCell ref="AF546:AH546"/>
    <mergeCell ref="Z547:AB547"/>
    <mergeCell ref="AC547:AE547"/>
    <mergeCell ref="AF547:AH547"/>
    <mergeCell ref="Z548:AB548"/>
    <mergeCell ref="AC548:AE548"/>
    <mergeCell ref="AF548:AH548"/>
    <mergeCell ref="Z549:AB549"/>
    <mergeCell ref="AC549:AE549"/>
    <mergeCell ref="AF549:AH549"/>
    <mergeCell ref="Z550:AB550"/>
    <mergeCell ref="AC550:AE550"/>
    <mergeCell ref="AF550:AH550"/>
    <mergeCell ref="Z551:AB551"/>
    <mergeCell ref="AC551:AE551"/>
    <mergeCell ref="AF551:AH551"/>
    <mergeCell ref="Z552:AB552"/>
    <mergeCell ref="AC552:AE552"/>
    <mergeCell ref="AF552:AH552"/>
    <mergeCell ref="Z553:AB553"/>
    <mergeCell ref="AC553:AE553"/>
    <mergeCell ref="AF553:AH553"/>
    <mergeCell ref="Z554:AB554"/>
    <mergeCell ref="AC554:AE554"/>
    <mergeCell ref="AF554:AH554"/>
    <mergeCell ref="Z555:AB555"/>
    <mergeCell ref="AC555:AE555"/>
    <mergeCell ref="AF555:AH555"/>
    <mergeCell ref="Z556:AB556"/>
    <mergeCell ref="AC556:AE556"/>
    <mergeCell ref="AF556:AH556"/>
    <mergeCell ref="Z557:AB557"/>
    <mergeCell ref="AC557:AE557"/>
    <mergeCell ref="AF557:AH557"/>
    <mergeCell ref="Z558:AB558"/>
    <mergeCell ref="AC558:AE558"/>
    <mergeCell ref="AF558:AH558"/>
    <mergeCell ref="Z559:AB559"/>
    <mergeCell ref="AC559:AE559"/>
    <mergeCell ref="AF559:AH559"/>
    <mergeCell ref="Z560:AB560"/>
    <mergeCell ref="AC560:AE560"/>
    <mergeCell ref="AF560:AH560"/>
    <mergeCell ref="Z561:AB561"/>
    <mergeCell ref="AC561:AE561"/>
    <mergeCell ref="AF561:AH561"/>
    <mergeCell ref="Z562:AB562"/>
    <mergeCell ref="AC562:AE562"/>
    <mergeCell ref="AF562:AH562"/>
    <mergeCell ref="Z563:AB563"/>
    <mergeCell ref="AC563:AE563"/>
    <mergeCell ref="AF563:AH563"/>
    <mergeCell ref="Z564:AB564"/>
    <mergeCell ref="AC564:AE564"/>
    <mergeCell ref="AF564:AH564"/>
    <mergeCell ref="Z565:AB565"/>
    <mergeCell ref="AC565:AE565"/>
    <mergeCell ref="AF565:AH565"/>
    <mergeCell ref="Z566:AB566"/>
    <mergeCell ref="AC566:AE566"/>
    <mergeCell ref="AF566:AH566"/>
    <mergeCell ref="Z567:AB567"/>
    <mergeCell ref="AC567:AE567"/>
    <mergeCell ref="AF567:AH567"/>
    <mergeCell ref="Z568:AB568"/>
    <mergeCell ref="AC568:AE568"/>
    <mergeCell ref="AF568:AH568"/>
    <mergeCell ref="Z569:AB569"/>
    <mergeCell ref="AC569:AE569"/>
    <mergeCell ref="AF569:AH569"/>
    <mergeCell ref="Z570:AB570"/>
    <mergeCell ref="AC570:AE570"/>
    <mergeCell ref="AF570:AH570"/>
    <mergeCell ref="Z571:AB571"/>
    <mergeCell ref="AC571:AE571"/>
    <mergeCell ref="AF571:AH571"/>
    <mergeCell ref="Z572:AB572"/>
    <mergeCell ref="AC572:AE572"/>
    <mergeCell ref="AF572:AH572"/>
    <mergeCell ref="Z573:AB573"/>
    <mergeCell ref="AC573:AE573"/>
    <mergeCell ref="AF573:AH573"/>
    <mergeCell ref="Z574:AB574"/>
    <mergeCell ref="AC574:AE574"/>
    <mergeCell ref="AF574:AH574"/>
    <mergeCell ref="Z575:AB575"/>
    <mergeCell ref="AC575:AE575"/>
    <mergeCell ref="AF575:AH575"/>
    <mergeCell ref="Z576:AB576"/>
    <mergeCell ref="AC576:AE576"/>
    <mergeCell ref="AF576:AH576"/>
    <mergeCell ref="Z577:AB577"/>
    <mergeCell ref="AC577:AE577"/>
    <mergeCell ref="AF577:AH577"/>
    <mergeCell ref="Z578:AB578"/>
    <mergeCell ref="AC578:AE578"/>
    <mergeCell ref="AF578:AH578"/>
    <mergeCell ref="Z579:AB579"/>
    <mergeCell ref="AC579:AE579"/>
    <mergeCell ref="AF579:AH579"/>
    <mergeCell ref="Z580:AB580"/>
    <mergeCell ref="AC580:AE580"/>
    <mergeCell ref="AF580:AH580"/>
    <mergeCell ref="Z581:AB581"/>
    <mergeCell ref="AC581:AE581"/>
    <mergeCell ref="AF581:AH581"/>
    <mergeCell ref="Z582:AB582"/>
    <mergeCell ref="AC582:AE582"/>
    <mergeCell ref="AF582:AH582"/>
    <mergeCell ref="Z583:AB583"/>
    <mergeCell ref="AC583:AE583"/>
    <mergeCell ref="AF583:AH583"/>
    <mergeCell ref="Z584:AB584"/>
    <mergeCell ref="AC584:AE584"/>
    <mergeCell ref="AF584:AH584"/>
    <mergeCell ref="Z585:AB585"/>
    <mergeCell ref="AC585:AE585"/>
    <mergeCell ref="AF585:AH585"/>
    <mergeCell ref="Z586:AB586"/>
    <mergeCell ref="AC586:AE586"/>
    <mergeCell ref="AF586:AH586"/>
    <mergeCell ref="Z587:AB587"/>
    <mergeCell ref="AC587:AE587"/>
    <mergeCell ref="AF587:AH587"/>
    <mergeCell ref="Z588:AB588"/>
    <mergeCell ref="AC588:AE588"/>
    <mergeCell ref="AF588:AH588"/>
    <mergeCell ref="Z589:AB589"/>
    <mergeCell ref="AC589:AE589"/>
    <mergeCell ref="AF589:AH589"/>
    <mergeCell ref="Z590:AB590"/>
    <mergeCell ref="AC590:AE590"/>
    <mergeCell ref="AF590:AH590"/>
    <mergeCell ref="Z591:AB591"/>
    <mergeCell ref="AC591:AE591"/>
    <mergeCell ref="AF591:AH591"/>
    <mergeCell ref="Z592:AB592"/>
    <mergeCell ref="AC592:AE592"/>
    <mergeCell ref="AF592:AH592"/>
    <mergeCell ref="Z593:AB593"/>
    <mergeCell ref="AC593:AE593"/>
    <mergeCell ref="AF593:AH593"/>
    <mergeCell ref="Z594:AB594"/>
    <mergeCell ref="AC594:AE594"/>
    <mergeCell ref="AF594:AH594"/>
    <mergeCell ref="Z595:AB595"/>
    <mergeCell ref="AC595:AE595"/>
    <mergeCell ref="AF595:AH595"/>
    <mergeCell ref="Z596:AB596"/>
    <mergeCell ref="AC596:AE596"/>
    <mergeCell ref="AF596:AH596"/>
    <mergeCell ref="Z597:AB597"/>
    <mergeCell ref="AC597:AE597"/>
    <mergeCell ref="AF597:AH597"/>
    <mergeCell ref="Z598:AB598"/>
    <mergeCell ref="AC598:AE598"/>
    <mergeCell ref="AF598:AH598"/>
    <mergeCell ref="Z599:AB599"/>
    <mergeCell ref="AC599:AE599"/>
    <mergeCell ref="AF599:AH599"/>
    <mergeCell ref="Z600:AB600"/>
    <mergeCell ref="AC600:AE600"/>
    <mergeCell ref="AF600:AH600"/>
    <mergeCell ref="Z601:AB601"/>
    <mergeCell ref="AC601:AE601"/>
    <mergeCell ref="AF601:AH601"/>
    <mergeCell ref="Z602:AB602"/>
    <mergeCell ref="AC602:AE602"/>
    <mergeCell ref="AF602:AH602"/>
    <mergeCell ref="Z603:AB603"/>
    <mergeCell ref="AC603:AE603"/>
    <mergeCell ref="AF603:AH603"/>
    <mergeCell ref="Z604:AB604"/>
    <mergeCell ref="AC604:AE604"/>
    <mergeCell ref="AF604:AH604"/>
    <mergeCell ref="Z605:AB605"/>
    <mergeCell ref="AC605:AE605"/>
    <mergeCell ref="AF605:AH605"/>
    <mergeCell ref="Z606:AB606"/>
    <mergeCell ref="AC606:AE606"/>
    <mergeCell ref="AF606:AH606"/>
    <mergeCell ref="Z607:AB607"/>
    <mergeCell ref="AC607:AE607"/>
    <mergeCell ref="AF607:AH607"/>
    <mergeCell ref="Z608:AB608"/>
    <mergeCell ref="AC608:AE608"/>
    <mergeCell ref="AF608:AH608"/>
    <mergeCell ref="Z609:AB609"/>
    <mergeCell ref="AC609:AE609"/>
    <mergeCell ref="AF609:AH609"/>
    <mergeCell ref="Z610:AB610"/>
    <mergeCell ref="AC610:AE610"/>
    <mergeCell ref="AF610:AH610"/>
    <mergeCell ref="Z611:AB611"/>
    <mergeCell ref="AC611:AE611"/>
    <mergeCell ref="AF611:AH611"/>
    <mergeCell ref="Z612:AB612"/>
    <mergeCell ref="AC612:AE612"/>
    <mergeCell ref="AF612:AH612"/>
    <mergeCell ref="Z613:AB613"/>
    <mergeCell ref="AC613:AE613"/>
    <mergeCell ref="AF613:AH613"/>
    <mergeCell ref="Z614:AB614"/>
    <mergeCell ref="AC614:AE614"/>
    <mergeCell ref="AF614:AH614"/>
    <mergeCell ref="Z615:AB615"/>
    <mergeCell ref="AC615:AE615"/>
    <mergeCell ref="AF615:AH615"/>
    <mergeCell ref="Z616:AB616"/>
    <mergeCell ref="AC616:AE616"/>
    <mergeCell ref="AF616:AH616"/>
    <mergeCell ref="Z617:AB617"/>
    <mergeCell ref="AC617:AE617"/>
    <mergeCell ref="AF617:AH617"/>
    <mergeCell ref="Z618:AB618"/>
    <mergeCell ref="AC618:AE618"/>
    <mergeCell ref="AF618:AH618"/>
    <mergeCell ref="Z619:AB619"/>
    <mergeCell ref="AC619:AE619"/>
    <mergeCell ref="AF619:AH619"/>
    <mergeCell ref="Z620:AB620"/>
    <mergeCell ref="AC620:AE620"/>
    <mergeCell ref="AF620:AH620"/>
    <mergeCell ref="Z621:AB621"/>
    <mergeCell ref="AC621:AE621"/>
    <mergeCell ref="AF621:AH621"/>
    <mergeCell ref="Z622:AB622"/>
    <mergeCell ref="AC622:AE622"/>
    <mergeCell ref="AF622:AH622"/>
    <mergeCell ref="Z623:AB623"/>
    <mergeCell ref="AC623:AE623"/>
    <mergeCell ref="AF623:AH623"/>
    <mergeCell ref="Z624:AB624"/>
    <mergeCell ref="AC624:AE624"/>
    <mergeCell ref="AF624:AH624"/>
    <mergeCell ref="Z625:AB625"/>
    <mergeCell ref="AC625:AE625"/>
    <mergeCell ref="AF625:AH625"/>
    <mergeCell ref="Z626:AB626"/>
    <mergeCell ref="AC626:AE626"/>
    <mergeCell ref="AF626:AH626"/>
    <mergeCell ref="Z627:AB627"/>
    <mergeCell ref="AC627:AE627"/>
    <mergeCell ref="AF627:AH627"/>
    <mergeCell ref="Z628:AB628"/>
    <mergeCell ref="AC628:AE628"/>
    <mergeCell ref="AF628:AH628"/>
    <mergeCell ref="Z629:AB629"/>
    <mergeCell ref="AC629:AE629"/>
    <mergeCell ref="AF629:AH629"/>
    <mergeCell ref="Z630:AB630"/>
    <mergeCell ref="AC630:AE630"/>
    <mergeCell ref="AF630:AH630"/>
    <mergeCell ref="Z631:AB631"/>
    <mergeCell ref="AC631:AE631"/>
    <mergeCell ref="AF631:AH631"/>
    <mergeCell ref="Z632:AB632"/>
    <mergeCell ref="AC632:AE632"/>
    <mergeCell ref="AF632:AH632"/>
    <mergeCell ref="Z633:AB633"/>
    <mergeCell ref="AC633:AE633"/>
    <mergeCell ref="AF633:AH633"/>
    <mergeCell ref="Z634:AB634"/>
    <mergeCell ref="AC634:AE634"/>
    <mergeCell ref="AF634:AH634"/>
    <mergeCell ref="Z635:AB635"/>
    <mergeCell ref="AC635:AE635"/>
    <mergeCell ref="AF635:AH635"/>
    <mergeCell ref="Z636:AB636"/>
    <mergeCell ref="AC636:AE636"/>
    <mergeCell ref="AF636:AH636"/>
    <mergeCell ref="Z637:AB637"/>
    <mergeCell ref="AC637:AE637"/>
    <mergeCell ref="AF637:AH637"/>
    <mergeCell ref="Z638:AB638"/>
    <mergeCell ref="AC638:AE638"/>
    <mergeCell ref="AF638:AH638"/>
    <mergeCell ref="Z639:AB639"/>
    <mergeCell ref="AC639:AE639"/>
    <mergeCell ref="AF639:AH639"/>
    <mergeCell ref="Z640:AB640"/>
    <mergeCell ref="AC640:AE640"/>
    <mergeCell ref="AF640:AH640"/>
    <mergeCell ref="Z641:AB641"/>
    <mergeCell ref="AC641:AE641"/>
    <mergeCell ref="AF641:AH641"/>
    <mergeCell ref="Z642:AB642"/>
    <mergeCell ref="AC642:AE642"/>
    <mergeCell ref="AF642:AH642"/>
    <mergeCell ref="Z643:AB643"/>
    <mergeCell ref="AC643:AE643"/>
    <mergeCell ref="AF643:AH643"/>
    <mergeCell ref="Z644:AB644"/>
    <mergeCell ref="AC644:AE644"/>
    <mergeCell ref="AF644:AH644"/>
    <mergeCell ref="Z645:AB645"/>
    <mergeCell ref="AC645:AE645"/>
    <mergeCell ref="AF645:AH645"/>
    <mergeCell ref="Z646:AB646"/>
    <mergeCell ref="AC646:AE646"/>
    <mergeCell ref="AF646:AH646"/>
    <mergeCell ref="Z647:AB647"/>
    <mergeCell ref="AC647:AE647"/>
    <mergeCell ref="AF647:AH647"/>
    <mergeCell ref="Z648:AB648"/>
    <mergeCell ref="AC648:AE648"/>
    <mergeCell ref="AF648:AH648"/>
    <mergeCell ref="Z649:AB649"/>
    <mergeCell ref="AC649:AE649"/>
    <mergeCell ref="AF649:AH649"/>
    <mergeCell ref="Z650:AB650"/>
    <mergeCell ref="AC650:AE650"/>
    <mergeCell ref="AF650:AH650"/>
    <mergeCell ref="Z651:AB651"/>
    <mergeCell ref="AC651:AE651"/>
    <mergeCell ref="AF651:AH651"/>
    <mergeCell ref="Z652:AB652"/>
    <mergeCell ref="AC652:AE652"/>
    <mergeCell ref="AF652:AH652"/>
    <mergeCell ref="Z653:AB653"/>
    <mergeCell ref="AC653:AE653"/>
    <mergeCell ref="AF653:AH653"/>
    <mergeCell ref="Z654:AB654"/>
    <mergeCell ref="AC654:AE654"/>
    <mergeCell ref="AF654:AH654"/>
    <mergeCell ref="Z655:AB655"/>
    <mergeCell ref="AC655:AE655"/>
    <mergeCell ref="AF655:AH655"/>
    <mergeCell ref="Z656:AB656"/>
    <mergeCell ref="AC656:AE656"/>
    <mergeCell ref="AF656:AH656"/>
    <mergeCell ref="Z657:AB657"/>
    <mergeCell ref="AC657:AE657"/>
    <mergeCell ref="AF657:AH657"/>
    <mergeCell ref="Z658:AB658"/>
    <mergeCell ref="AC658:AE658"/>
    <mergeCell ref="AF658:AH658"/>
    <mergeCell ref="Z659:AB659"/>
    <mergeCell ref="AC659:AE659"/>
    <mergeCell ref="AF659:AH659"/>
    <mergeCell ref="Z660:AB660"/>
    <mergeCell ref="AC660:AE660"/>
    <mergeCell ref="AF660:AH660"/>
    <mergeCell ref="Z661:AB661"/>
    <mergeCell ref="AC661:AE661"/>
    <mergeCell ref="AF661:AH661"/>
    <mergeCell ref="Z662:AB662"/>
    <mergeCell ref="AC662:AE662"/>
    <mergeCell ref="AF662:AH662"/>
    <mergeCell ref="Z663:AB663"/>
    <mergeCell ref="AC663:AE663"/>
    <mergeCell ref="AF663:AH663"/>
    <mergeCell ref="Z664:AB664"/>
    <mergeCell ref="AC664:AE664"/>
    <mergeCell ref="AF664:AH664"/>
    <mergeCell ref="Z665:AB665"/>
    <mergeCell ref="AC665:AE665"/>
    <mergeCell ref="AF665:AH665"/>
    <mergeCell ref="Z666:AB666"/>
    <mergeCell ref="AC666:AE666"/>
    <mergeCell ref="AF666:AH666"/>
    <mergeCell ref="Z667:AB667"/>
    <mergeCell ref="AC667:AE667"/>
    <mergeCell ref="AF667:AH667"/>
    <mergeCell ref="Z668:AB668"/>
    <mergeCell ref="AC668:AE668"/>
    <mergeCell ref="AF668:AH668"/>
    <mergeCell ref="Z669:AB669"/>
    <mergeCell ref="AC669:AE669"/>
    <mergeCell ref="AF669:AH669"/>
    <mergeCell ref="Z670:AB670"/>
    <mergeCell ref="AC670:AE670"/>
    <mergeCell ref="AF670:AH670"/>
    <mergeCell ref="Z671:AB671"/>
    <mergeCell ref="AC671:AE671"/>
    <mergeCell ref="AF671:AH671"/>
    <mergeCell ref="Z672:AB672"/>
    <mergeCell ref="AC672:AE672"/>
    <mergeCell ref="AF672:AH672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79" orientation="landscape"/>
  <headerFooter>
    <oddFooter>&amp;C&amp;8- &amp;P / &amp;N -&amp;R&amp;8BX CORPORATION CONFIDENTIAL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WWO_dingtalk_20221031101348-1857be321c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小黑</cp:lastModifiedBy>
  <dcterms:created xsi:type="dcterms:W3CDTF">2023-03-27T09:50:00Z</dcterms:created>
  <dcterms:modified xsi:type="dcterms:W3CDTF">2023-08-03T05:42:19Z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C5B7FAF6FC1F458F8EAAC6FBE3405D32_12</vt:lpwstr>
  </property>
  <property fmtid="{D5CDD505-2E9C-101B-9397-08002B2CF9AE}" pid="3" name="KSOProductBuildVer">
    <vt:lpwstr>2052-12.1.0.15120</vt:lpwstr>
  </property>
</Properties>
</file>