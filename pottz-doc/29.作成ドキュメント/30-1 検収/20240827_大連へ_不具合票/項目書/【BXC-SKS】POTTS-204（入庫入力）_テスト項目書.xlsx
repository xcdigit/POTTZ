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管理表" sheetId="1" r:id="rId4"/>
    <sheet state="visible" name="POTTS-204（入庫入力）" sheetId="2" r:id="rId5"/>
    <sheet state="visible" name="変更履歴" sheetId="3" r:id="rId6"/>
    <sheet state="hidden" name="template" sheetId="4" r:id="rId7"/>
  </sheets>
  <definedNames>
    <definedName name="B">#REF!</definedName>
    <definedName name="ｘ">#REF!</definedName>
    <definedName name="wrn.追加ＰＣ見積.">#REF!</definedName>
    <definedName name="TTT">#REF!</definedName>
    <definedName name="PP">#REF!</definedName>
    <definedName name="A">#REF!</definedName>
    <definedName name="だ">#REF!</definedName>
    <definedName name="SSS">#REF!</definedName>
    <definedName name="うう">#REF!</definedName>
    <definedName name="EEE">#REF!</definedName>
    <definedName name="I">#REF!</definedName>
    <definedName name="ｊｊｊ">#REF!</definedName>
    <definedName name="XX">#REF!</definedName>
    <definedName name="い">#REF!</definedName>
    <definedName name="ｙｙｙ">#REF!</definedName>
    <definedName name="ええ">#REF!</definedName>
    <definedName name="HTML1_14">#REF!</definedName>
    <definedName name="AA">#REF!</definedName>
    <definedName name="DDD">#REF!</definedName>
    <definedName name="FFF">#REF!</definedName>
    <definedName name="wrn.2050保守作業.">#REF!</definedName>
    <definedName name="UUU">#REF!</definedName>
    <definedName name="んｎ">#REF!</definedName>
    <definedName name="QQ">#REF!</definedName>
    <definedName name="テスト観点">#REF!</definedName>
    <definedName name="画面名">#REF!</definedName>
    <definedName name="BB">#REF!</definedName>
    <definedName name="RR">#REF!</definedName>
    <definedName name="aaaaa">#REF!</definedName>
    <definedName name="CC">#REF!</definedName>
    <definedName name="QQQ">#REF!</definedName>
    <definedName name="いいい">#REF!</definedName>
    <definedName name="HTML1_13">#REF!</definedName>
    <definedName name="CCCC">#REF!</definedName>
    <definedName name="CCC">#REF!</definedName>
    <definedName name="実施結果">#REF!</definedName>
    <definedName name="ううう">#REF!</definedName>
    <definedName name="Ｄ">#REF!</definedName>
    <definedName name="あああ">#REF!</definedName>
    <definedName name="いい">#REF!</definedName>
    <definedName name="wrn.見積・注文.">#REF!</definedName>
    <definedName name="ｚ">#REF!</definedName>
    <definedName name="ざ">#REF!</definedName>
    <definedName name="ｘｘｘ">#REF!</definedName>
    <definedName name="abc">#REF!</definedName>
    <definedName name="W">#REF!</definedName>
    <definedName name="HTML1_15">#REF!</definedName>
    <definedName name="NNN">#REF!</definedName>
    <definedName name="ああああ">#REF!</definedName>
    <definedName name="ｚｚｚ">#REF!</definedName>
    <definedName name="ｖｖｖ">#REF!</definedName>
    <definedName name="PPP">#REF!</definedName>
    <definedName name="RRR">#REF!</definedName>
    <definedName name="AAAA">#REF!</definedName>
    <definedName name="か">#REF!</definedName>
    <definedName hidden="1" localSheetId="1" name="Z_8962E7D7_C85B_48EB_8DD4_5594EA7A93D9_.wvu.FilterData">'POTTS-204（入庫入力）'!$A$10:$S$38</definedName>
    <definedName hidden="1" localSheetId="3" name="Z_8962E7D7_C85B_48EB_8DD4_5594EA7A93D9_.wvu.FilterData">template!$A$9:$S$110</definedName>
  </definedNames>
  <calcPr/>
  <customWorkbookViews>
    <customWorkbookView activeSheetId="0" maximized="1" windowHeight="0" windowWidth="0" guid="{8962E7D7-C85B-48EB-8DD4-5594EA7A93D9}" name="フィルタ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21">
      <text>
        <t xml:space="preserve">設計書には「入荷予定明細のバーコード/商品ラベルのバーコード入力」とあり、商品ラベルの処理内容が記載されていないが実機では商品ラベルが表示されています。設計書ベースで記載しています。
	-石橋実夏</t>
      </text>
    </comment>
  </commentList>
</comments>
</file>

<file path=xl/sharedStrings.xml><?xml version="1.0" encoding="utf-8"?>
<sst xmlns="http://schemas.openxmlformats.org/spreadsheetml/2006/main" count="477" uniqueCount="161">
  <si>
    <t>▼実施進捗（summary）</t>
  </si>
  <si>
    <t>a</t>
  </si>
  <si>
    <t>No.</t>
  </si>
  <si>
    <t>項目</t>
  </si>
  <si>
    <t>状態</t>
  </si>
  <si>
    <t>総項目数</t>
  </si>
  <si>
    <t>対象件数</t>
  </si>
  <si>
    <t>着手率</t>
  </si>
  <si>
    <t>着手</t>
  </si>
  <si>
    <t>未着手</t>
  </si>
  <si>
    <t>完了率</t>
  </si>
  <si>
    <t>完了</t>
  </si>
  <si>
    <t>未完了</t>
  </si>
  <si>
    <t>OK</t>
  </si>
  <si>
    <t>NG→OK</t>
  </si>
  <si>
    <t>NG</t>
  </si>
  <si>
    <t>保留</t>
  </si>
  <si>
    <t>BK</t>
  </si>
  <si>
    <t>NT</t>
  </si>
  <si>
    <t>-</t>
  </si>
  <si>
    <t>サマリ</t>
  </si>
  <si>
    <t>Ver更新履歴</t>
  </si>
  <si>
    <t>POTTS-204（入庫入力）</t>
  </si>
  <si>
    <t>Ver.XX</t>
  </si>
  <si>
    <t>日付</t>
  </si>
  <si>
    <t>1.0.1</t>
  </si>
  <si>
    <t>検証環境</t>
  </si>
  <si>
    <t>Windows10</t>
  </si>
  <si>
    <t>Android(TB)</t>
  </si>
  <si>
    <t>Android(SP)</t>
  </si>
  <si>
    <t>アプリ.Ver</t>
  </si>
  <si>
    <t>端末名</t>
  </si>
  <si>
    <t>OS.Ver</t>
  </si>
  <si>
    <t>対象外</t>
  </si>
  <si>
    <t>イベント</t>
  </si>
  <si>
    <t>画面項目</t>
  </si>
  <si>
    <t>対象</t>
  </si>
  <si>
    <t>細目1</t>
  </si>
  <si>
    <t>細目2</t>
  </si>
  <si>
    <t>細目3</t>
  </si>
  <si>
    <t>観点</t>
  </si>
  <si>
    <t>前提条件</t>
  </si>
  <si>
    <t>検証手順</t>
  </si>
  <si>
    <t>期待結果</t>
  </si>
  <si>
    <t>結果</t>
  </si>
  <si>
    <t>実施日</t>
  </si>
  <si>
    <t>担当者</t>
  </si>
  <si>
    <t>不具合No.</t>
  </si>
  <si>
    <t>備考</t>
  </si>
  <si>
    <t>初期化</t>
  </si>
  <si>
    <t>機能動作</t>
  </si>
  <si>
    <t>1.ログインする
2.「MENU」より「入荷」を押下する
3.「入庫入力」を押下する</t>
  </si>
  <si>
    <t>画面の項目欄が空白で表示されること</t>
  </si>
  <si>
    <t>AG吉田</t>
  </si>
  <si>
    <t>ロケーションマスタにデータが存在しない</t>
  </si>
  <si>
    <t>入庫入力一覧に値が表示されないこと</t>
  </si>
  <si>
    <t>・実施前からロケーションマスターにデータが登録されていたため</t>
  </si>
  <si>
    <t>ロケーションマスタにデータが存在する</t>
  </si>
  <si>
    <t>入庫入力一覧に値が表示されること</t>
  </si>
  <si>
    <t>1.ログインする
2.「MENU」より「入荷」を押下する
3.「入庫照会」を押下する
4.任意の検索条件で検索を行う
5.一覧に表示されている行のミートボールメニューを押下する
6.「入庫入力」を押下する</t>
  </si>
  <si>
    <t>選択した行のデータが入庫入力画面に表示されていること</t>
  </si>
  <si>
    <t>入荷予定一覧バーコード入力</t>
  </si>
  <si>
    <r>
      <rPr>
        <rFont val="Meiryo"/>
        <color rgb="FFB7B7B7"/>
      </rPr>
      <t>1.ログインする
2.「MENU」より「入荷」を押下する
3.「入庫入力」を押下する</t>
    </r>
    <r>
      <rPr>
        <rFont val="Meiryo"/>
        <color theme="1"/>
      </rPr>
      <t xml:space="preserve">
4.「入荷予定一覧バーコード入力」欄のテキストボックスに文字を入力する</t>
    </r>
  </si>
  <si>
    <t>「入荷予定一覧バーコード入力」欄のテキストボックスに文字が入力できること</t>
  </si>
  <si>
    <t>入荷予定一覧バーコード</t>
  </si>
  <si>
    <r>
      <rPr>
        <rFont val="Meiryo"/>
        <color theme="1"/>
        <sz val="11.0"/>
      </rPr>
      <t>1.「入荷予定一覧バーコード入力」と「入荷予定番号」が同じデータが</t>
    </r>
    <r>
      <rPr>
        <rFont val="Meiryo"/>
        <b/>
        <strike/>
        <color theme="1"/>
        <sz val="11.0"/>
      </rPr>
      <t>存在している</t>
    </r>
    <r>
      <rPr>
        <rFont val="Meiryo"/>
        <b/>
        <color theme="1"/>
        <sz val="11.0"/>
      </rPr>
      <t>存在していない</t>
    </r>
    <r>
      <rPr>
        <rFont val="Meiryo"/>
        <color theme="1"/>
        <sz val="11.0"/>
      </rPr>
      <t>こと</t>
    </r>
  </si>
  <si>
    <r>
      <rPr>
        <rFont val="Meiryo"/>
        <color rgb="FFB7B7B7"/>
        <sz val="11.0"/>
      </rPr>
      <t>1.ログインする
2.「MENU」より「出荷」を押下する
3.「出荷検品」を押下する</t>
    </r>
    <r>
      <rPr>
        <rFont val="Meiryo"/>
        <color theme="1"/>
        <sz val="11.0"/>
      </rPr>
      <t xml:space="preserve">
4.「入荷予定一覧バーコード入力」欄に前提条件を踏まえた「入荷予定一覧バーコード入力」を入力する</t>
    </r>
  </si>
  <si>
    <t>「正しいバーコードを入力してください」と表示されること</t>
  </si>
  <si>
    <r>
      <rPr>
        <rFont val="Meiryo"/>
        <color theme="1"/>
        <sz val="11.0"/>
      </rPr>
      <t>1.「入荷予定一覧バーコード入力」と「入荷予定番号」が同じデータが</t>
    </r>
    <r>
      <rPr>
        <rFont val="Meiryo"/>
        <b/>
        <color theme="1"/>
        <sz val="11.0"/>
      </rPr>
      <t>存在している</t>
    </r>
    <r>
      <rPr>
        <rFont val="Meiryo"/>
        <color theme="1"/>
        <sz val="11.0"/>
      </rPr>
      <t>こと</t>
    </r>
    <r>
      <rPr>
        <rFont val="Meiryo"/>
        <color theme="1"/>
        <sz val="11.0"/>
      </rPr>
      <t xml:space="preserve">
2.1のデータの「入荷状態」が「入庫待ち」「入庫中」 「入荷確定待ち」</t>
    </r>
    <r>
      <rPr>
        <rFont val="Meiryo"/>
        <b/>
        <color theme="1"/>
        <sz val="11.0"/>
      </rPr>
      <t>ではない</t>
    </r>
    <r>
      <rPr>
        <rFont val="Meiryo"/>
        <color theme="1"/>
        <sz val="11.0"/>
      </rPr>
      <t>こと</t>
    </r>
  </si>
  <si>
    <t>1.ログインする
2.「MENU」より「出荷」を押下する
3.「出荷検品」を押下する
4.「入荷予定一覧バーコード入力」欄に前提条件を踏まえた「入荷予定一覧バーコード入力」を入力する</t>
  </si>
  <si>
    <t>「このデータ状態では入庫入力ができない」と表示されること</t>
  </si>
  <si>
    <r>
      <rPr>
        <rFont val="Meiryo"/>
        <color theme="1"/>
        <sz val="11.0"/>
      </rPr>
      <t>1.「入荷予定一覧バーコード入力」と「入荷予定番号」が同じデータが</t>
    </r>
    <r>
      <rPr>
        <rFont val="Meiryo"/>
        <b/>
        <color theme="1"/>
        <sz val="11.0"/>
      </rPr>
      <t>存在している</t>
    </r>
    <r>
      <rPr>
        <rFont val="Meiryo"/>
        <color theme="1"/>
        <sz val="11.0"/>
      </rPr>
      <t>こと</t>
    </r>
    <r>
      <rPr>
        <rFont val="Meiryo"/>
        <color theme="1"/>
        <sz val="11.0"/>
      </rPr>
      <t xml:space="preserve">
2.1のデータの「入荷状態」が「入庫待ち」「入庫中」 「入荷確定待ち」であること</t>
    </r>
  </si>
  <si>
    <r>
      <rPr>
        <rFont val="Meiryo"/>
        <color rgb="FFB7B7B7"/>
      </rPr>
      <t>1.ログインする
2.「MENU」より「入荷」を押下する
3.「入庫入力」を押下する</t>
    </r>
    <r>
      <rPr>
        <rFont val="Meiryo"/>
        <color theme="1"/>
      </rPr>
      <t xml:space="preserve">
4.「入荷予定一覧バーコード入力」欄のテキストボックスに文字を入力する</t>
    </r>
  </si>
  <si>
    <t>「入荷予定一覧バーコード入力」と該当する入荷予定番号のデータが入庫入力画面に表示されていること</t>
  </si>
  <si>
    <t>商品ラベルのバーコード入力</t>
  </si>
  <si>
    <t>商品ラベルのバーコード</t>
  </si>
  <si>
    <r>
      <rPr>
        <rFont val="Meiryo"/>
        <color rgb="FFB7B7B7"/>
      </rPr>
      <t>1.ログインする
2.「MENU」より「入荷」を押下する
3.「入庫入力」を押下する</t>
    </r>
    <r>
      <rPr>
        <rFont val="Meiryo"/>
        <color theme="1"/>
      </rPr>
      <t xml:space="preserve">
4.「商品ラベルのバーコード入力」欄のテキストボックスに文字を入力する</t>
    </r>
  </si>
  <si>
    <t>「商品ラベルのバーコード入力」欄のテキストボックスに文字が入力できること</t>
  </si>
  <si>
    <r>
      <rPr>
        <rFont val="Meiryo"/>
        <color theme="1"/>
        <sz val="11.0"/>
      </rPr>
      <t>1.「入荷予定明細行No」と「入荷予定明細のバーコード」が同じデータが</t>
    </r>
    <r>
      <rPr>
        <rFont val="Meiryo"/>
        <b/>
        <color theme="1"/>
        <sz val="11.0"/>
      </rPr>
      <t>存在している</t>
    </r>
    <r>
      <rPr>
        <rFont val="Meiryo"/>
        <color theme="1"/>
        <sz val="11.0"/>
      </rPr>
      <t>こと</t>
    </r>
  </si>
  <si>
    <r>
      <rPr>
        <rFont val="Meiryo"/>
        <color rgb="FFB7B7B7"/>
      </rPr>
      <t>1.ログインする
2.「MENU」より「入荷」を押下する
3.「入庫入力」を押下する</t>
    </r>
    <r>
      <rPr>
        <rFont val="Meiryo"/>
        <color theme="1"/>
      </rPr>
      <t xml:space="preserve">
4.「商品ラベルのバーコード入力」欄に前提条件を踏まえた「商品ラベルのバーコード入力」を入力する
5.Enterを押下する</t>
    </r>
  </si>
  <si>
    <t>「商品ラベルのバーコード入力」と該当する入荷予定明細のデータが入庫入力画面に表示されていること</t>
  </si>
  <si>
    <r>
      <rPr>
        <rFont val="Meiryo"/>
        <color theme="1"/>
        <sz val="11.0"/>
      </rPr>
      <t>1.「入荷予定明細行No」と「入荷予定明細のバーコード」が同じデータが</t>
    </r>
    <r>
      <rPr>
        <rFont val="Meiryo"/>
        <b/>
        <color theme="1"/>
        <sz val="11.0"/>
      </rPr>
      <t>存在していないこと</t>
    </r>
  </si>
  <si>
    <t>1.ログインする
2.「MENU」より「入荷」を押下する
3.「入庫入力」を押下する
4.「商品ラベルのバーコード入力」欄に前提条件を踏まえた「商品ラベルのバーコード入力」を入力する
5.Enterを押下する</t>
  </si>
  <si>
    <t>「入力されたバーコードが正しくありません」と表示されること</t>
  </si>
  <si>
    <t>消費期限</t>
  </si>
  <si>
    <r>
      <rPr>
        <rFont val="Meiryo"/>
        <color rgb="FFB7B7B7"/>
      </rPr>
      <t>1.ログインする
2.「MENU」より「入荷」を押下する
3.「入庫入力」を押下する</t>
    </r>
    <r>
      <rPr>
        <rFont val="Meiryo"/>
        <color theme="1"/>
      </rPr>
      <t xml:space="preserve">
4.「消費期限」欄を押下する</t>
    </r>
  </si>
  <si>
    <t>押下時にカレンダーが表示され、値が設定出来ること</t>
  </si>
  <si>
    <t>ロット番号</t>
  </si>
  <si>
    <r>
      <rPr>
        <rFont val="Meiryo"/>
        <color rgb="FFB7B7B7"/>
      </rPr>
      <t>1.ログインする
2.「MENU」より「入荷」を押下する
3.「入庫入力」を押下する</t>
    </r>
    <r>
      <rPr>
        <rFont val="Meiryo"/>
        <color theme="1"/>
      </rPr>
      <t xml:space="preserve">
4.「ロット番号」欄のテキストボックスに文字を入力する</t>
    </r>
  </si>
  <si>
    <t>「ロット番号」欄のテキストボックスに文字が入力できること</t>
  </si>
  <si>
    <t>シリアル番号</t>
  </si>
  <si>
    <r>
      <rPr>
        <rFont val="Meiryo"/>
        <color rgb="FFB7B7B7"/>
      </rPr>
      <t>1.ログインする
2.「MENU」より「入荷」を押下する
3.「入庫入力」を押下する</t>
    </r>
    <r>
      <rPr>
        <rFont val="Meiryo"/>
        <color theme="1"/>
      </rPr>
      <t xml:space="preserve">
4.「シリアル番号」欄のテキストボックスに文字を入力する</t>
    </r>
  </si>
  <si>
    <t>「シリアル番号」欄のテキストボックスに文字が入力できること</t>
  </si>
  <si>
    <t>補足情報</t>
  </si>
  <si>
    <r>
      <rPr>
        <rFont val="Meiryo"/>
        <color rgb="FFB7B7B7"/>
        <sz val="11.0"/>
      </rPr>
      <t>1.ログインする
2.「MENU」より「入荷」を押下する
3.「入庫入力」を押下する</t>
    </r>
    <r>
      <rPr>
        <rFont val="Meiryo"/>
        <color theme="1"/>
        <sz val="11.0"/>
      </rPr>
      <t xml:space="preserve">
4.「補足情報」欄のテキストボックスに文字を入力する</t>
    </r>
  </si>
  <si>
    <t>「補足情報」欄のテキストボックスに文字が入力できること</t>
  </si>
  <si>
    <t>実行</t>
  </si>
  <si>
    <r>
      <rPr>
        <rFont val="Meiryo"/>
        <color theme="1"/>
        <sz val="11.0"/>
      </rPr>
      <t>1.「商品ラベルのバーコード」と「</t>
    </r>
    <r>
      <rPr>
        <rFont val="Meiryo"/>
        <strike/>
        <color theme="1"/>
        <sz val="11.0"/>
      </rPr>
      <t>ロックショー</t>
    </r>
    <r>
      <rPr>
        <rFont val="Meiryo"/>
        <color theme="1"/>
        <sz val="11.0"/>
      </rPr>
      <t>ロケーションのバーコード」が空白であること</t>
    </r>
  </si>
  <si>
    <r>
      <rPr>
        <rFont val="Meiryo"/>
        <color rgb="FFB7B7B7"/>
        <sz val="11.0"/>
      </rPr>
      <t>1.ログインする
2.「MENU」より「入荷」を押下する
3.「入庫入力」を押下する</t>
    </r>
    <r>
      <rPr>
        <rFont val="Meiryo"/>
        <color theme="1"/>
        <sz val="11.0"/>
      </rPr>
      <t xml:space="preserve">
4.前提条件を踏まえて入力欄に有効な数値を入力する
5.「実行」ボタンを押下する</t>
    </r>
  </si>
  <si>
    <t>「正しい情報を入力してください」と表示されること</t>
  </si>
  <si>
    <t>「商品ラベルのバーコードを空白にすることはできません」と表示される</t>
  </si>
  <si>
    <r>
      <rPr>
        <rFont val="Meiryo"/>
        <color theme="1"/>
        <sz val="11.0"/>
      </rPr>
      <t>1.「商品ラベルのバーコード」と「ロックショーのバーコード」が空白</t>
    </r>
    <r>
      <rPr>
        <rFont val="Meiryo"/>
        <b/>
        <color theme="1"/>
        <sz val="11.0"/>
      </rPr>
      <t>ではない</t>
    </r>
    <r>
      <rPr>
        <rFont val="Meiryo"/>
        <color theme="1"/>
        <sz val="11.0"/>
      </rPr>
      <t>こと</t>
    </r>
  </si>
  <si>
    <r>
      <rPr>
        <rFont val="Meiryo"/>
        <color rgb="FFB7B7B7"/>
        <sz val="11.0"/>
      </rPr>
      <t>1.ログインする
2.「MENU」より「入荷」を押下する
3.「入庫入力」を押下する
4.前提条件を踏まえて入力欄にすべての有効な数値を入力する</t>
    </r>
    <r>
      <rPr>
        <rFont val="Meiryo"/>
        <color rgb="FFB7B7B7"/>
        <sz val="11.0"/>
      </rPr>
      <t xml:space="preserve">
5.「実行」ボタンを押下する</t>
    </r>
  </si>
  <si>
    <t>「入庫入力完了ダイアログ」が表示されること</t>
  </si>
  <si>
    <t>・「消費期限」も必須項目であるため
・設計書では「必須」に印があるが、必須ではない項目にも印が付いており、正確な仕様か判断できないため</t>
  </si>
  <si>
    <t>1.「商品ラベルのバーコード」と「ロックショーのバーコード」が空白ではないこと</t>
  </si>
  <si>
    <t>1.ログインする
2.「MENU」より「入荷」を押下する
3.「入庫入力」を押下する
4.前提条件を踏まえて入力欄にすべての有効な数値を入力する
5.「実行」ボタンを押下する
6.「入庫入力完了ダイアログ」の枚数欄のテキストボックスに文字を入力する</t>
  </si>
  <si>
    <t>枚数欄のテキストボックスに文字が入力できること</t>
  </si>
  <si>
    <t>・「入庫入力完了」ダイアログが表示され、「ラベル発行」を押下する
・半角数字のみ入力可能</t>
  </si>
  <si>
    <r>
      <rPr>
        <rFont val="Meiryo"/>
        <color rgb="FFB7B7B7"/>
        <sz val="11.0"/>
      </rPr>
      <t>1.ログインする
2.「MENU」より「入荷」を押下する
3.「入庫入力」を押下する
4.前提条件を踏まえて入力欄にすべての有効な数値を入力する
5.「実行」ボタンを押下する
6.「入庫入力完了ダイアログ」の枚数欄のテキストボックスに文字を入力する</t>
    </r>
    <r>
      <rPr>
        <rFont val="Meiryo"/>
        <color theme="1"/>
        <sz val="11.0"/>
      </rPr>
      <t xml:space="preserve">
7.「ラベル発行」ボタンを押下する</t>
    </r>
  </si>
  <si>
    <t>ラベルが発行されること</t>
  </si>
  <si>
    <t>バリデーションチェック</t>
  </si>
  <si>
    <r>
      <rPr>
        <rFont val="Meiryo"/>
        <color rgb="FFB7B7B7"/>
        <sz val="11.0"/>
      </rPr>
      <t xml:space="preserve">1.ログインする
2.「MENU」より「入荷」を押下する
3.「入庫入力」を押下する
4.前提条件を踏まえて入力欄にすべての有効な数値を入力する
5.「実行」ボタンを押下する
</t>
    </r>
    <r>
      <rPr>
        <rFont val="Meiryo"/>
        <color theme="1"/>
        <sz val="11.0"/>
      </rPr>
      <t>6.「入庫入力完了ダイアログ」の枚数欄のテキストボックスに以下の文字を入力する</t>
    </r>
    <r>
      <rPr>
        <rFont val="Meiryo"/>
        <color rgb="FFB7B7B7"/>
        <sz val="11.0"/>
      </rPr>
      <t xml:space="preserve">
</t>
    </r>
    <r>
      <rPr>
        <rFont val="Meiryo"/>
        <color theme="1"/>
        <sz val="11.0"/>
      </rPr>
      <t>・&lt;script&gt;alert('hello word!!')&lt;/script&gt;
7.「ラベル発行」ボタンを押下する</t>
    </r>
  </si>
  <si>
    <t>ラベルが発行されないこと</t>
  </si>
  <si>
    <t>・テキストボックスに「&lt;script&gt;alert('hello word!!')&lt;/script&gt;」を入力できない
・仕様か判断できないため</t>
  </si>
  <si>
    <r>
      <rPr>
        <rFont val="Meiryo"/>
        <color rgb="FFB7B7B7"/>
        <sz val="11.0"/>
      </rPr>
      <t xml:space="preserve">1.ログインする
2.「MENU」より「入荷」を押下する
3.「入庫入力」を押下する
4.前提条件を踏まえて入力欄にすべての有効な数値を入力する
5.「実行」ボタンを押下する
</t>
    </r>
    <r>
      <rPr>
        <rFont val="Meiryo"/>
        <color theme="1"/>
        <sz val="11.0"/>
      </rPr>
      <t>6.「入庫入力完了ダイアログ」の枚数欄のテキストボックスに有効な数値を入力する
7.「ラベル発行」ボタンを押下する</t>
    </r>
  </si>
  <si>
    <r>
      <rPr>
        <rFont val="Meiryo"/>
        <color rgb="FFB7B7B7"/>
        <sz val="11.0"/>
      </rPr>
      <t>1.ログインする
2.「MENU」より「入荷」を押下する
3.「入庫入力」を押下する
4.前提条件を踏まえて入力欄にすべての有効な数値を入力する
5.「実行」ボタンを押下する
6.「入庫入力完了ダイアログ」の枚数欄のテキストボックスに文字を入力する</t>
    </r>
    <r>
      <rPr>
        <rFont val="Meiryo"/>
        <color theme="1"/>
        <sz val="11.0"/>
      </rPr>
      <t xml:space="preserve">
7.「確認」ボタンを押下する</t>
    </r>
  </si>
  <si>
    <t>一覧データを更新されること</t>
  </si>
  <si>
    <t>ラベル発行ボタン</t>
  </si>
  <si>
    <t>入庫入力一覧</t>
  </si>
  <si>
    <t>1.入庫入力を実行していること</t>
  </si>
  <si>
    <r>
      <rPr>
        <rFont val="Meiryo"/>
        <color rgb="FFB7B7B7"/>
        <sz val="11.0"/>
      </rPr>
      <t xml:space="preserve">1.ログインする
2.「MENU」より「入荷」を押下する
3.「入庫入力」を押下する
</t>
    </r>
    <r>
      <rPr>
        <rFont val="Meiryo"/>
        <color theme="1"/>
        <sz val="11.0"/>
      </rPr>
      <t>4.一覧にある任意の行のミートボールメニューを押下する
5.「ラベル発行」を押下する</t>
    </r>
  </si>
  <si>
    <t>ラベル発行ポップアップが表示されること</t>
  </si>
  <si>
    <r>
      <rPr>
        <rFont val="Meiryo"/>
        <color rgb="FFB7B7B7"/>
        <sz val="11.0"/>
      </rPr>
      <t>1.ログインする
2.「MENU」より「入荷」を押下する
3.「入庫入力」を押下する
4.一覧にある任意の行のミートボールメニューを押下する
5.「ラベル発行」を押下する</t>
    </r>
    <r>
      <rPr>
        <rFont val="Meiryo"/>
        <color theme="1"/>
        <sz val="11.0"/>
      </rPr>
      <t xml:space="preserve">
6.枚数欄のテキストボックスに文字を入力する</t>
    </r>
  </si>
  <si>
    <t>・半角数字のみ入力可能</t>
  </si>
  <si>
    <r>
      <rPr>
        <rFont val="Meiryo"/>
        <color rgb="FFB7B7B7"/>
        <sz val="11.0"/>
      </rPr>
      <t>1.ログインする
2.「MENU」より「入荷」を押下する
3.「入庫入力」を押下する
4.一覧にある任意の行のミートボールメニューを押下する
5.「ラベル発行」を押下する</t>
    </r>
    <r>
      <rPr>
        <rFont val="Meiryo"/>
        <color theme="1"/>
        <sz val="11.0"/>
      </rPr>
      <t xml:space="preserve">
6.「ラベル発行ポップアップ」枚数欄のテキストボックスに以下の文字を入力する
・&lt;script&gt;alert('hello word!!')&lt;/script&gt;
7.「ラベル発行」を押下する</t>
    </r>
  </si>
  <si>
    <t>商品ラベルを印刷されないこと</t>
  </si>
  <si>
    <r>
      <rPr>
        <rFont val="Meiryo"/>
        <color rgb="FFB7B7B7"/>
        <sz val="11.0"/>
      </rPr>
      <t>1.ログインする
2.「MENU」より「入荷」を押下する
3.「入庫入力」を押下する
4.一覧にある任意の行のミートボールメニューを押下する
5.「ラベル発行」を押下する</t>
    </r>
    <r>
      <rPr>
        <rFont val="Meiryo"/>
        <color theme="1"/>
        <sz val="11.0"/>
      </rPr>
      <t xml:space="preserve">
6.枚数欄のテキストボックスに有効な数値を入力する
7.「ラベル発行」を押下する</t>
    </r>
  </si>
  <si>
    <t>商品ラベルが発行されること</t>
  </si>
  <si>
    <t>修正</t>
  </si>
  <si>
    <r>
      <rPr>
        <rFont val="Meiryo"/>
        <color rgb="FFB7B7B7"/>
        <sz val="11.0"/>
      </rPr>
      <t>1.ログインする
2.「MENU」より「入荷」を押下する
3.「入庫入力」を押下する
4.一覧にある任意の行のミートボールメニューを押下する</t>
    </r>
    <r>
      <rPr>
        <rFont val="Meiryo"/>
        <color theme="1"/>
        <sz val="11.0"/>
      </rPr>
      <t xml:space="preserve">
5.「入庫入力」一覧にある任意の行のミートボールメニューを押下する
6.「修正」を押下する</t>
    </r>
  </si>
  <si>
    <t>対応するデータが上記に反映すること</t>
  </si>
  <si>
    <t>削除</t>
  </si>
  <si>
    <r>
      <rPr>
        <rFont val="Meiryo"/>
        <color rgb="FFB7B7B7"/>
        <sz val="11.0"/>
      </rPr>
      <t>1.ログインする
2.「MENU」より「入荷」を押下する
3.「入庫入力」を押下する</t>
    </r>
    <r>
      <rPr>
        <rFont val="Meiryo"/>
        <color theme="1"/>
        <sz val="11.0"/>
      </rPr>
      <t xml:space="preserve">
4.前提条件を踏まえて入力欄に有効な数値を入力する
5.「入庫入力」一覧にある任意の行のミートボールメニューを押下する
6.「削除」を押下する</t>
    </r>
  </si>
  <si>
    <t>削除のヒントが表示されること</t>
  </si>
  <si>
    <r>
      <rPr>
        <rFont val="Meiryo"/>
        <color rgb="FF999999"/>
        <sz val="11.0"/>
      </rPr>
      <t>1.ログインする
2.「MENU」より「入荷」を押下する
3.「入庫入力」を押下する</t>
    </r>
    <r>
      <rPr>
        <rFont val="Meiryo"/>
        <color rgb="FF999999"/>
        <sz val="11.0"/>
      </rPr>
      <t xml:space="preserve">
4.前提条件を踏まえて入力欄に有効な数値を入力する
5.「入庫入力」一覧にある任意の行のミートボールメニューを押下する
6.「削除」を押下する</t>
    </r>
  </si>
  <si>
    <t>一覧が更新されること</t>
  </si>
  <si>
    <t>更新日</t>
  </si>
  <si>
    <t>更新者</t>
  </si>
  <si>
    <t>対象シート</t>
  </si>
  <si>
    <t>項番</t>
  </si>
  <si>
    <t>列</t>
  </si>
  <si>
    <t>更新内容</t>
  </si>
  <si>
    <t>更新事由</t>
  </si>
  <si>
    <t>AG石橋</t>
  </si>
  <si>
    <t>No10</t>
  </si>
  <si>
    <t xml:space="preserve">正：「商品ラベルのバーコード入力」と該当する入荷予定明細のデータが入庫入力画面に表示されていること
誤：「商品ラベルのバーコード入力」と該当する入荷予定番号のデータが入庫入力画面に表示されていること
</t>
  </si>
  <si>
    <t>設計書との文言相違があった為</t>
  </si>
  <si>
    <t>No11</t>
  </si>
  <si>
    <t>検証手順追記
5.Enterを押下する</t>
  </si>
  <si>
    <t>No30</t>
  </si>
  <si>
    <t>全て</t>
  </si>
  <si>
    <t>設計書に相違のある文言の行を削除</t>
  </si>
  <si>
    <t>No28
No29</t>
  </si>
  <si>
    <t>No28
誤：削除確認モーダルが表示されること
正：削除のヒントが表示されること
No29
正：一覧が更新されること
誤：選択した明細が削除されていないこと</t>
  </si>
  <si>
    <t>template</t>
  </si>
  <si>
    <t>結果集計</t>
  </si>
  <si>
    <t>大項目</t>
  </si>
  <si>
    <t>中項目</t>
  </si>
  <si>
    <t>小項目</t>
  </si>
  <si>
    <t>ブラウザ 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</si>
</sst>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d"/>
  </numFmts>
  <fonts count="26">
    <font>
      <sz val="11.0"/>
      <color theme="1"/>
      <name val="Calibri"/>
      <scheme val="minor"/>
    </font>
    <font>
      <sz val="9.0"/>
      <color theme="1"/>
      <name val="Meiryo"/>
    </font>
    <font>
      <b/>
      <sz val="9.0"/>
      <color theme="1"/>
      <name val="Meiryo"/>
    </font>
    <font>
      <sz val="11.0"/>
      <color theme="1"/>
      <name val="Meiryo"/>
    </font>
    <font>
      <sz val="9.0"/>
      <color rgb="FFFFFFFF"/>
      <name val="Meiryo"/>
    </font>
    <font>
      <sz val="11.0"/>
      <color theme="1"/>
      <name val="Calibri"/>
    </font>
    <font/>
    <font>
      <color theme="1"/>
      <name val="Calibri"/>
      <scheme val="minor"/>
    </font>
    <font>
      <b/>
      <sz val="12.0"/>
      <color rgb="FF000000"/>
      <name val="Meiryo"/>
    </font>
    <font>
      <sz val="10.0"/>
      <color theme="1"/>
      <name val="Meiryo"/>
    </font>
    <font>
      <color theme="1"/>
      <name val="Meiryo"/>
    </font>
    <font>
      <b/>
      <color theme="1"/>
      <name val="Meiryo"/>
    </font>
    <font>
      <sz val="12.0"/>
      <color theme="1"/>
      <name val="Meiryo"/>
    </font>
    <font>
      <sz val="10.0"/>
      <color theme="1"/>
      <name val="Calibri"/>
    </font>
    <font>
      <color theme="1"/>
      <name val="Calibri"/>
    </font>
    <font>
      <b/>
      <sz val="14.0"/>
      <color theme="1"/>
      <name val="Meiryo"/>
    </font>
    <font>
      <b/>
      <sz val="10.0"/>
      <color theme="1"/>
      <name val="Meiryo"/>
    </font>
    <font>
      <b/>
      <sz val="12.0"/>
      <color theme="1"/>
      <name val="Meiryo"/>
    </font>
    <font>
      <color rgb="FF000000"/>
      <name val="Meiryo"/>
    </font>
    <font>
      <sz val="11.0"/>
      <color rgb="FFB7B7B7"/>
      <name val="Meiryo"/>
    </font>
    <font>
      <sz val="11.0"/>
      <color rgb="FF999999"/>
      <name val="Meiryo"/>
    </font>
    <font>
      <b/>
      <sz val="11.0"/>
      <color theme="1"/>
      <name val="Meiryo"/>
    </font>
    <font>
      <color theme="1"/>
      <name val="Arial"/>
    </font>
    <font>
      <sz val="11.0"/>
      <color theme="1"/>
      <name val="Arial"/>
    </font>
    <font>
      <sz val="10.0"/>
      <color rgb="FF000000"/>
      <name val="Meiryo"/>
    </font>
    <font>
      <sz val="11.0"/>
      <color rgb="FF000000"/>
      <name val="Meiryo"/>
    </font>
  </fonts>
  <fills count="20">
    <fill>
      <patternFill patternType="none"/>
    </fill>
    <fill>
      <patternFill patternType="lightGray"/>
    </fill>
    <fill>
      <patternFill patternType="solid">
        <fgColor rgb="FF1C4587"/>
        <bgColor rgb="FF1C4587"/>
      </patternFill>
    </fill>
    <fill>
      <patternFill patternType="solid">
        <fgColor rgb="FFE0FFFF"/>
        <bgColor rgb="FFE0FFFF"/>
      </patternFill>
    </fill>
    <fill>
      <patternFill patternType="solid">
        <fgColor rgb="FFFFE599"/>
        <bgColor rgb="FFFFE599"/>
      </patternFill>
    </fill>
    <fill>
      <patternFill patternType="solid">
        <fgColor rgb="FFF9CB9C"/>
        <bgColor rgb="FFF9CB9C"/>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BFBFBF"/>
        <bgColor rgb="FFBFBFBF"/>
      </patternFill>
    </fill>
    <fill>
      <patternFill patternType="solid">
        <fgColor rgb="FFB7B7B7"/>
        <bgColor rgb="FFB7B7B7"/>
      </patternFill>
    </fill>
    <fill>
      <patternFill patternType="solid">
        <fgColor rgb="FF666666"/>
        <bgColor rgb="FF666666"/>
      </patternFill>
    </fill>
    <fill>
      <patternFill patternType="solid">
        <fgColor rgb="FFCCFFCC"/>
        <bgColor rgb="FFCCFFCC"/>
      </patternFill>
    </fill>
    <fill>
      <patternFill patternType="solid">
        <fgColor rgb="FFFABF8F"/>
        <bgColor rgb="FFFABF8F"/>
      </patternFill>
    </fill>
    <fill>
      <patternFill patternType="solid">
        <fgColor rgb="FF999999"/>
        <bgColor rgb="FF999999"/>
      </patternFill>
    </fill>
    <fill>
      <patternFill patternType="solid">
        <fgColor rgb="FFFFD6A4"/>
        <bgColor rgb="FFFFD6A4"/>
      </patternFill>
    </fill>
    <fill>
      <patternFill patternType="solid">
        <fgColor rgb="FFFFFDDA"/>
        <bgColor rgb="FFFFFDDA"/>
      </patternFill>
    </fill>
    <fill>
      <patternFill patternType="solid">
        <fgColor theme="0"/>
        <bgColor theme="0"/>
      </patternFill>
    </fill>
    <fill>
      <patternFill patternType="solid">
        <fgColor rgb="FFFFFFFF"/>
        <bgColor rgb="FFFFFFFF"/>
      </patternFill>
    </fill>
  </fills>
  <borders count="6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rder>
    <border>
      <left style="thin">
        <color rgb="FF000000"/>
      </left>
      <top style="medium">
        <color rgb="FF000000"/>
      </top>
    </border>
    <border>
      <left style="thin">
        <color rgb="FF000000"/>
      </left>
      <right/>
      <top style="medium">
        <color rgb="FF000000"/>
      </top>
      <bottom style="thin">
        <color rgb="FF000000"/>
      </bottom>
    </border>
    <border>
      <left style="medium">
        <color rgb="FF000000"/>
      </left>
      <bottom style="thin">
        <color rgb="FF000000"/>
      </bottom>
    </border>
    <border>
      <left style="thin">
        <color rgb="FF000000"/>
      </left>
      <right style="thin">
        <color rgb="FF000000"/>
      </right>
      <bottom style="thin">
        <color rgb="FF000000"/>
      </bottom>
    </border>
    <border>
      <right style="medium">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hair">
        <color rgb="FF000000"/>
      </top>
      <bottom/>
    </border>
    <border>
      <left style="thin">
        <color rgb="FF000000"/>
      </left>
      <right style="medium">
        <color rgb="FF000000"/>
      </right>
      <top style="hair">
        <color rgb="FF000000"/>
      </top>
    </border>
    <border>
      <left style="medium">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thin">
        <color rgb="FF000000"/>
      </left>
      <right style="thin">
        <color rgb="FF000000"/>
      </right>
      <top style="medium">
        <color rgb="FF000000"/>
      </top>
    </border>
    <border>
      <left style="thin">
        <color rgb="FF000000"/>
      </left>
      <top style="medium">
        <color rgb="FF000000"/>
      </top>
      <bottom style="thin">
        <color rgb="FF000000"/>
      </bottom>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style="thin">
        <color rgb="FF000000"/>
      </left>
      <top style="thin">
        <color rgb="FF000000"/>
      </top>
    </border>
    <border>
      <top style="thin">
        <color rgb="FF000000"/>
      </top>
    </border>
    <border>
      <left style="medium">
        <color rgb="FF000000"/>
      </left>
      <right style="thin">
        <color rgb="FF000000"/>
      </right>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
      <top style="medium">
        <color rgb="FF000000"/>
      </top>
    </border>
  </borders>
  <cellStyleXfs count="1">
    <xf borderId="0" fillId="0" fontId="0" numFmtId="0" applyAlignment="1" applyFont="1"/>
  </cellStyleXfs>
  <cellXfs count="179">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vertical="center"/>
    </xf>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1" fillId="3" fontId="2" numFmtId="0" xfId="0" applyAlignment="1" applyBorder="1" applyFill="1" applyFont="1">
      <alignment horizontal="center" vertical="center"/>
    </xf>
    <xf borderId="1" fillId="3" fontId="2" numFmtId="0" xfId="0" applyAlignment="1" applyBorder="1" applyFont="1">
      <alignment vertical="center"/>
    </xf>
    <xf borderId="2" fillId="3" fontId="2" numFmtId="10" xfId="0" applyAlignment="1" applyBorder="1" applyFont="1" applyNumberFormat="1">
      <alignment vertical="center"/>
    </xf>
    <xf borderId="3" fillId="3" fontId="2" numFmtId="0" xfId="0" applyAlignment="1" applyBorder="1" applyFont="1">
      <alignment vertical="center"/>
    </xf>
    <xf borderId="4" fillId="3" fontId="2" numFmtId="0" xfId="0" applyAlignment="1" applyBorder="1" applyFont="1">
      <alignment vertical="center"/>
    </xf>
    <xf borderId="2" fillId="4" fontId="5" numFmtId="0" xfId="0" applyAlignment="1" applyBorder="1" applyFill="1" applyFont="1">
      <alignment vertical="center"/>
    </xf>
    <xf borderId="4" fillId="0" fontId="6" numFmtId="0" xfId="0" applyAlignment="1" applyBorder="1" applyFont="1">
      <alignment vertical="center"/>
    </xf>
    <xf borderId="1" fillId="0" fontId="1" numFmtId="0" xfId="0" applyAlignment="1" applyBorder="1" applyFont="1">
      <alignment horizontal="center" vertical="center"/>
    </xf>
    <xf borderId="1" fillId="5" fontId="1" numFmtId="0" xfId="0" applyAlignment="1" applyBorder="1" applyFill="1" applyFont="1">
      <alignment vertical="center"/>
    </xf>
    <xf borderId="1" fillId="5" fontId="1" numFmtId="0" xfId="0" applyAlignment="1" applyBorder="1" applyFont="1">
      <alignment horizontal="center" vertical="center"/>
    </xf>
    <xf borderId="2" fillId="5" fontId="1" numFmtId="10" xfId="0" applyAlignment="1" applyBorder="1" applyFont="1" applyNumberFormat="1">
      <alignment vertical="center"/>
    </xf>
    <xf borderId="3" fillId="5" fontId="1" numFmtId="0" xfId="0" applyAlignment="1" applyBorder="1" applyFont="1">
      <alignment vertical="center"/>
    </xf>
    <xf borderId="4" fillId="5" fontId="1" numFmtId="0" xfId="0" applyAlignment="1" applyBorder="1" applyFont="1">
      <alignment vertical="center"/>
    </xf>
    <xf borderId="1" fillId="0" fontId="5" numFmtId="0" xfId="0" applyAlignment="1" applyBorder="1" applyFont="1">
      <alignment vertical="center"/>
    </xf>
    <xf borderId="1" fillId="0" fontId="1" numFmtId="0" xfId="0" applyAlignment="1" applyBorder="1" applyFont="1">
      <alignment vertical="center"/>
    </xf>
    <xf borderId="2" fillId="0" fontId="1" numFmtId="10" xfId="0" applyAlignment="1" applyBorder="1" applyFont="1" applyNumberFormat="1">
      <alignment vertical="center"/>
    </xf>
    <xf borderId="3" fillId="0" fontId="1" numFmtId="0" xfId="0" applyAlignment="1" applyBorder="1" applyFont="1">
      <alignment vertical="center"/>
    </xf>
    <xf borderId="4" fillId="0" fontId="1" numFmtId="0" xfId="0" applyAlignment="1" applyBorder="1" applyFont="1">
      <alignment vertical="center"/>
    </xf>
    <xf borderId="1" fillId="0" fontId="5" numFmtId="0" xfId="0" applyAlignment="1" applyBorder="1" applyFont="1">
      <alignment readingOrder="0" vertical="center"/>
    </xf>
    <xf borderId="1" fillId="0" fontId="5" numFmtId="14" xfId="0" applyAlignment="1" applyBorder="1" applyFont="1" applyNumberFormat="1">
      <alignment readingOrder="0"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3" numFmtId="164" xfId="0" applyAlignment="1" applyFont="1" applyNumberFormat="1">
      <alignment shrinkToFit="0" vertical="center" wrapText="1"/>
    </xf>
    <xf borderId="0" fillId="0" fontId="7" numFmtId="0" xfId="0" applyAlignment="1" applyFont="1">
      <alignment shrinkToFit="0" vertical="center" wrapText="1"/>
    </xf>
    <xf borderId="0" fillId="0" fontId="8" numFmtId="0" xfId="0" applyAlignment="1" applyFont="1">
      <alignment horizontal="left" shrinkToFit="0" vertical="center" wrapText="0"/>
    </xf>
    <xf borderId="0" fillId="0" fontId="9" numFmtId="0" xfId="0" applyAlignment="1" applyFont="1">
      <alignment shrinkToFit="0" vertical="center" wrapText="1"/>
    </xf>
    <xf borderId="5" fillId="6" fontId="10" numFmtId="164" xfId="0" applyAlignment="1" applyBorder="1" applyFill="1" applyFont="1" applyNumberFormat="1">
      <alignment horizontal="center" vertical="center"/>
    </xf>
    <xf borderId="6" fillId="0" fontId="10" numFmtId="0" xfId="0" applyAlignment="1" applyBorder="1" applyFont="1">
      <alignment horizontal="center" vertical="center"/>
    </xf>
    <xf borderId="5" fillId="7" fontId="11" numFmtId="0" xfId="0" applyAlignment="1" applyBorder="1" applyFill="1" applyFont="1">
      <alignment horizontal="center" vertical="center"/>
    </xf>
    <xf borderId="7" fillId="0" fontId="10" numFmtId="0" xfId="0" applyAlignment="1" applyBorder="1" applyFont="1">
      <alignment horizontal="right" vertical="center"/>
    </xf>
    <xf borderId="8" fillId="6" fontId="10" numFmtId="164" xfId="0" applyAlignment="1" applyBorder="1" applyFont="1" applyNumberFormat="1">
      <alignment horizontal="center" vertical="center"/>
    </xf>
    <xf borderId="9" fillId="0" fontId="10" numFmtId="0" xfId="0" applyAlignment="1" applyBorder="1" applyFont="1">
      <alignment horizontal="center" vertical="center"/>
    </xf>
    <xf borderId="0" fillId="0" fontId="5" numFmtId="0" xfId="0" applyAlignment="1" applyFont="1">
      <alignment shrinkToFit="0" vertical="center" wrapText="1"/>
    </xf>
    <xf borderId="0" fillId="0" fontId="5" numFmtId="0" xfId="0" applyAlignment="1" applyFont="1">
      <alignment vertical="center"/>
    </xf>
    <xf borderId="0" fillId="0" fontId="12" numFmtId="0" xfId="0" applyAlignment="1" applyFont="1">
      <alignment shrinkToFit="0" vertical="center" wrapText="1"/>
    </xf>
    <xf borderId="0" fillId="0" fontId="12" numFmtId="0" xfId="0" applyAlignment="1" applyFont="1">
      <alignment horizontal="center" shrinkToFit="0" vertical="center" wrapText="1"/>
    </xf>
    <xf borderId="0" fillId="0" fontId="13" numFmtId="0" xfId="0" applyAlignment="1" applyFont="1">
      <alignment shrinkToFit="0" vertical="center" wrapText="1"/>
    </xf>
    <xf borderId="10" fillId="6" fontId="10" numFmtId="164" xfId="0" applyAlignment="1" applyBorder="1" applyFont="1" applyNumberFormat="1">
      <alignment horizontal="center" vertical="center"/>
    </xf>
    <xf borderId="11" fillId="0" fontId="5" numFmtId="0" xfId="0" applyAlignment="1" applyBorder="1" applyFont="1">
      <alignment readingOrder="0" vertical="center"/>
    </xf>
    <xf borderId="12" fillId="7" fontId="11" numFmtId="0" xfId="0" applyAlignment="1" applyBorder="1" applyFont="1">
      <alignment horizontal="center" vertical="center"/>
    </xf>
    <xf borderId="13" fillId="0" fontId="10" numFmtId="0" xfId="0" applyAlignment="1" applyBorder="1" applyFont="1">
      <alignment horizontal="right" vertical="center"/>
    </xf>
    <xf borderId="14" fillId="6" fontId="10" numFmtId="164" xfId="0" applyAlignment="1" applyBorder="1" applyFont="1" applyNumberFormat="1">
      <alignment horizontal="center" vertical="center"/>
    </xf>
    <xf borderId="15" fillId="0" fontId="5" numFmtId="0" xfId="0" applyAlignment="1" applyBorder="1" applyFont="1">
      <alignment vertical="center"/>
    </xf>
    <xf borderId="0" fillId="0" fontId="9" numFmtId="0" xfId="0" applyAlignment="1" applyFont="1">
      <alignment horizontal="center" shrinkToFit="0" vertical="center" wrapText="1"/>
    </xf>
    <xf borderId="0" fillId="0" fontId="14" numFmtId="0" xfId="0" applyAlignment="1" applyFont="1">
      <alignment shrinkToFit="0" vertical="center" wrapText="1"/>
    </xf>
    <xf borderId="11" fillId="0" fontId="10" numFmtId="10" xfId="0" applyAlignment="1" applyBorder="1" applyFont="1" applyNumberFormat="1">
      <alignment horizontal="center" vertical="center"/>
    </xf>
    <xf borderId="12" fillId="8" fontId="11" numFmtId="0" xfId="0" applyAlignment="1" applyBorder="1" applyFill="1" applyFont="1">
      <alignment horizontal="center" vertical="center"/>
    </xf>
    <xf borderId="15" fillId="0" fontId="10" numFmtId="0" xfId="0" applyAlignment="1" applyBorder="1" applyFont="1">
      <alignment horizontal="center" vertical="center"/>
    </xf>
    <xf borderId="12" fillId="9" fontId="11" numFmtId="0" xfId="0" applyAlignment="1" applyBorder="1" applyFill="1" applyFont="1">
      <alignment horizontal="center" vertical="center"/>
    </xf>
    <xf borderId="16" fillId="6" fontId="10" numFmtId="164" xfId="0" applyAlignment="1" applyBorder="1" applyFont="1" applyNumberFormat="1">
      <alignment horizontal="center" vertical="center"/>
    </xf>
    <xf borderId="17" fillId="0" fontId="5" numFmtId="0" xfId="0" applyAlignment="1" applyBorder="1" applyFont="1">
      <alignment vertical="center"/>
    </xf>
    <xf borderId="12" fillId="10" fontId="11" numFmtId="0" xfId="0" applyAlignment="1" applyBorder="1" applyFill="1" applyFont="1">
      <alignment horizontal="center" vertical="center"/>
    </xf>
    <xf borderId="18" fillId="6" fontId="10" numFmtId="164" xfId="0" applyAlignment="1" applyBorder="1" applyFont="1" applyNumberFormat="1">
      <alignment horizontal="center" vertical="center"/>
    </xf>
    <xf borderId="19" fillId="0" fontId="5" numFmtId="0" xfId="0" applyAlignment="1" applyBorder="1" applyFont="1">
      <alignment vertical="center"/>
    </xf>
    <xf borderId="12" fillId="11" fontId="11" numFmtId="0" xfId="0" applyAlignment="1" applyBorder="1" applyFill="1" applyFont="1">
      <alignment horizontal="center" vertical="center"/>
    </xf>
    <xf borderId="20" fillId="0" fontId="5" numFmtId="0" xfId="0" applyAlignment="1" applyBorder="1" applyFont="1">
      <alignment vertical="center"/>
    </xf>
    <xf borderId="21" fillId="12" fontId="11" numFmtId="0" xfId="0" applyAlignment="1" applyBorder="1" applyFill="1" applyFont="1">
      <alignment horizontal="center" vertical="center"/>
    </xf>
    <xf borderId="22" fillId="0" fontId="10" numFmtId="0" xfId="0" applyAlignment="1" applyBorder="1" applyFont="1">
      <alignment horizontal="right" vertical="center"/>
    </xf>
    <xf borderId="17" fillId="0" fontId="5" numFmtId="0" xfId="0" applyAlignment="1" applyBorder="1" applyFont="1">
      <alignment shrinkToFit="0" vertical="center" wrapText="1"/>
    </xf>
    <xf borderId="0" fillId="0" fontId="15" numFmtId="0" xfId="0" applyAlignment="1" applyFont="1">
      <alignment horizontal="center" shrinkToFit="0" vertical="center" wrapText="1"/>
    </xf>
    <xf borderId="23" fillId="13" fontId="16" numFmtId="0" xfId="0" applyAlignment="1" applyBorder="1" applyFill="1" applyFont="1">
      <alignment horizontal="center" shrinkToFit="0" vertical="center" wrapText="1"/>
    </xf>
    <xf borderId="24" fillId="13" fontId="17" numFmtId="0" xfId="0" applyAlignment="1" applyBorder="1" applyFont="1">
      <alignment horizontal="center" shrinkToFit="0" vertical="center" wrapText="1"/>
    </xf>
    <xf borderId="8" fillId="13" fontId="17" numFmtId="0" xfId="0" applyAlignment="1" applyBorder="1" applyFont="1">
      <alignment horizontal="center" shrinkToFit="0" vertical="center" wrapText="1"/>
    </xf>
    <xf borderId="25" fillId="13" fontId="17" numFmtId="0" xfId="0" applyAlignment="1" applyBorder="1" applyFont="1">
      <alignment horizontal="center" shrinkToFit="0" vertical="center" wrapText="1"/>
    </xf>
    <xf borderId="26" fillId="13" fontId="17" numFmtId="0" xfId="0" applyAlignment="1" applyBorder="1" applyFont="1">
      <alignment horizontal="center" shrinkToFit="0" vertical="center" wrapText="1"/>
    </xf>
    <xf borderId="27" fillId="13" fontId="17" numFmtId="0" xfId="0" applyAlignment="1" applyBorder="1" applyFont="1">
      <alignment horizontal="center" shrinkToFit="0" vertical="center" wrapText="1"/>
    </xf>
    <xf borderId="10" fillId="14" fontId="11" numFmtId="0" xfId="0" applyAlignment="1" applyBorder="1" applyFill="1" applyFont="1">
      <alignment horizontal="center" shrinkToFit="0" vertical="center" wrapText="1"/>
    </xf>
    <xf borderId="14" fillId="14" fontId="11" numFmtId="164" xfId="0" applyAlignment="1" applyBorder="1" applyFont="1" applyNumberFormat="1">
      <alignment horizontal="center" shrinkToFit="0" vertical="center" wrapText="1"/>
    </xf>
    <xf borderId="14" fillId="14" fontId="11" numFmtId="0" xfId="0" applyAlignment="1" applyBorder="1" applyFont="1">
      <alignment horizontal="center" shrinkToFit="0" vertical="center" wrapText="1"/>
    </xf>
    <xf borderId="15" fillId="14" fontId="11" numFmtId="0" xfId="0" applyAlignment="1" applyBorder="1" applyFont="1">
      <alignment horizontal="center" shrinkToFit="0" vertical="center" wrapText="1"/>
    </xf>
    <xf borderId="28" fillId="0" fontId="9" numFmtId="0" xfId="0" applyAlignment="1" applyBorder="1" applyFont="1">
      <alignment horizontal="center" shrinkToFit="0" vertical="center" wrapText="1"/>
    </xf>
    <xf borderId="1" fillId="0" fontId="10" numFmtId="0" xfId="0" applyAlignment="1" applyBorder="1" applyFont="1">
      <alignment shrinkToFit="0" vertical="top" wrapText="1"/>
    </xf>
    <xf borderId="4" fillId="0" fontId="10" numFmtId="0" xfId="0" applyAlignment="1" applyBorder="1" applyFont="1">
      <alignment shrinkToFit="0" vertical="top" wrapText="1"/>
    </xf>
    <xf borderId="29" fillId="0" fontId="10" numFmtId="0" xfId="0" applyAlignment="1" applyBorder="1" applyFont="1">
      <alignment horizontal="center" readingOrder="0" vertical="center"/>
    </xf>
    <xf borderId="14" fillId="0" fontId="5" numFmtId="165" xfId="0" applyAlignment="1" applyBorder="1" applyFont="1" applyNumberFormat="1">
      <alignment readingOrder="0" vertical="center"/>
    </xf>
    <xf borderId="14" fillId="0" fontId="5" numFmtId="49" xfId="0" applyAlignment="1" applyBorder="1" applyFont="1" applyNumberFormat="1">
      <alignment readingOrder="0" vertical="center"/>
    </xf>
    <xf borderId="14" fillId="0" fontId="5" numFmtId="0" xfId="0" applyAlignment="1" applyBorder="1" applyFont="1">
      <alignment vertical="center"/>
    </xf>
    <xf borderId="14" fillId="0" fontId="10" numFmtId="0" xfId="0" applyAlignment="1" applyBorder="1" applyFont="1">
      <alignment horizontal="center" vertical="center"/>
    </xf>
    <xf borderId="14" fillId="0" fontId="5" numFmtId="165" xfId="0" applyAlignment="1" applyBorder="1" applyFont="1" applyNumberFormat="1">
      <alignment vertical="center"/>
    </xf>
    <xf borderId="14" fillId="0" fontId="5" numFmtId="49" xfId="0" applyAlignment="1" applyBorder="1" applyFont="1" applyNumberFormat="1">
      <alignment vertical="center"/>
    </xf>
    <xf borderId="15" fillId="0" fontId="5" numFmtId="0" xfId="0" applyAlignment="1" applyBorder="1" applyFont="1">
      <alignment shrinkToFit="0" vertical="center" wrapText="1"/>
    </xf>
    <xf borderId="15" fillId="0" fontId="5" numFmtId="0" xfId="0" applyAlignment="1" applyBorder="1" applyFont="1">
      <alignment readingOrder="0" shrinkToFit="0" vertical="center" wrapText="1"/>
    </xf>
    <xf borderId="1" fillId="0" fontId="3" numFmtId="0" xfId="0" applyAlignment="1" applyBorder="1" applyFont="1">
      <alignment shrinkToFit="0" vertical="top" wrapText="1"/>
    </xf>
    <xf borderId="4" fillId="0" fontId="3" numFmtId="0" xfId="0" applyAlignment="1" applyBorder="1" applyFont="1">
      <alignment shrinkToFit="0" vertical="top" wrapText="1"/>
    </xf>
    <xf borderId="14" fillId="0" fontId="3" numFmtId="0" xfId="0" applyAlignment="1" applyBorder="1" applyFont="1">
      <alignment horizontal="center" readingOrder="0" vertical="center"/>
    </xf>
    <xf borderId="4" fillId="0" fontId="10" numFmtId="0" xfId="0" applyAlignment="1" applyBorder="1" applyFont="1">
      <alignment horizontal="center" shrinkToFit="0" vertical="center" wrapText="1"/>
    </xf>
    <xf borderId="4" fillId="0" fontId="3" numFmtId="0" xfId="0" applyAlignment="1" applyBorder="1" applyFont="1">
      <alignment readingOrder="0" shrinkToFit="0" vertical="top" wrapText="1"/>
    </xf>
    <xf borderId="4" fillId="0" fontId="5" numFmtId="0" xfId="0" applyAlignment="1" applyBorder="1" applyFont="1">
      <alignment vertical="center"/>
    </xf>
    <xf borderId="4" fillId="0" fontId="5" numFmtId="165" xfId="0" applyAlignment="1" applyBorder="1" applyFont="1" applyNumberFormat="1">
      <alignment vertical="center"/>
    </xf>
    <xf borderId="4" fillId="0" fontId="5" numFmtId="49" xfId="0" applyAlignment="1" applyBorder="1" applyFont="1" applyNumberFormat="1">
      <alignment vertical="center"/>
    </xf>
    <xf borderId="30" fillId="0" fontId="5" numFmtId="0" xfId="0" applyAlignment="1" applyBorder="1" applyFont="1">
      <alignment readingOrder="0" shrinkToFit="0" vertical="center" wrapText="1"/>
    </xf>
    <xf borderId="30" fillId="0" fontId="5" numFmtId="0" xfId="0" applyAlignment="1" applyBorder="1" applyFont="1">
      <alignment shrinkToFit="0" vertical="center" wrapText="1"/>
    </xf>
    <xf borderId="14" fillId="0" fontId="3" numFmtId="0" xfId="0" applyAlignment="1" applyBorder="1" applyFont="1">
      <alignment shrinkToFit="0" vertical="top" wrapText="1"/>
    </xf>
    <xf borderId="14" fillId="0" fontId="10" numFmtId="0" xfId="0" applyAlignment="1" applyBorder="1" applyFont="1">
      <alignment horizontal="center" readingOrder="0" vertical="center"/>
    </xf>
    <xf borderId="14" fillId="15" fontId="3" numFmtId="0" xfId="0" applyAlignment="1" applyBorder="1" applyFill="1" applyFont="1">
      <alignment horizontal="center" vertical="center"/>
    </xf>
    <xf borderId="4" fillId="0" fontId="18" numFmtId="0" xfId="0" applyAlignment="1" applyBorder="1" applyFont="1">
      <alignment shrinkToFit="0" vertical="top" wrapText="1"/>
    </xf>
    <xf borderId="14" fillId="0" fontId="5" numFmtId="0" xfId="0" applyAlignment="1" applyBorder="1" applyFont="1">
      <alignment vertical="top"/>
    </xf>
    <xf borderId="14" fillId="0" fontId="10" numFmtId="0" xfId="0" applyAlignment="1" applyBorder="1" applyFont="1">
      <alignment shrinkToFit="0" vertical="top" wrapText="1"/>
    </xf>
    <xf borderId="4" fillId="0" fontId="5" numFmtId="0" xfId="0" applyAlignment="1" applyBorder="1" applyFont="1">
      <alignment vertical="top"/>
    </xf>
    <xf borderId="4" fillId="0" fontId="19" numFmtId="0" xfId="0" applyAlignment="1" applyBorder="1" applyFont="1">
      <alignment shrinkToFit="0" vertical="top" wrapText="1"/>
    </xf>
    <xf borderId="29" fillId="0" fontId="10" numFmtId="0" xfId="0" applyAlignment="1" applyBorder="1" applyFont="1">
      <alignment shrinkToFit="0" vertical="top" wrapText="1"/>
    </xf>
    <xf borderId="4" fillId="0" fontId="20" numFmtId="0" xfId="0" applyAlignment="1" applyBorder="1" applyFont="1">
      <alignment shrinkToFit="0" vertical="top" wrapText="1"/>
    </xf>
    <xf borderId="0" fillId="0" fontId="14" numFmtId="0" xfId="0" applyAlignment="1" applyFont="1">
      <alignment vertical="center"/>
    </xf>
    <xf borderId="1" fillId="3" fontId="21" numFmtId="0" xfId="0" applyAlignment="1" applyBorder="1" applyFont="1">
      <alignment horizontal="center" shrinkToFit="0" vertical="bottom" wrapText="1"/>
    </xf>
    <xf borderId="4" fillId="3" fontId="21" numFmtId="0" xfId="0" applyAlignment="1" applyBorder="1" applyFont="1">
      <alignment horizontal="center" shrinkToFit="0" vertical="bottom" wrapText="1"/>
    </xf>
    <xf borderId="29" fillId="0" fontId="22" numFmtId="0" xfId="0" applyAlignment="1" applyBorder="1" applyFont="1">
      <alignment vertical="bottom"/>
    </xf>
    <xf borderId="14" fillId="0" fontId="22" numFmtId="165" xfId="0" applyAlignment="1" applyBorder="1" applyFont="1" applyNumberFormat="1">
      <alignment vertical="bottom"/>
    </xf>
    <xf borderId="14" fillId="0" fontId="22" numFmtId="0" xfId="0" applyAlignment="1" applyBorder="1" applyFont="1">
      <alignment vertical="bottom"/>
    </xf>
    <xf borderId="14" fillId="0" fontId="22" numFmtId="0" xfId="0" applyAlignment="1" applyBorder="1" applyFont="1">
      <alignment shrinkToFit="0" vertical="bottom" wrapText="1"/>
    </xf>
    <xf borderId="14" fillId="0" fontId="23" numFmtId="165" xfId="0" applyAlignment="1" applyBorder="1" applyFont="1" applyNumberFormat="1">
      <alignment horizontal="right" vertical="bottom"/>
    </xf>
    <xf borderId="14" fillId="0" fontId="23" numFmtId="0" xfId="0" applyAlignment="1" applyBorder="1" applyFont="1">
      <alignment vertical="bottom"/>
    </xf>
    <xf borderId="14" fillId="0" fontId="23" numFmtId="0" xfId="0" applyAlignment="1" applyBorder="1" applyFont="1">
      <alignment shrinkToFit="0" vertical="bottom" wrapText="1"/>
    </xf>
    <xf borderId="31" fillId="16" fontId="17" numFmtId="0" xfId="0" applyAlignment="1" applyBorder="1" applyFill="1" applyFont="1">
      <alignment horizontal="center" shrinkToFit="0" vertical="center" wrapText="1"/>
    </xf>
    <xf borderId="32" fillId="0" fontId="6" numFmtId="0" xfId="0" applyAlignment="1" applyBorder="1" applyFont="1">
      <alignment vertical="center"/>
    </xf>
    <xf borderId="33" fillId="0" fontId="6" numFmtId="0" xfId="0" applyAlignment="1" applyBorder="1" applyFont="1">
      <alignment vertical="center"/>
    </xf>
    <xf borderId="34" fillId="17" fontId="9" numFmtId="0" xfId="0" applyAlignment="1" applyBorder="1" applyFill="1" applyFont="1">
      <alignment horizontal="center" shrinkToFit="0" vertical="center" wrapText="1"/>
    </xf>
    <xf borderId="35" fillId="0" fontId="9" numFmtId="0" xfId="0" applyAlignment="1" applyBorder="1" applyFont="1">
      <alignment shrinkToFit="0" vertical="center" wrapText="1"/>
    </xf>
    <xf borderId="36" fillId="17" fontId="24" numFmtId="0" xfId="0" applyAlignment="1" applyBorder="1" applyFont="1">
      <alignment horizontal="center" shrinkToFit="0" vertical="center" wrapText="1"/>
    </xf>
    <xf borderId="7" fillId="0" fontId="9" numFmtId="0" xfId="0" applyAlignment="1" applyBorder="1" applyFont="1">
      <alignment shrinkToFit="0" vertical="center" wrapText="1"/>
    </xf>
    <xf borderId="23" fillId="3" fontId="9" numFmtId="0" xfId="0" applyAlignment="1" applyBorder="1" applyFont="1">
      <alignment horizontal="center" shrinkToFit="0" vertical="center" wrapText="1"/>
    </xf>
    <xf borderId="7" fillId="0" fontId="9" numFmtId="0" xfId="0" applyAlignment="1" applyBorder="1" applyFont="1">
      <alignment horizontal="center" shrinkToFit="0" vertical="center" wrapText="1"/>
    </xf>
    <xf borderId="37" fillId="17" fontId="9" numFmtId="0" xfId="0" applyAlignment="1" applyBorder="1" applyFont="1">
      <alignment horizontal="center" shrinkToFit="0" vertical="center" wrapText="1"/>
    </xf>
    <xf borderId="38" fillId="0" fontId="9" numFmtId="10" xfId="0" applyAlignment="1" applyBorder="1" applyFont="1" applyNumberFormat="1">
      <alignment shrinkToFit="0" vertical="center" wrapText="1"/>
    </xf>
    <xf borderId="39" fillId="17" fontId="24" numFmtId="0" xfId="0" applyAlignment="1" applyBorder="1" applyFont="1">
      <alignment horizontal="center" shrinkToFit="0" vertical="center" wrapText="1"/>
    </xf>
    <xf borderId="13" fillId="0" fontId="9" numFmtId="0" xfId="0" applyAlignment="1" applyBorder="1" applyFont="1">
      <alignment shrinkToFit="0" vertical="center" wrapText="1"/>
    </xf>
    <xf borderId="40" fillId="3" fontId="9" numFmtId="0" xfId="0" applyAlignment="1" applyBorder="1" applyFont="1">
      <alignment horizontal="center" shrinkToFit="0" vertical="center" wrapText="1"/>
    </xf>
    <xf borderId="13" fillId="0" fontId="9" numFmtId="0" xfId="0" applyAlignment="1" applyBorder="1" applyFont="1">
      <alignment horizontal="center" shrinkToFit="0" vertical="center" wrapText="1"/>
    </xf>
    <xf borderId="41" fillId="17" fontId="9" numFmtId="0" xfId="0" applyAlignment="1" applyBorder="1" applyFont="1">
      <alignment horizontal="center" shrinkToFit="0" vertical="center" wrapText="1"/>
    </xf>
    <xf borderId="42" fillId="0" fontId="9" numFmtId="10" xfId="0" applyAlignment="1" applyBorder="1" applyFont="1" applyNumberFormat="1">
      <alignment shrinkToFit="0" vertical="center" wrapText="1"/>
    </xf>
    <xf borderId="43" fillId="17" fontId="9" numFmtId="0" xfId="0" applyAlignment="1" applyBorder="1" applyFont="1">
      <alignment horizontal="center" shrinkToFit="0" vertical="center" wrapText="1"/>
    </xf>
    <xf borderId="44" fillId="0" fontId="9" numFmtId="0" xfId="0" applyAlignment="1" applyBorder="1" applyFont="1">
      <alignment shrinkToFit="0" vertical="center" wrapText="1"/>
    </xf>
    <xf borderId="45" fillId="3" fontId="9" numFmtId="0" xfId="0" applyAlignment="1" applyBorder="1" applyFont="1">
      <alignment horizontal="center" shrinkToFit="0" vertical="center" wrapText="1"/>
    </xf>
    <xf borderId="22" fillId="0" fontId="9" numFmtId="0" xfId="0" applyAlignment="1" applyBorder="1" applyFont="1">
      <alignment horizontal="center" shrinkToFit="0" vertical="center" wrapText="1"/>
    </xf>
    <xf borderId="16" fillId="17" fontId="9" numFmtId="0" xfId="0" applyAlignment="1" applyBorder="1" applyFont="1">
      <alignment horizontal="center" shrinkToFit="0" vertical="center" wrapText="1"/>
    </xf>
    <xf borderId="46" fillId="0" fontId="24" numFmtId="0" xfId="0" applyAlignment="1" applyBorder="1" applyFont="1">
      <alignment shrinkToFit="0" vertical="center" wrapText="1"/>
    </xf>
    <xf borderId="47" fillId="17" fontId="24" numFmtId="0" xfId="0" applyAlignment="1" applyBorder="1" applyFont="1">
      <alignment horizontal="center" shrinkToFit="0" vertical="center" wrapText="1"/>
    </xf>
    <xf borderId="22" fillId="0" fontId="9" numFmtId="0" xfId="0" applyAlignment="1" applyBorder="1" applyFont="1">
      <alignment shrinkToFit="0" vertical="center" wrapText="1"/>
    </xf>
    <xf borderId="48" fillId="13" fontId="17" numFmtId="0" xfId="0" applyAlignment="1" applyBorder="1" applyFont="1">
      <alignment horizontal="center" shrinkToFit="0" vertical="center" wrapText="1"/>
    </xf>
    <xf borderId="23" fillId="16" fontId="17" numFmtId="0" xfId="0" applyAlignment="1" applyBorder="1" applyFont="1">
      <alignment horizontal="center" shrinkToFit="0" vertical="center" wrapText="1"/>
    </xf>
    <xf borderId="27" fillId="16" fontId="17" numFmtId="164" xfId="0" applyAlignment="1" applyBorder="1" applyFont="1" applyNumberFormat="1">
      <alignment horizontal="center" shrinkToFit="0" vertical="center" wrapText="1"/>
    </xf>
    <xf borderId="27" fillId="16" fontId="17" numFmtId="0" xfId="0" applyAlignment="1" applyBorder="1" applyFont="1">
      <alignment horizontal="center" shrinkToFit="0" vertical="center" wrapText="1"/>
    </xf>
    <xf borderId="49" fillId="16" fontId="17" numFmtId="0" xfId="0" applyAlignment="1" applyBorder="1" applyFont="1">
      <alignment horizontal="center" shrinkToFit="0" vertical="center" wrapText="1"/>
    </xf>
    <xf borderId="7" fillId="16" fontId="17" numFmtId="0" xfId="0" applyAlignment="1" applyBorder="1" applyFont="1">
      <alignment horizontal="center" shrinkToFit="0" vertical="center" wrapText="1"/>
    </xf>
    <xf borderId="50" fillId="0" fontId="24" numFmtId="0" xfId="0" applyAlignment="1" applyBorder="1" applyFont="1">
      <alignment horizontal="left" shrinkToFit="0" vertical="top" wrapText="1"/>
    </xf>
    <xf borderId="4" fillId="0" fontId="24" numFmtId="0" xfId="0" applyAlignment="1" applyBorder="1" applyFont="1">
      <alignment horizontal="left" shrinkToFit="0" vertical="top" wrapText="1"/>
    </xf>
    <xf borderId="1" fillId="0" fontId="24" numFmtId="0" xfId="0" applyAlignment="1" applyBorder="1" applyFont="1">
      <alignment horizontal="left" shrinkToFit="0" vertical="top" wrapText="1"/>
    </xf>
    <xf borderId="12" fillId="18" fontId="24" numFmtId="0" xfId="0" applyAlignment="1" applyBorder="1" applyFill="1" applyFont="1">
      <alignment horizontal="center" shrinkToFit="0" vertical="center" wrapText="1"/>
    </xf>
    <xf borderId="51" fillId="18" fontId="24" numFmtId="165" xfId="0" applyAlignment="1" applyBorder="1" applyFont="1" applyNumberFormat="1">
      <alignment horizontal="center" shrinkToFit="0" vertical="center" wrapText="1"/>
    </xf>
    <xf borderId="51" fillId="18" fontId="24" numFmtId="49" xfId="0" applyAlignment="1" applyBorder="1" applyFont="1" applyNumberFormat="1">
      <alignment horizontal="center" shrinkToFit="0" vertical="center" wrapText="1"/>
    </xf>
    <xf borderId="1" fillId="18" fontId="24" numFmtId="0" xfId="0" applyAlignment="1" applyBorder="1" applyFont="1">
      <alignment horizontal="center" shrinkToFit="0" vertical="center" wrapText="1"/>
    </xf>
    <xf borderId="2" fillId="18" fontId="24" numFmtId="0" xfId="0" applyAlignment="1" applyBorder="1" applyFont="1">
      <alignment shrinkToFit="0" vertical="center" wrapText="1"/>
    </xf>
    <xf borderId="13" fillId="18" fontId="24" numFmtId="0" xfId="0" applyAlignment="1" applyBorder="1" applyFont="1">
      <alignment shrinkToFit="0" vertical="center" wrapText="1"/>
    </xf>
    <xf borderId="0" fillId="0" fontId="25" numFmtId="0" xfId="0" applyAlignment="1" applyFont="1">
      <alignment shrinkToFit="0" vertical="center" wrapText="1"/>
    </xf>
    <xf borderId="52" fillId="0" fontId="24" numFmtId="0" xfId="0" applyAlignment="1" applyBorder="1" applyFont="1">
      <alignment horizontal="left" shrinkToFit="0" vertical="top" wrapText="1"/>
    </xf>
    <xf borderId="53" fillId="0" fontId="24" numFmtId="0" xfId="0" applyAlignment="1" applyBorder="1" applyFont="1">
      <alignment horizontal="left" shrinkToFit="0" vertical="top" wrapText="1"/>
    </xf>
    <xf borderId="4" fillId="19" fontId="24" numFmtId="0" xfId="0" applyAlignment="1" applyBorder="1" applyFill="1" applyFont="1">
      <alignment horizontal="left" shrinkToFit="0" vertical="top" wrapText="1"/>
    </xf>
    <xf borderId="54" fillId="0" fontId="9" numFmtId="0" xfId="0" applyAlignment="1" applyBorder="1" applyFont="1">
      <alignment horizontal="center" shrinkToFit="0" vertical="center" wrapText="1"/>
    </xf>
    <xf borderId="55" fillId="0" fontId="24" numFmtId="0" xfId="0" applyAlignment="1" applyBorder="1" applyFont="1">
      <alignment horizontal="left" shrinkToFit="0" vertical="top" wrapText="1"/>
    </xf>
    <xf borderId="56" fillId="0" fontId="24" numFmtId="0" xfId="0" applyAlignment="1" applyBorder="1" applyFont="1">
      <alignment horizontal="left" shrinkToFit="0" vertical="top" wrapText="1"/>
    </xf>
    <xf borderId="37" fillId="18" fontId="24" numFmtId="0" xfId="0" applyAlignment="1" applyBorder="1" applyFont="1">
      <alignment horizontal="center" shrinkToFit="0" vertical="center" wrapText="1"/>
    </xf>
    <xf borderId="57" fillId="18" fontId="24" numFmtId="165" xfId="0" applyAlignment="1" applyBorder="1" applyFont="1" applyNumberFormat="1">
      <alignment horizontal="center" shrinkToFit="0" vertical="center" wrapText="1"/>
    </xf>
    <xf borderId="57" fillId="18" fontId="24" numFmtId="49" xfId="0" applyAlignment="1" applyBorder="1" applyFont="1" applyNumberFormat="1">
      <alignment horizontal="center" shrinkToFit="0" vertical="center" wrapText="1"/>
    </xf>
    <xf borderId="56" fillId="18" fontId="24" numFmtId="0" xfId="0" applyAlignment="1" applyBorder="1" applyFont="1">
      <alignment horizontal="center" shrinkToFit="0" vertical="center" wrapText="1"/>
    </xf>
    <xf borderId="58" fillId="18" fontId="24" numFmtId="0" xfId="0" applyAlignment="1" applyBorder="1" applyFont="1">
      <alignment shrinkToFit="0" vertical="center" wrapText="1"/>
    </xf>
    <xf borderId="22" fillId="18" fontId="24" numFmtId="0" xfId="0" applyAlignment="1" applyBorder="1" applyFont="1">
      <alignment shrinkToFit="0" vertical="center" wrapText="1"/>
    </xf>
    <xf borderId="59" fillId="0" fontId="3" numFmtId="0" xfId="0" applyAlignment="1" applyBorder="1" applyFont="1">
      <alignment horizontal="center" shrinkToFit="0" vertical="center" wrapText="1"/>
    </xf>
    <xf borderId="59" fillId="0" fontId="25" numFmtId="0" xfId="0" applyAlignment="1" applyBorder="1" applyFont="1">
      <alignment shrinkToFit="0" vertical="center" wrapText="1"/>
    </xf>
    <xf borderId="59" fillId="0" fontId="25" numFmtId="0" xfId="0" applyAlignment="1" applyBorder="1" applyFont="1">
      <alignment horizontal="center" shrinkToFit="0" vertical="top" wrapText="1"/>
    </xf>
    <xf borderId="59" fillId="0" fontId="24" numFmtId="164" xfId="0" applyAlignment="1" applyBorder="1" applyFont="1" applyNumberFormat="1">
      <alignment shrinkToFit="0" vertical="center" wrapText="1"/>
    </xf>
    <xf borderId="59" fillId="0" fontId="24" numFmtId="0" xfId="0" applyAlignment="1" applyBorder="1" applyFont="1">
      <alignment shrinkToFit="0" vertical="center" wrapText="1"/>
    </xf>
  </cellXfs>
  <cellStyles count="1">
    <cellStyle xfId="0" name="Normal" builtinId="0"/>
  </cellStyles>
  <dxfs count="7">
    <dxf>
      <font/>
      <fill>
        <patternFill patternType="solid">
          <fgColor rgb="FFFFFDDA"/>
          <bgColor rgb="FFFFFDDA"/>
        </patternFill>
      </fill>
      <border/>
    </dxf>
    <dxf>
      <font/>
      <fill>
        <patternFill patternType="solid">
          <fgColor rgb="FFFFEDF1"/>
          <bgColor rgb="FFFFEDF1"/>
        </patternFill>
      </fill>
      <border/>
    </dxf>
    <dxf>
      <font/>
      <fill>
        <patternFill patternType="solid">
          <fgColor rgb="FFE0FFFF"/>
          <bgColor rgb="FFE0FFFF"/>
        </patternFill>
      </fill>
      <border/>
    </dxf>
    <dxf>
      <font/>
      <fill>
        <patternFill patternType="solid">
          <fgColor rgb="FFFFD1DB"/>
          <bgColor rgb="FFFFD1DB"/>
        </patternFill>
      </fill>
      <border/>
    </dxf>
    <dxf>
      <font/>
      <fill>
        <patternFill patternType="solid">
          <fgColor rgb="FF999999"/>
          <bgColor rgb="FF999999"/>
        </patternFill>
      </fill>
      <border/>
    </dxf>
    <dxf>
      <font/>
      <fill>
        <patternFill patternType="solid">
          <fgColor rgb="FFF7F4B2"/>
          <bgColor rgb="FFF7F4B2"/>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Row="1"/>
  <cols>
    <col customWidth="1" min="1" max="1" width="2.29"/>
    <col customWidth="1" min="2" max="2" width="4.14"/>
    <col customWidth="1" min="3" max="3" width="27.14"/>
    <col customWidth="1" min="4" max="4" width="9.57"/>
    <col customWidth="1" min="5" max="6" width="8.71"/>
    <col customWidth="1" min="7" max="7" width="9.43"/>
    <col customWidth="1" hidden="1" min="8" max="9" width="10.29"/>
    <col customWidth="1" min="10" max="10" width="10.29"/>
    <col customWidth="1" hidden="1" min="11" max="12" width="10.29"/>
    <col customWidth="1" min="13" max="18" width="10.29"/>
    <col customWidth="1" min="19" max="22" width="12.29"/>
    <col customWidth="1" min="23" max="25" width="6.71"/>
  </cols>
  <sheetData>
    <row r="1" ht="9.0" customHeight="1">
      <c r="A1" s="1"/>
      <c r="B1" s="1"/>
      <c r="C1" s="1"/>
      <c r="D1" s="2"/>
      <c r="E1" s="1"/>
      <c r="F1" s="1"/>
      <c r="G1" s="1"/>
      <c r="H1" s="1"/>
      <c r="I1" s="1"/>
      <c r="J1" s="1"/>
      <c r="K1" s="1"/>
      <c r="L1" s="1"/>
      <c r="M1" s="1"/>
      <c r="N1" s="1"/>
      <c r="O1" s="1"/>
      <c r="P1" s="1"/>
      <c r="Q1" s="1"/>
      <c r="R1" s="1"/>
      <c r="S1" s="1"/>
      <c r="T1" s="1"/>
      <c r="U1" s="1"/>
      <c r="V1" s="1"/>
      <c r="W1" s="1"/>
      <c r="X1" s="1"/>
      <c r="Y1" s="1"/>
    </row>
    <row r="2">
      <c r="A2" s="1"/>
      <c r="B2" s="3" t="s">
        <v>0</v>
      </c>
      <c r="C2" s="1"/>
      <c r="D2" s="2"/>
      <c r="E2" s="1"/>
      <c r="F2" s="1"/>
      <c r="G2" s="1"/>
      <c r="H2" s="1" t="s">
        <v>1</v>
      </c>
      <c r="I2" s="1" t="s">
        <v>1</v>
      </c>
      <c r="J2" s="1"/>
      <c r="K2" s="1" t="s">
        <v>1</v>
      </c>
      <c r="L2" s="1" t="s">
        <v>1</v>
      </c>
      <c r="M2" s="1"/>
      <c r="N2" s="1"/>
      <c r="O2" s="1"/>
      <c r="P2" s="1"/>
      <c r="Q2" s="1"/>
      <c r="R2" s="1"/>
      <c r="S2" s="1"/>
      <c r="T2" s="1"/>
      <c r="U2" s="1"/>
      <c r="V2" s="1"/>
      <c r="W2" s="1"/>
      <c r="X2" s="1"/>
      <c r="Y2" s="1"/>
    </row>
    <row r="3">
      <c r="A3" s="4"/>
      <c r="B3" s="5" t="s">
        <v>2</v>
      </c>
      <c r="C3" s="5" t="s">
        <v>3</v>
      </c>
      <c r="D3" s="5" t="s">
        <v>4</v>
      </c>
      <c r="E3" s="5" t="s">
        <v>5</v>
      </c>
      <c r="F3" s="5" t="s">
        <v>6</v>
      </c>
      <c r="G3" s="6" t="s">
        <v>7</v>
      </c>
      <c r="H3" s="7" t="s">
        <v>8</v>
      </c>
      <c r="I3" s="8" t="s">
        <v>9</v>
      </c>
      <c r="J3" s="6" t="s">
        <v>10</v>
      </c>
      <c r="K3" s="7" t="s">
        <v>11</v>
      </c>
      <c r="L3" s="8" t="s">
        <v>12</v>
      </c>
      <c r="M3" s="5" t="s">
        <v>13</v>
      </c>
      <c r="N3" s="5" t="s">
        <v>14</v>
      </c>
      <c r="O3" s="5" t="s">
        <v>15</v>
      </c>
      <c r="P3" s="5" t="s">
        <v>16</v>
      </c>
      <c r="Q3" s="5" t="s">
        <v>17</v>
      </c>
      <c r="R3" s="5" t="s">
        <v>18</v>
      </c>
      <c r="V3" s="4"/>
      <c r="W3" s="4"/>
      <c r="X3" s="4"/>
      <c r="Y3" s="4"/>
    </row>
    <row r="4" ht="18.75" customHeight="1">
      <c r="A4" s="1"/>
      <c r="B4" s="9" t="s">
        <v>19</v>
      </c>
      <c r="C4" s="10" t="s">
        <v>20</v>
      </c>
      <c r="D4" s="9" t="str">
        <f t="shared" ref="D4:D8" si="4">IF(J4=100%,"完了",IF(AND(J4&lt;&gt;100%,G4=100%),"中断中",IF(G4=0,"未着手","実施中")))</f>
        <v>実施中</v>
      </c>
      <c r="E4" s="10">
        <f t="shared" ref="E4:F4" si="1">SUM(E5)</f>
        <v>87</v>
      </c>
      <c r="F4" s="10">
        <f t="shared" si="1"/>
        <v>57</v>
      </c>
      <c r="G4" s="11">
        <f>IFERROR(SUM(M4:Q4)/F4,"")</f>
        <v>0.4912280702</v>
      </c>
      <c r="H4" s="12">
        <f t="shared" ref="H4:H8" si="6">SUM(M4:Q4)</f>
        <v>28</v>
      </c>
      <c r="I4" s="13">
        <f t="shared" ref="I4:I8" si="7">F4-H4</f>
        <v>29</v>
      </c>
      <c r="J4" s="11">
        <f>IFERROR(SUM(M4:N4)/F4,"")</f>
        <v>0.4385964912</v>
      </c>
      <c r="K4" s="12">
        <f t="shared" ref="K4:L4" si="2">SUM(K5:K19)</f>
        <v>0</v>
      </c>
      <c r="L4" s="13">
        <f t="shared" si="2"/>
        <v>0</v>
      </c>
      <c r="M4" s="10">
        <f t="shared" ref="M4:R4" si="3">SUM(M5)</f>
        <v>25</v>
      </c>
      <c r="N4" s="10">
        <f t="shared" si="3"/>
        <v>0</v>
      </c>
      <c r="O4" s="10">
        <f t="shared" si="3"/>
        <v>0</v>
      </c>
      <c r="P4" s="10">
        <f t="shared" si="3"/>
        <v>3</v>
      </c>
      <c r="Q4" s="10">
        <f t="shared" si="3"/>
        <v>0</v>
      </c>
      <c r="R4" s="10">
        <f t="shared" si="3"/>
        <v>30</v>
      </c>
      <c r="T4" s="14" t="s">
        <v>21</v>
      </c>
      <c r="U4" s="15"/>
      <c r="V4" s="1"/>
      <c r="W4" s="1"/>
      <c r="X4" s="1"/>
      <c r="Y4" s="1"/>
    </row>
    <row r="5">
      <c r="A5" s="1"/>
      <c r="B5" s="16">
        <v>1.0</v>
      </c>
      <c r="C5" s="17" t="s">
        <v>22</v>
      </c>
      <c r="D5" s="18" t="str">
        <f t="shared" si="4"/>
        <v>実施中</v>
      </c>
      <c r="E5" s="17">
        <f t="shared" ref="E5:F5" si="5">SUM(E6:E8)</f>
        <v>87</v>
      </c>
      <c r="F5" s="17">
        <f t="shared" si="5"/>
        <v>57</v>
      </c>
      <c r="G5" s="19">
        <f t="shared" ref="G5:G8" si="9">IFERROR((M5+N5+O5)/E5,"-")</f>
        <v>0.2873563218</v>
      </c>
      <c r="H5" s="20">
        <f t="shared" si="6"/>
        <v>28</v>
      </c>
      <c r="I5" s="21">
        <f t="shared" si="7"/>
        <v>29</v>
      </c>
      <c r="J5" s="19">
        <f t="shared" ref="J5:J8" si="10">IFERROR((M5+N5)/E5,"-")</f>
        <v>0.2873563218</v>
      </c>
      <c r="K5" s="20"/>
      <c r="L5" s="21"/>
      <c r="M5" s="17">
        <f t="shared" ref="M5:R5" si="8">SUM(M6:M8)</f>
        <v>25</v>
      </c>
      <c r="N5" s="17">
        <f t="shared" si="8"/>
        <v>0</v>
      </c>
      <c r="O5" s="17">
        <f t="shared" si="8"/>
        <v>0</v>
      </c>
      <c r="P5" s="17">
        <f t="shared" si="8"/>
        <v>3</v>
      </c>
      <c r="Q5" s="17">
        <f t="shared" si="8"/>
        <v>0</v>
      </c>
      <c r="R5" s="17">
        <f t="shared" si="8"/>
        <v>30</v>
      </c>
      <c r="T5" s="22" t="s">
        <v>23</v>
      </c>
      <c r="U5" s="22" t="s">
        <v>24</v>
      </c>
      <c r="V5" s="1"/>
      <c r="W5" s="1"/>
      <c r="X5" s="1"/>
      <c r="Y5" s="1"/>
    </row>
    <row r="6" outlineLevel="1">
      <c r="A6" s="1"/>
      <c r="B6" s="16"/>
      <c r="C6" s="23" t="s">
        <v>22</v>
      </c>
      <c r="D6" s="16" t="str">
        <f t="shared" si="4"/>
        <v>実施中</v>
      </c>
      <c r="E6" s="23">
        <f>IFERROR(MAX(INDIRECT($C6&amp;"!B:B")))</f>
        <v>29</v>
      </c>
      <c r="F6" s="23">
        <f t="shared" ref="F6:F8" si="11">E6-(R6+0)</f>
        <v>28</v>
      </c>
      <c r="G6" s="24">
        <f t="shared" si="9"/>
        <v>0.8620689655</v>
      </c>
      <c r="H6" s="25">
        <f t="shared" si="6"/>
        <v>28</v>
      </c>
      <c r="I6" s="26">
        <f t="shared" si="7"/>
        <v>0</v>
      </c>
      <c r="J6" s="24">
        <f t="shared" si="10"/>
        <v>0.8620689655</v>
      </c>
      <c r="K6" s="25"/>
      <c r="L6" s="26"/>
      <c r="M6" s="23">
        <f>IFERROR(INDIRECT($C6&amp;"!P2"))</f>
        <v>25</v>
      </c>
      <c r="N6" s="23">
        <f>IFERROR(INDIRECT($C6&amp;"!P3"),"")</f>
        <v>0</v>
      </c>
      <c r="O6" s="23">
        <f>IFERROR(INDIRECT($C6&amp;"!P4"),"")</f>
        <v>0</v>
      </c>
      <c r="P6" s="23">
        <f>IFERROR(INDIRECT($C6&amp;"!P5"),"")</f>
        <v>3</v>
      </c>
      <c r="Q6" s="23">
        <f>IFERROR(INDIRECT($C6&amp;"!P6"),"")</f>
        <v>0</v>
      </c>
      <c r="R6" s="23">
        <f>IFERROR(INDIRECT($C6&amp;"!P7"),"")</f>
        <v>1</v>
      </c>
      <c r="T6" s="27" t="s">
        <v>25</v>
      </c>
      <c r="U6" s="28">
        <v>45526.0</v>
      </c>
      <c r="V6" s="1"/>
      <c r="W6" s="1"/>
      <c r="X6" s="1"/>
      <c r="Y6" s="1"/>
    </row>
    <row r="7" outlineLevel="1">
      <c r="A7" s="1"/>
      <c r="B7" s="16"/>
      <c r="C7" s="23" t="s">
        <v>22</v>
      </c>
      <c r="D7" s="16" t="str">
        <f t="shared" si="4"/>
        <v>未着手</v>
      </c>
      <c r="E7" s="23">
        <f t="shared" ref="E7:E8" si="12">IFERROR(MAX(INDIRECT($C7&amp;"!B:B")),"")</f>
        <v>29</v>
      </c>
      <c r="F7" s="23">
        <f t="shared" si="11"/>
        <v>0</v>
      </c>
      <c r="G7" s="24">
        <f t="shared" si="9"/>
        <v>0</v>
      </c>
      <c r="H7" s="25">
        <f t="shared" si="6"/>
        <v>0</v>
      </c>
      <c r="I7" s="26">
        <f t="shared" si="7"/>
        <v>0</v>
      </c>
      <c r="J7" s="24">
        <f t="shared" si="10"/>
        <v>0</v>
      </c>
      <c r="K7" s="25"/>
      <c r="L7" s="26"/>
      <c r="M7" s="23">
        <f>IFERROR(INDIRECT($C7&amp;"!T2"),"")</f>
        <v>0</v>
      </c>
      <c r="N7" s="23">
        <f>IFERROR(INDIRECT($C7&amp;"!T3"),"")</f>
        <v>0</v>
      </c>
      <c r="O7" s="23">
        <f>IFERROR(INDIRECT($C7&amp;"!T4"),"")</f>
        <v>0</v>
      </c>
      <c r="P7" s="23">
        <f>IFERROR(INDIRECT($C7&amp;"!T5"),"")</f>
        <v>0</v>
      </c>
      <c r="Q7" s="23">
        <f>IFERROR(INDIRECT($C7&amp;"!T6"),"")</f>
        <v>0</v>
      </c>
      <c r="R7" s="23">
        <f>IFERROR(INDIRECT($C7&amp;"!T7"),"")</f>
        <v>29</v>
      </c>
      <c r="T7" s="27" t="s">
        <v>25</v>
      </c>
      <c r="U7" s="28">
        <v>45530.0</v>
      </c>
      <c r="V7" s="1"/>
      <c r="W7" s="1"/>
      <c r="X7" s="1"/>
      <c r="Y7" s="1"/>
    </row>
    <row r="8" outlineLevel="1">
      <c r="A8" s="1"/>
      <c r="B8" s="16"/>
      <c r="C8" s="23" t="s">
        <v>22</v>
      </c>
      <c r="D8" s="16" t="str">
        <f t="shared" si="4"/>
        <v>未着手</v>
      </c>
      <c r="E8" s="23">
        <f t="shared" si="12"/>
        <v>29</v>
      </c>
      <c r="F8" s="23">
        <f t="shared" si="11"/>
        <v>29</v>
      </c>
      <c r="G8" s="24">
        <f t="shared" si="9"/>
        <v>0</v>
      </c>
      <c r="H8" s="25">
        <f t="shared" si="6"/>
        <v>0</v>
      </c>
      <c r="I8" s="26">
        <f t="shared" si="7"/>
        <v>29</v>
      </c>
      <c r="J8" s="24">
        <f t="shared" si="10"/>
        <v>0</v>
      </c>
      <c r="K8" s="25"/>
      <c r="L8" s="26"/>
      <c r="M8" s="23">
        <f>IFERROR(INDIRECT($C8&amp;"!X2"),"")</f>
        <v>0</v>
      </c>
      <c r="N8" s="23">
        <f>IFERROR(INDIRECT($C8&amp;"!X3"),"")</f>
        <v>0</v>
      </c>
      <c r="O8" s="23">
        <f>IFERROR(INDIRECT($C8&amp;"!X4"),"")</f>
        <v>0</v>
      </c>
      <c r="P8" s="23">
        <f>IFERROR(INDIRECT($C8&amp;"!X5"),"")</f>
        <v>0</v>
      </c>
      <c r="Q8" s="23">
        <f>IFERROR(INDIRECT($C8&amp;"!X6"),"")</f>
        <v>0</v>
      </c>
      <c r="R8" s="23">
        <f>IFERROR(INDIRECT($C8&amp;"!X7"),"")</f>
        <v>0</v>
      </c>
      <c r="T8" s="22"/>
      <c r="U8" s="22"/>
      <c r="V8" s="1"/>
      <c r="W8" s="1"/>
      <c r="X8" s="1"/>
      <c r="Y8" s="1"/>
    </row>
    <row r="9">
      <c r="A9" s="1"/>
      <c r="B9" s="16">
        <v>2.0</v>
      </c>
      <c r="C9" s="23"/>
      <c r="D9" s="16"/>
      <c r="E9" s="23"/>
      <c r="F9" s="23"/>
      <c r="G9" s="24"/>
      <c r="H9" s="25"/>
      <c r="I9" s="26"/>
      <c r="J9" s="24"/>
      <c r="K9" s="25"/>
      <c r="L9" s="26"/>
      <c r="M9" s="23"/>
      <c r="N9" s="23"/>
      <c r="O9" s="23"/>
      <c r="P9" s="23"/>
      <c r="Q9" s="23"/>
      <c r="R9" s="23"/>
      <c r="T9" s="22"/>
      <c r="U9" s="22"/>
      <c r="V9" s="1"/>
      <c r="W9" s="1"/>
      <c r="X9" s="1"/>
      <c r="Y9" s="1"/>
    </row>
    <row r="10">
      <c r="A10" s="1"/>
      <c r="B10" s="16">
        <v>3.0</v>
      </c>
      <c r="C10" s="23"/>
      <c r="D10" s="16"/>
      <c r="E10" s="23"/>
      <c r="F10" s="23"/>
      <c r="G10" s="24"/>
      <c r="H10" s="25"/>
      <c r="I10" s="26"/>
      <c r="J10" s="24"/>
      <c r="K10" s="25"/>
      <c r="L10" s="26"/>
      <c r="M10" s="23"/>
      <c r="N10" s="23"/>
      <c r="O10" s="23"/>
      <c r="P10" s="23"/>
      <c r="Q10" s="23"/>
      <c r="R10" s="23"/>
      <c r="T10" s="22"/>
      <c r="U10" s="22"/>
      <c r="V10" s="1"/>
      <c r="W10" s="1"/>
      <c r="X10" s="1"/>
      <c r="Y10" s="1"/>
    </row>
    <row r="11">
      <c r="A11" s="1"/>
      <c r="B11" s="16">
        <v>4.0</v>
      </c>
      <c r="C11" s="23"/>
      <c r="D11" s="16"/>
      <c r="E11" s="23"/>
      <c r="F11" s="23"/>
      <c r="G11" s="24"/>
      <c r="H11" s="25"/>
      <c r="I11" s="26"/>
      <c r="J11" s="24"/>
      <c r="K11" s="25"/>
      <c r="L11" s="26"/>
      <c r="M11" s="23"/>
      <c r="N11" s="23"/>
      <c r="O11" s="23"/>
      <c r="P11" s="23"/>
      <c r="Q11" s="23"/>
      <c r="R11" s="23"/>
      <c r="V11" s="1"/>
      <c r="W11" s="1"/>
      <c r="X11" s="1"/>
      <c r="Y11" s="1"/>
    </row>
    <row r="12">
      <c r="A12" s="1"/>
      <c r="B12" s="16">
        <v>5.0</v>
      </c>
      <c r="C12" s="23"/>
      <c r="D12" s="16"/>
      <c r="E12" s="23"/>
      <c r="F12" s="23"/>
      <c r="G12" s="24"/>
      <c r="H12" s="25"/>
      <c r="I12" s="26"/>
      <c r="J12" s="24"/>
      <c r="K12" s="25"/>
      <c r="L12" s="26"/>
      <c r="M12" s="23"/>
      <c r="N12" s="23"/>
      <c r="O12" s="23"/>
      <c r="P12" s="23"/>
      <c r="Q12" s="23"/>
      <c r="R12" s="23"/>
      <c r="V12" s="1"/>
      <c r="W12" s="1"/>
      <c r="X12" s="1"/>
      <c r="Y12" s="1"/>
    </row>
    <row r="13">
      <c r="A13" s="1"/>
      <c r="B13" s="16">
        <v>6.0</v>
      </c>
      <c r="C13" s="23"/>
      <c r="D13" s="16"/>
      <c r="E13" s="23"/>
      <c r="F13" s="23"/>
      <c r="G13" s="24"/>
      <c r="H13" s="25"/>
      <c r="I13" s="26"/>
      <c r="J13" s="24"/>
      <c r="K13" s="25"/>
      <c r="L13" s="26"/>
      <c r="M13" s="23"/>
      <c r="N13" s="23"/>
      <c r="O13" s="23"/>
      <c r="P13" s="23"/>
      <c r="Q13" s="23"/>
      <c r="R13" s="23"/>
      <c r="V13" s="1"/>
      <c r="W13" s="1"/>
      <c r="X13" s="1"/>
      <c r="Y13" s="1"/>
    </row>
    <row r="14">
      <c r="A14" s="1"/>
      <c r="B14" s="16">
        <v>7.0</v>
      </c>
      <c r="C14" s="23"/>
      <c r="D14" s="16"/>
      <c r="E14" s="23"/>
      <c r="F14" s="23"/>
      <c r="G14" s="24"/>
      <c r="H14" s="25"/>
      <c r="I14" s="26"/>
      <c r="J14" s="24"/>
      <c r="K14" s="25"/>
      <c r="L14" s="26"/>
      <c r="M14" s="23"/>
      <c r="N14" s="23"/>
      <c r="O14" s="23"/>
      <c r="P14" s="23"/>
      <c r="Q14" s="23"/>
      <c r="R14" s="23"/>
      <c r="V14" s="1"/>
      <c r="W14" s="1"/>
      <c r="X14" s="1"/>
      <c r="Y14" s="1"/>
    </row>
    <row r="15">
      <c r="A15" s="1"/>
      <c r="B15" s="16">
        <v>8.0</v>
      </c>
      <c r="C15" s="23"/>
      <c r="D15" s="16"/>
      <c r="E15" s="23"/>
      <c r="F15" s="23"/>
      <c r="G15" s="24"/>
      <c r="H15" s="25"/>
      <c r="I15" s="26"/>
      <c r="J15" s="24"/>
      <c r="K15" s="25"/>
      <c r="L15" s="26"/>
      <c r="M15" s="23"/>
      <c r="N15" s="23"/>
      <c r="O15" s="23"/>
      <c r="P15" s="23"/>
      <c r="Q15" s="23"/>
      <c r="R15" s="23"/>
      <c r="V15" s="1"/>
      <c r="W15" s="1"/>
      <c r="X15" s="1"/>
      <c r="Y15" s="1"/>
    </row>
    <row r="16">
      <c r="A16" s="1"/>
      <c r="B16" s="16">
        <v>9.0</v>
      </c>
      <c r="C16" s="23"/>
      <c r="D16" s="16"/>
      <c r="E16" s="23"/>
      <c r="F16" s="23"/>
      <c r="G16" s="24"/>
      <c r="H16" s="25"/>
      <c r="I16" s="26"/>
      <c r="J16" s="24"/>
      <c r="K16" s="25"/>
      <c r="L16" s="26"/>
      <c r="M16" s="23"/>
      <c r="N16" s="23"/>
      <c r="O16" s="23"/>
      <c r="P16" s="23"/>
      <c r="Q16" s="23"/>
      <c r="R16" s="23"/>
      <c r="V16" s="1"/>
      <c r="W16" s="1"/>
      <c r="X16" s="1"/>
      <c r="Y16" s="1"/>
    </row>
    <row r="17">
      <c r="A17" s="1"/>
      <c r="B17" s="16">
        <v>10.0</v>
      </c>
      <c r="C17" s="23"/>
      <c r="D17" s="16"/>
      <c r="E17" s="23"/>
      <c r="F17" s="23"/>
      <c r="G17" s="24"/>
      <c r="H17" s="25"/>
      <c r="I17" s="26"/>
      <c r="J17" s="24"/>
      <c r="K17" s="25"/>
      <c r="L17" s="26"/>
      <c r="M17" s="23"/>
      <c r="N17" s="23"/>
      <c r="O17" s="23"/>
      <c r="P17" s="23"/>
      <c r="Q17" s="23"/>
      <c r="R17" s="23"/>
      <c r="V17" s="1"/>
      <c r="W17" s="1"/>
      <c r="X17" s="1"/>
      <c r="Y17" s="1"/>
    </row>
    <row r="18">
      <c r="A18" s="1"/>
      <c r="B18" s="16">
        <v>11.0</v>
      </c>
      <c r="C18" s="23"/>
      <c r="D18" s="16"/>
      <c r="E18" s="23"/>
      <c r="F18" s="23"/>
      <c r="G18" s="24"/>
      <c r="H18" s="25"/>
      <c r="I18" s="26"/>
      <c r="J18" s="24"/>
      <c r="K18" s="25"/>
      <c r="L18" s="26"/>
      <c r="M18" s="23"/>
      <c r="N18" s="23"/>
      <c r="O18" s="23"/>
      <c r="P18" s="23"/>
      <c r="Q18" s="23"/>
      <c r="R18" s="23"/>
      <c r="V18" s="1"/>
      <c r="W18" s="1"/>
      <c r="X18" s="1"/>
      <c r="Y18" s="1"/>
    </row>
    <row r="19">
      <c r="A19" s="1"/>
      <c r="B19" s="16">
        <v>12.0</v>
      </c>
      <c r="C19" s="23"/>
      <c r="D19" s="16"/>
      <c r="E19" s="23"/>
      <c r="F19" s="23"/>
      <c r="G19" s="24"/>
      <c r="H19" s="25"/>
      <c r="I19" s="26"/>
      <c r="J19" s="24"/>
      <c r="K19" s="25"/>
      <c r="L19" s="26"/>
      <c r="M19" s="23"/>
      <c r="N19" s="23"/>
      <c r="O19" s="23"/>
      <c r="P19" s="23"/>
      <c r="Q19" s="23"/>
      <c r="R19" s="23"/>
      <c r="V19" s="1"/>
      <c r="W19" s="1"/>
      <c r="X19" s="1"/>
      <c r="Y19" s="1"/>
    </row>
    <row r="20">
      <c r="A20" s="1"/>
      <c r="B20" s="1"/>
      <c r="C20" s="1"/>
      <c r="D20" s="2"/>
      <c r="E20" s="1"/>
      <c r="F20" s="1"/>
      <c r="G20" s="1"/>
      <c r="H20" s="1"/>
      <c r="I20" s="1"/>
      <c r="J20" s="1"/>
      <c r="K20" s="1"/>
      <c r="L20" s="1"/>
      <c r="M20" s="1"/>
      <c r="N20" s="1"/>
      <c r="O20" s="1"/>
      <c r="P20" s="1"/>
      <c r="Q20" s="1"/>
      <c r="R20" s="1"/>
      <c r="S20" s="1"/>
      <c r="T20" s="1"/>
      <c r="U20" s="1"/>
      <c r="V20" s="1"/>
      <c r="W20" s="1"/>
      <c r="X20" s="1"/>
      <c r="Y20"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T4:U4"/>
  </mergeCells>
  <conditionalFormatting sqref="D4:D19">
    <cfRule type="cellIs" dxfId="0" priority="1" operator="equal">
      <formula>"実施中"</formula>
    </cfRule>
  </conditionalFormatting>
  <conditionalFormatting sqref="D4:D19">
    <cfRule type="cellIs" dxfId="1" priority="2" operator="equal">
      <formula>"中断中"</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10.0" topLeftCell="A11" activePane="bottomLeft" state="frozen"/>
      <selection activeCell="B12" sqref="B12" pane="bottomLeft"/>
    </sheetView>
  </sheetViews>
  <sheetFormatPr customHeight="1" defaultColWidth="14.43" defaultRowHeight="15.0" outlineLevelCol="1"/>
  <cols>
    <col customWidth="1" min="1" max="1" width="2.14"/>
    <col customWidth="1" min="2" max="2" width="4.43"/>
    <col customWidth="1" min="3" max="5" width="22.29"/>
    <col customWidth="1" hidden="1" min="6" max="8" width="6.14"/>
    <col customWidth="1" min="9" max="9" width="12.43"/>
    <col customWidth="1" min="10" max="10" width="26.71"/>
    <col customWidth="1" min="11" max="12" width="40.14"/>
    <col customWidth="1" min="13" max="13" width="12.57"/>
    <col customWidth="1" min="14" max="14" width="15.86" outlineLevel="1"/>
    <col customWidth="1" min="15" max="16" width="12.57" outlineLevel="1"/>
    <col customWidth="1" min="17" max="17" width="12.57"/>
    <col customWidth="1" min="18" max="18" width="16.43" outlineLevel="1"/>
    <col customWidth="1" min="19" max="20" width="12.57" outlineLevel="1"/>
    <col customWidth="1" min="21" max="21" width="12.57"/>
    <col customWidth="1" min="22" max="22" width="16.43" outlineLevel="1"/>
    <col customWidth="1" min="23" max="24" width="12.57" outlineLevel="1"/>
    <col customWidth="1" min="25" max="25" width="30.57"/>
  </cols>
  <sheetData>
    <row r="1" ht="10.5" customHeight="1">
      <c r="A1" s="29"/>
      <c r="B1" s="30"/>
      <c r="C1" s="29"/>
      <c r="D1" s="29"/>
      <c r="E1" s="29"/>
      <c r="F1" s="29"/>
      <c r="G1" s="29"/>
      <c r="H1" s="29"/>
      <c r="I1" s="29"/>
      <c r="J1" s="29"/>
      <c r="K1" s="29"/>
      <c r="L1" s="29"/>
      <c r="M1" s="30"/>
      <c r="N1" s="31"/>
      <c r="O1" s="31"/>
      <c r="P1" s="29"/>
      <c r="Q1" s="29"/>
      <c r="R1" s="29"/>
      <c r="S1" s="29"/>
      <c r="Y1" s="32"/>
    </row>
    <row r="2">
      <c r="A2" s="29"/>
      <c r="B2" s="33" t="s">
        <v>22</v>
      </c>
      <c r="C2" s="34"/>
      <c r="D2" s="34"/>
      <c r="E2" s="34"/>
      <c r="F2" s="34"/>
      <c r="G2" s="34"/>
      <c r="H2" s="34"/>
      <c r="I2" s="34"/>
      <c r="J2" s="34"/>
      <c r="K2" s="34"/>
      <c r="L2" s="34"/>
      <c r="M2" s="35" t="s">
        <v>26</v>
      </c>
      <c r="N2" s="36" t="s">
        <v>27</v>
      </c>
      <c r="O2" s="37" t="s">
        <v>13</v>
      </c>
      <c r="P2" s="38">
        <f t="shared" ref="P2:P8" si="1">COUNTIF(M$11:M$64837,O2)</f>
        <v>25</v>
      </c>
      <c r="Q2" s="39" t="s">
        <v>26</v>
      </c>
      <c r="R2" s="40" t="s">
        <v>28</v>
      </c>
      <c r="S2" s="37" t="s">
        <v>13</v>
      </c>
      <c r="T2" s="38">
        <f t="shared" ref="T2:T8" si="2">COUNTIF(Q$11:Q$64837,S2)</f>
        <v>0</v>
      </c>
      <c r="U2" s="39" t="s">
        <v>26</v>
      </c>
      <c r="V2" s="40" t="s">
        <v>29</v>
      </c>
      <c r="W2" s="37" t="s">
        <v>13</v>
      </c>
      <c r="X2" s="38">
        <f t="shared" ref="X2:X8" si="3">COUNTIF(U$11:U$64837,W2)</f>
        <v>0</v>
      </c>
      <c r="Y2" s="41"/>
      <c r="Z2" s="42"/>
      <c r="AA2" s="42"/>
      <c r="AB2" s="42"/>
      <c r="AC2" s="42"/>
      <c r="AD2" s="42"/>
    </row>
    <row r="3" ht="13.5" customHeight="1">
      <c r="A3" s="43"/>
      <c r="B3" s="44"/>
      <c r="C3" s="34"/>
      <c r="D3" s="34"/>
      <c r="E3" s="34"/>
      <c r="F3" s="34"/>
      <c r="G3" s="34"/>
      <c r="H3" s="34"/>
      <c r="I3" s="34"/>
      <c r="J3" s="45"/>
      <c r="K3" s="34"/>
      <c r="L3" s="34"/>
      <c r="M3" s="46" t="s">
        <v>30</v>
      </c>
      <c r="N3" s="47" t="s">
        <v>25</v>
      </c>
      <c r="O3" s="48" t="s">
        <v>14</v>
      </c>
      <c r="P3" s="49">
        <f t="shared" si="1"/>
        <v>0</v>
      </c>
      <c r="Q3" s="50" t="s">
        <v>30</v>
      </c>
      <c r="R3" s="51"/>
      <c r="S3" s="48" t="s">
        <v>14</v>
      </c>
      <c r="T3" s="49">
        <f t="shared" si="2"/>
        <v>0</v>
      </c>
      <c r="U3" s="50" t="s">
        <v>30</v>
      </c>
      <c r="V3" s="51"/>
      <c r="W3" s="48" t="s">
        <v>14</v>
      </c>
      <c r="X3" s="49">
        <f t="shared" si="3"/>
        <v>0</v>
      </c>
      <c r="Y3" s="41"/>
      <c r="Z3" s="42"/>
      <c r="AA3" s="42"/>
      <c r="AB3" s="42"/>
      <c r="AC3" s="42"/>
      <c r="AD3" s="42"/>
    </row>
    <row r="4" ht="13.5" customHeight="1">
      <c r="A4" s="43"/>
      <c r="B4" s="44"/>
      <c r="C4" s="52"/>
      <c r="D4" s="52"/>
      <c r="E4" s="52"/>
      <c r="F4" s="52"/>
      <c r="G4" s="34"/>
      <c r="H4" s="34"/>
      <c r="I4" s="34"/>
      <c r="J4" s="53"/>
      <c r="K4" s="34"/>
      <c r="L4" s="34"/>
      <c r="M4" s="46" t="s">
        <v>31</v>
      </c>
      <c r="N4" s="54"/>
      <c r="O4" s="55" t="s">
        <v>15</v>
      </c>
      <c r="P4" s="49">
        <f t="shared" si="1"/>
        <v>0</v>
      </c>
      <c r="Q4" s="50" t="s">
        <v>31</v>
      </c>
      <c r="R4" s="56"/>
      <c r="S4" s="55" t="s">
        <v>15</v>
      </c>
      <c r="T4" s="49">
        <f t="shared" si="2"/>
        <v>0</v>
      </c>
      <c r="U4" s="50" t="s">
        <v>31</v>
      </c>
      <c r="V4" s="56"/>
      <c r="W4" s="55" t="s">
        <v>15</v>
      </c>
      <c r="X4" s="49">
        <f t="shared" si="3"/>
        <v>0</v>
      </c>
      <c r="Y4" s="41"/>
      <c r="Z4" s="42"/>
      <c r="AA4" s="42"/>
      <c r="AB4" s="42"/>
      <c r="AC4" s="42"/>
      <c r="AD4" s="42"/>
    </row>
    <row r="5" ht="13.5" customHeight="1">
      <c r="A5" s="43"/>
      <c r="B5" s="44"/>
      <c r="C5" s="52"/>
      <c r="D5" s="52"/>
      <c r="E5" s="52"/>
      <c r="F5" s="52"/>
      <c r="G5" s="34"/>
      <c r="H5" s="34"/>
      <c r="I5" s="34"/>
      <c r="J5" s="53"/>
      <c r="K5" s="34"/>
      <c r="L5" s="34"/>
      <c r="M5" s="46" t="s">
        <v>32</v>
      </c>
      <c r="N5" s="54"/>
      <c r="O5" s="57" t="s">
        <v>16</v>
      </c>
      <c r="P5" s="49">
        <f t="shared" si="1"/>
        <v>3</v>
      </c>
      <c r="Q5" s="50" t="s">
        <v>32</v>
      </c>
      <c r="R5" s="56"/>
      <c r="S5" s="57" t="s">
        <v>16</v>
      </c>
      <c r="T5" s="49">
        <f t="shared" si="2"/>
        <v>0</v>
      </c>
      <c r="U5" s="50" t="s">
        <v>32</v>
      </c>
      <c r="V5" s="56"/>
      <c r="W5" s="57" t="s">
        <v>16</v>
      </c>
      <c r="X5" s="49">
        <f t="shared" si="3"/>
        <v>0</v>
      </c>
      <c r="Y5" s="41"/>
      <c r="Z5" s="42"/>
      <c r="AA5" s="42"/>
      <c r="AB5" s="42"/>
      <c r="AC5" s="42"/>
      <c r="AD5" s="42"/>
    </row>
    <row r="6" ht="13.5" customHeight="1">
      <c r="A6" s="43"/>
      <c r="B6" s="44"/>
      <c r="C6" s="52"/>
      <c r="D6" s="52"/>
      <c r="E6" s="52"/>
      <c r="F6" s="52"/>
      <c r="G6" s="34"/>
      <c r="H6" s="34"/>
      <c r="I6" s="34"/>
      <c r="J6" s="53"/>
      <c r="K6" s="34"/>
      <c r="L6" s="34"/>
      <c r="M6" s="58"/>
      <c r="N6" s="59"/>
      <c r="O6" s="60" t="s">
        <v>17</v>
      </c>
      <c r="P6" s="49">
        <f t="shared" si="1"/>
        <v>0</v>
      </c>
      <c r="Q6" s="61"/>
      <c r="R6" s="62"/>
      <c r="S6" s="60" t="s">
        <v>17</v>
      </c>
      <c r="T6" s="49">
        <f t="shared" si="2"/>
        <v>0</v>
      </c>
      <c r="U6" s="61"/>
      <c r="V6" s="62"/>
      <c r="W6" s="60" t="s">
        <v>17</v>
      </c>
      <c r="X6" s="49">
        <f t="shared" si="3"/>
        <v>0</v>
      </c>
      <c r="Y6" s="41"/>
      <c r="Z6" s="42"/>
      <c r="AA6" s="42"/>
      <c r="AB6" s="42"/>
      <c r="AC6" s="42"/>
      <c r="AD6" s="42"/>
    </row>
    <row r="7" ht="13.5" customHeight="1">
      <c r="A7" s="43"/>
      <c r="B7" s="44"/>
      <c r="C7" s="52"/>
      <c r="D7" s="52"/>
      <c r="E7" s="52"/>
      <c r="F7" s="52"/>
      <c r="G7" s="34"/>
      <c r="H7" s="34"/>
      <c r="I7" s="34"/>
      <c r="J7" s="53"/>
      <c r="K7" s="34"/>
      <c r="L7" s="34"/>
      <c r="M7" s="42"/>
      <c r="N7" s="42"/>
      <c r="O7" s="63" t="s">
        <v>18</v>
      </c>
      <c r="P7" s="49">
        <f t="shared" si="1"/>
        <v>1</v>
      </c>
      <c r="Q7" s="42"/>
      <c r="R7" s="64"/>
      <c r="S7" s="63" t="s">
        <v>18</v>
      </c>
      <c r="T7" s="49">
        <f t="shared" si="2"/>
        <v>29</v>
      </c>
      <c r="U7" s="42"/>
      <c r="V7" s="64"/>
      <c r="W7" s="63" t="s">
        <v>18</v>
      </c>
      <c r="X7" s="49">
        <f t="shared" si="3"/>
        <v>0</v>
      </c>
      <c r="Y7" s="41"/>
      <c r="Z7" s="42"/>
      <c r="AA7" s="42"/>
      <c r="AB7" s="42"/>
      <c r="AC7" s="42"/>
      <c r="AD7" s="42"/>
    </row>
    <row r="8" ht="13.5" customHeight="1">
      <c r="A8" s="43"/>
      <c r="B8" s="44"/>
      <c r="C8" s="52"/>
      <c r="D8" s="52"/>
      <c r="E8" s="52"/>
      <c r="F8" s="52"/>
      <c r="G8" s="34"/>
      <c r="H8" s="34"/>
      <c r="I8" s="34"/>
      <c r="J8" s="53"/>
      <c r="K8" s="34"/>
      <c r="L8" s="34"/>
      <c r="M8" s="42"/>
      <c r="N8" s="42"/>
      <c r="O8" s="65" t="s">
        <v>33</v>
      </c>
      <c r="P8" s="66">
        <f t="shared" si="1"/>
        <v>0</v>
      </c>
      <c r="Q8" s="42"/>
      <c r="R8" s="64"/>
      <c r="S8" s="65" t="s">
        <v>33</v>
      </c>
      <c r="T8" s="66">
        <f t="shared" si="2"/>
        <v>0</v>
      </c>
      <c r="U8" s="42"/>
      <c r="V8" s="64"/>
      <c r="W8" s="65" t="s">
        <v>33</v>
      </c>
      <c r="X8" s="66">
        <f t="shared" si="3"/>
        <v>0</v>
      </c>
      <c r="Y8" s="41"/>
      <c r="Z8" s="42"/>
      <c r="AA8" s="42"/>
      <c r="AB8" s="42"/>
      <c r="AC8" s="42"/>
      <c r="AD8" s="42"/>
    </row>
    <row r="9" ht="10.5" customHeight="1">
      <c r="A9" s="29"/>
      <c r="B9" s="30"/>
      <c r="C9" s="29"/>
      <c r="D9" s="29"/>
      <c r="E9" s="29"/>
      <c r="F9" s="29"/>
      <c r="G9" s="29"/>
      <c r="H9" s="29"/>
      <c r="I9" s="29"/>
      <c r="J9" s="29"/>
      <c r="K9" s="29"/>
      <c r="L9" s="29"/>
      <c r="M9" s="59"/>
      <c r="N9" s="59"/>
      <c r="O9" s="59"/>
      <c r="P9" s="59"/>
      <c r="Q9" s="59"/>
      <c r="R9" s="59"/>
      <c r="S9" s="59"/>
      <c r="T9" s="59"/>
      <c r="U9" s="59"/>
      <c r="V9" s="59"/>
      <c r="W9" s="59"/>
      <c r="X9" s="59"/>
      <c r="Y9" s="67"/>
      <c r="Z9" s="42"/>
      <c r="AA9" s="42"/>
      <c r="AB9" s="42"/>
      <c r="AC9" s="42"/>
      <c r="AD9" s="42"/>
    </row>
    <row r="10" ht="18.75" customHeight="1">
      <c r="A10" s="68"/>
      <c r="B10" s="69" t="s">
        <v>2</v>
      </c>
      <c r="C10" s="70" t="s">
        <v>34</v>
      </c>
      <c r="D10" s="71" t="s">
        <v>35</v>
      </c>
      <c r="E10" s="72" t="s">
        <v>36</v>
      </c>
      <c r="F10" s="72" t="s">
        <v>37</v>
      </c>
      <c r="G10" s="72" t="s">
        <v>38</v>
      </c>
      <c r="H10" s="72" t="s">
        <v>39</v>
      </c>
      <c r="I10" s="73" t="s">
        <v>40</v>
      </c>
      <c r="J10" s="73" t="s">
        <v>41</v>
      </c>
      <c r="K10" s="72" t="s">
        <v>42</v>
      </c>
      <c r="L10" s="74" t="s">
        <v>43</v>
      </c>
      <c r="M10" s="75" t="s">
        <v>44</v>
      </c>
      <c r="N10" s="76" t="s">
        <v>45</v>
      </c>
      <c r="O10" s="77" t="s">
        <v>46</v>
      </c>
      <c r="P10" s="78" t="s">
        <v>47</v>
      </c>
      <c r="Q10" s="77" t="s">
        <v>44</v>
      </c>
      <c r="R10" s="76" t="s">
        <v>45</v>
      </c>
      <c r="S10" s="77" t="s">
        <v>46</v>
      </c>
      <c r="T10" s="78" t="s">
        <v>47</v>
      </c>
      <c r="U10" s="77" t="s">
        <v>44</v>
      </c>
      <c r="V10" s="76" t="s">
        <v>45</v>
      </c>
      <c r="W10" s="77" t="s">
        <v>46</v>
      </c>
      <c r="X10" s="78" t="s">
        <v>47</v>
      </c>
      <c r="Y10" s="78" t="s">
        <v>48</v>
      </c>
      <c r="Z10" s="42"/>
      <c r="AA10" s="42"/>
      <c r="AB10" s="42"/>
      <c r="AC10" s="42"/>
      <c r="AD10" s="42"/>
    </row>
    <row r="11">
      <c r="A11" s="29"/>
      <c r="B11" s="79">
        <f t="shared" ref="B11:B39" si="4">(ROW()-ROW($B$10))</f>
        <v>1</v>
      </c>
      <c r="C11" s="80" t="s">
        <v>49</v>
      </c>
      <c r="D11" s="81" t="s">
        <v>19</v>
      </c>
      <c r="E11" s="81" t="s">
        <v>19</v>
      </c>
      <c r="F11" s="81" t="s">
        <v>19</v>
      </c>
      <c r="G11" s="81" t="s">
        <v>19</v>
      </c>
      <c r="H11" s="81" t="s">
        <v>19</v>
      </c>
      <c r="I11" s="81" t="s">
        <v>50</v>
      </c>
      <c r="J11" s="81" t="s">
        <v>19</v>
      </c>
      <c r="K11" s="81" t="s">
        <v>51</v>
      </c>
      <c r="L11" s="81" t="s">
        <v>52</v>
      </c>
      <c r="M11" s="82" t="s">
        <v>13</v>
      </c>
      <c r="N11" s="83">
        <v>45525.0</v>
      </c>
      <c r="O11" s="84" t="s">
        <v>53</v>
      </c>
      <c r="P11" s="85"/>
      <c r="Q11" s="86" t="s">
        <v>18</v>
      </c>
      <c r="R11" s="87"/>
      <c r="S11" s="88"/>
      <c r="T11" s="85"/>
      <c r="U11" s="86"/>
      <c r="V11" s="87"/>
      <c r="W11" s="88"/>
      <c r="X11" s="85"/>
      <c r="Y11" s="89"/>
      <c r="Z11" s="42"/>
      <c r="AA11" s="42"/>
      <c r="AB11" s="42"/>
      <c r="AC11" s="42"/>
      <c r="AD11" s="42"/>
    </row>
    <row r="12">
      <c r="A12" s="29"/>
      <c r="B12" s="79">
        <f t="shared" si="4"/>
        <v>2</v>
      </c>
      <c r="C12" s="80" t="s">
        <v>49</v>
      </c>
      <c r="D12" s="81" t="s">
        <v>19</v>
      </c>
      <c r="E12" s="81" t="s">
        <v>19</v>
      </c>
      <c r="F12" s="81" t="s">
        <v>19</v>
      </c>
      <c r="G12" s="81" t="s">
        <v>19</v>
      </c>
      <c r="H12" s="81" t="s">
        <v>19</v>
      </c>
      <c r="I12" s="81" t="s">
        <v>50</v>
      </c>
      <c r="J12" s="81" t="s">
        <v>54</v>
      </c>
      <c r="K12" s="81" t="s">
        <v>51</v>
      </c>
      <c r="L12" s="81" t="s">
        <v>55</v>
      </c>
      <c r="M12" s="82" t="s">
        <v>18</v>
      </c>
      <c r="N12" s="83">
        <v>45525.0</v>
      </c>
      <c r="O12" s="84" t="s">
        <v>53</v>
      </c>
      <c r="P12" s="85"/>
      <c r="Q12" s="86" t="s">
        <v>18</v>
      </c>
      <c r="R12" s="87"/>
      <c r="S12" s="88"/>
      <c r="T12" s="85"/>
      <c r="U12" s="86"/>
      <c r="V12" s="87"/>
      <c r="W12" s="88"/>
      <c r="X12" s="85"/>
      <c r="Y12" s="90" t="s">
        <v>56</v>
      </c>
      <c r="Z12" s="42"/>
      <c r="AA12" s="42"/>
      <c r="AB12" s="42"/>
      <c r="AC12" s="42"/>
      <c r="AD12" s="42"/>
    </row>
    <row r="13">
      <c r="A13" s="29"/>
      <c r="B13" s="79">
        <f t="shared" si="4"/>
        <v>3</v>
      </c>
      <c r="C13" s="80" t="s">
        <v>49</v>
      </c>
      <c r="D13" s="81" t="s">
        <v>19</v>
      </c>
      <c r="E13" s="81" t="s">
        <v>19</v>
      </c>
      <c r="F13" s="81" t="s">
        <v>19</v>
      </c>
      <c r="G13" s="81" t="s">
        <v>19</v>
      </c>
      <c r="H13" s="81" t="s">
        <v>19</v>
      </c>
      <c r="I13" s="81" t="s">
        <v>50</v>
      </c>
      <c r="J13" s="81" t="s">
        <v>57</v>
      </c>
      <c r="K13" s="81" t="s">
        <v>51</v>
      </c>
      <c r="L13" s="81" t="s">
        <v>58</v>
      </c>
      <c r="M13" s="82" t="s">
        <v>13</v>
      </c>
      <c r="N13" s="83">
        <v>45525.0</v>
      </c>
      <c r="O13" s="84" t="s">
        <v>53</v>
      </c>
      <c r="P13" s="85"/>
      <c r="Q13" s="86" t="s">
        <v>18</v>
      </c>
      <c r="R13" s="87"/>
      <c r="S13" s="88"/>
      <c r="T13" s="85"/>
      <c r="U13" s="86"/>
      <c r="V13" s="87"/>
      <c r="W13" s="88"/>
      <c r="X13" s="85"/>
      <c r="Y13" s="89"/>
      <c r="Z13" s="42"/>
      <c r="AA13" s="42"/>
      <c r="AB13" s="42"/>
      <c r="AC13" s="42"/>
      <c r="AD13" s="42"/>
    </row>
    <row r="14">
      <c r="A14" s="29"/>
      <c r="B14" s="79">
        <f t="shared" si="4"/>
        <v>4</v>
      </c>
      <c r="C14" s="80" t="s">
        <v>49</v>
      </c>
      <c r="D14" s="81" t="s">
        <v>19</v>
      </c>
      <c r="E14" s="81" t="s">
        <v>19</v>
      </c>
      <c r="F14" s="81" t="s">
        <v>19</v>
      </c>
      <c r="G14" s="81" t="s">
        <v>19</v>
      </c>
      <c r="H14" s="81" t="s">
        <v>19</v>
      </c>
      <c r="I14" s="81" t="s">
        <v>50</v>
      </c>
      <c r="J14" s="81" t="s">
        <v>19</v>
      </c>
      <c r="K14" s="81" t="s">
        <v>59</v>
      </c>
      <c r="L14" s="81" t="s">
        <v>60</v>
      </c>
      <c r="M14" s="82" t="s">
        <v>13</v>
      </c>
      <c r="N14" s="83">
        <v>45525.0</v>
      </c>
      <c r="O14" s="84" t="s">
        <v>53</v>
      </c>
      <c r="P14" s="85"/>
      <c r="Q14" s="86" t="s">
        <v>18</v>
      </c>
      <c r="R14" s="87"/>
      <c r="S14" s="88"/>
      <c r="T14" s="85"/>
      <c r="U14" s="86"/>
      <c r="V14" s="87"/>
      <c r="W14" s="88"/>
      <c r="X14" s="85"/>
      <c r="Y14" s="89"/>
      <c r="Z14" s="42"/>
      <c r="AA14" s="42"/>
      <c r="AB14" s="42"/>
      <c r="AC14" s="42"/>
      <c r="AD14" s="42"/>
    </row>
    <row r="15">
      <c r="A15" s="29"/>
      <c r="B15" s="79">
        <f t="shared" si="4"/>
        <v>5</v>
      </c>
      <c r="C15" s="91" t="s">
        <v>61</v>
      </c>
      <c r="D15" s="81" t="s">
        <v>19</v>
      </c>
      <c r="E15" s="81" t="s">
        <v>19</v>
      </c>
      <c r="F15" s="92"/>
      <c r="G15" s="92"/>
      <c r="H15" s="92"/>
      <c r="I15" s="81" t="s">
        <v>50</v>
      </c>
      <c r="J15" s="81" t="s">
        <v>19</v>
      </c>
      <c r="K15" s="81" t="s">
        <v>62</v>
      </c>
      <c r="L15" s="81" t="s">
        <v>63</v>
      </c>
      <c r="M15" s="82" t="s">
        <v>13</v>
      </c>
      <c r="N15" s="83">
        <v>45525.0</v>
      </c>
      <c r="O15" s="84" t="s">
        <v>53</v>
      </c>
      <c r="P15" s="85"/>
      <c r="Q15" s="93" t="s">
        <v>18</v>
      </c>
      <c r="R15" s="87"/>
      <c r="S15" s="88"/>
      <c r="T15" s="85"/>
      <c r="U15" s="86"/>
      <c r="V15" s="87"/>
      <c r="W15" s="88"/>
      <c r="X15" s="85"/>
      <c r="Y15" s="89"/>
      <c r="Z15" s="42"/>
      <c r="AA15" s="42"/>
      <c r="AB15" s="42"/>
      <c r="AC15" s="42"/>
      <c r="AD15" s="42"/>
    </row>
    <row r="16">
      <c r="A16" s="64"/>
      <c r="B16" s="94">
        <f t="shared" si="4"/>
        <v>6</v>
      </c>
      <c r="C16" s="91" t="s">
        <v>61</v>
      </c>
      <c r="D16" s="81" t="s">
        <v>64</v>
      </c>
      <c r="E16" s="81" t="s">
        <v>19</v>
      </c>
      <c r="F16" s="92" t="s">
        <v>19</v>
      </c>
      <c r="G16" s="92" t="s">
        <v>19</v>
      </c>
      <c r="H16" s="92" t="s">
        <v>19</v>
      </c>
      <c r="I16" s="92" t="s">
        <v>50</v>
      </c>
      <c r="J16" s="95" t="s">
        <v>65</v>
      </c>
      <c r="K16" s="95" t="s">
        <v>66</v>
      </c>
      <c r="L16" s="92" t="s">
        <v>67</v>
      </c>
      <c r="M16" s="82" t="s">
        <v>13</v>
      </c>
      <c r="N16" s="83">
        <v>45525.0</v>
      </c>
      <c r="O16" s="84" t="s">
        <v>53</v>
      </c>
      <c r="P16" s="96"/>
      <c r="Q16" s="93" t="s">
        <v>18</v>
      </c>
      <c r="R16" s="97"/>
      <c r="S16" s="98"/>
      <c r="T16" s="96"/>
      <c r="U16" s="96"/>
      <c r="V16" s="97"/>
      <c r="W16" s="98"/>
      <c r="X16" s="96"/>
      <c r="Y16" s="99"/>
      <c r="Z16" s="42"/>
      <c r="AA16" s="42"/>
      <c r="AB16" s="42"/>
      <c r="AC16" s="42"/>
      <c r="AD16" s="42"/>
    </row>
    <row r="17">
      <c r="A17" s="64"/>
      <c r="B17" s="94">
        <f t="shared" si="4"/>
        <v>7</v>
      </c>
      <c r="C17" s="91" t="s">
        <v>61</v>
      </c>
      <c r="D17" s="81" t="s">
        <v>64</v>
      </c>
      <c r="E17" s="81" t="s">
        <v>19</v>
      </c>
      <c r="F17" s="92" t="s">
        <v>19</v>
      </c>
      <c r="G17" s="92" t="s">
        <v>19</v>
      </c>
      <c r="H17" s="92" t="s">
        <v>19</v>
      </c>
      <c r="I17" s="92" t="s">
        <v>50</v>
      </c>
      <c r="J17" s="92" t="s">
        <v>68</v>
      </c>
      <c r="K17" s="92" t="s">
        <v>69</v>
      </c>
      <c r="L17" s="92" t="s">
        <v>70</v>
      </c>
      <c r="M17" s="82" t="s">
        <v>13</v>
      </c>
      <c r="N17" s="83">
        <v>45525.0</v>
      </c>
      <c r="O17" s="84" t="s">
        <v>53</v>
      </c>
      <c r="P17" s="96"/>
      <c r="Q17" s="93" t="s">
        <v>18</v>
      </c>
      <c r="R17" s="97"/>
      <c r="S17" s="98"/>
      <c r="T17" s="96"/>
      <c r="U17" s="96"/>
      <c r="V17" s="97"/>
      <c r="W17" s="98"/>
      <c r="X17" s="96"/>
      <c r="Y17" s="100"/>
      <c r="Z17" s="42"/>
      <c r="AA17" s="42"/>
      <c r="AB17" s="42"/>
      <c r="AC17" s="42"/>
      <c r="AD17" s="42"/>
    </row>
    <row r="18">
      <c r="A18" s="29"/>
      <c r="B18" s="79">
        <f t="shared" si="4"/>
        <v>8</v>
      </c>
      <c r="C18" s="91" t="s">
        <v>61</v>
      </c>
      <c r="D18" s="81" t="s">
        <v>64</v>
      </c>
      <c r="E18" s="81" t="s">
        <v>19</v>
      </c>
      <c r="F18" s="101"/>
      <c r="G18" s="101"/>
      <c r="H18" s="101"/>
      <c r="I18" s="81" t="s">
        <v>50</v>
      </c>
      <c r="J18" s="92" t="s">
        <v>71</v>
      </c>
      <c r="K18" s="81" t="s">
        <v>72</v>
      </c>
      <c r="L18" s="81" t="s">
        <v>73</v>
      </c>
      <c r="M18" s="82" t="s">
        <v>13</v>
      </c>
      <c r="N18" s="83">
        <v>45525.0</v>
      </c>
      <c r="O18" s="84" t="s">
        <v>53</v>
      </c>
      <c r="P18" s="85"/>
      <c r="Q18" s="93" t="s">
        <v>18</v>
      </c>
      <c r="R18" s="87"/>
      <c r="S18" s="88"/>
      <c r="T18" s="85"/>
      <c r="U18" s="86"/>
      <c r="V18" s="87"/>
      <c r="W18" s="88"/>
      <c r="X18" s="85"/>
      <c r="Y18" s="89"/>
      <c r="Z18" s="42"/>
      <c r="AA18" s="42"/>
      <c r="AB18" s="42"/>
      <c r="AC18" s="42"/>
      <c r="AD18" s="42"/>
    </row>
    <row r="19">
      <c r="A19" s="29"/>
      <c r="B19" s="79">
        <f t="shared" si="4"/>
        <v>9</v>
      </c>
      <c r="C19" s="80" t="s">
        <v>74</v>
      </c>
      <c r="D19" s="81" t="s">
        <v>75</v>
      </c>
      <c r="E19" s="81" t="s">
        <v>19</v>
      </c>
      <c r="F19" s="81"/>
      <c r="G19" s="81"/>
      <c r="H19" s="81"/>
      <c r="I19" s="81" t="s">
        <v>50</v>
      </c>
      <c r="J19" s="92" t="s">
        <v>19</v>
      </c>
      <c r="K19" s="81" t="s">
        <v>76</v>
      </c>
      <c r="L19" s="81" t="s">
        <v>77</v>
      </c>
      <c r="M19" s="102" t="s">
        <v>13</v>
      </c>
      <c r="N19" s="83">
        <v>45525.0</v>
      </c>
      <c r="O19" s="84" t="s">
        <v>53</v>
      </c>
      <c r="P19" s="85"/>
      <c r="Q19" s="103" t="s">
        <v>18</v>
      </c>
      <c r="R19" s="87"/>
      <c r="S19" s="88"/>
      <c r="T19" s="85"/>
      <c r="U19" s="86"/>
      <c r="V19" s="87"/>
      <c r="W19" s="88"/>
      <c r="X19" s="85"/>
      <c r="Y19" s="89"/>
      <c r="Z19" s="42"/>
      <c r="AA19" s="42"/>
      <c r="AB19" s="42"/>
      <c r="AC19" s="42"/>
      <c r="AD19" s="42"/>
    </row>
    <row r="20">
      <c r="A20" s="29"/>
      <c r="B20" s="79">
        <f t="shared" si="4"/>
        <v>10</v>
      </c>
      <c r="C20" s="80" t="s">
        <v>74</v>
      </c>
      <c r="D20" s="81" t="s">
        <v>75</v>
      </c>
      <c r="E20" s="81" t="s">
        <v>19</v>
      </c>
      <c r="F20" s="101"/>
      <c r="G20" s="101"/>
      <c r="H20" s="101"/>
      <c r="I20" s="81" t="s">
        <v>50</v>
      </c>
      <c r="J20" s="92" t="s">
        <v>78</v>
      </c>
      <c r="K20" s="81" t="s">
        <v>79</v>
      </c>
      <c r="L20" s="81" t="s">
        <v>80</v>
      </c>
      <c r="M20" s="102" t="s">
        <v>13</v>
      </c>
      <c r="N20" s="83">
        <v>45525.0</v>
      </c>
      <c r="O20" s="84" t="s">
        <v>53</v>
      </c>
      <c r="P20" s="85"/>
      <c r="Q20" s="103" t="s">
        <v>18</v>
      </c>
      <c r="R20" s="87"/>
      <c r="S20" s="88"/>
      <c r="T20" s="85"/>
      <c r="U20" s="86"/>
      <c r="V20" s="87"/>
      <c r="W20" s="88"/>
      <c r="X20" s="85"/>
      <c r="Y20" s="89"/>
      <c r="Z20" s="42"/>
      <c r="AA20" s="42"/>
      <c r="AB20" s="42"/>
      <c r="AC20" s="42"/>
      <c r="AD20" s="42"/>
    </row>
    <row r="21">
      <c r="A21" s="29"/>
      <c r="B21" s="79">
        <f t="shared" si="4"/>
        <v>11</v>
      </c>
      <c r="C21" s="80" t="s">
        <v>74</v>
      </c>
      <c r="D21" s="81" t="s">
        <v>75</v>
      </c>
      <c r="E21" s="81" t="s">
        <v>19</v>
      </c>
      <c r="F21" s="81"/>
      <c r="G21" s="81"/>
      <c r="H21" s="81"/>
      <c r="I21" s="81" t="s">
        <v>50</v>
      </c>
      <c r="J21" s="92" t="s">
        <v>81</v>
      </c>
      <c r="K21" s="104" t="s">
        <v>82</v>
      </c>
      <c r="L21" s="92" t="s">
        <v>83</v>
      </c>
      <c r="M21" s="102" t="s">
        <v>13</v>
      </c>
      <c r="N21" s="83">
        <v>45525.0</v>
      </c>
      <c r="O21" s="84" t="s">
        <v>53</v>
      </c>
      <c r="P21" s="85"/>
      <c r="Q21" s="103" t="s">
        <v>18</v>
      </c>
      <c r="R21" s="87"/>
      <c r="S21" s="88"/>
      <c r="T21" s="85"/>
      <c r="U21" s="86"/>
      <c r="V21" s="87"/>
      <c r="W21" s="88"/>
      <c r="X21" s="85"/>
      <c r="Y21" s="89"/>
      <c r="Z21" s="42"/>
      <c r="AA21" s="42"/>
      <c r="AB21" s="42"/>
      <c r="AC21" s="42"/>
      <c r="AD21" s="42"/>
    </row>
    <row r="22">
      <c r="A22" s="29"/>
      <c r="B22" s="79">
        <f t="shared" si="4"/>
        <v>12</v>
      </c>
      <c r="C22" s="91" t="s">
        <v>19</v>
      </c>
      <c r="D22" s="92" t="s">
        <v>84</v>
      </c>
      <c r="E22" s="81" t="s">
        <v>19</v>
      </c>
      <c r="F22" s="101"/>
      <c r="G22" s="101"/>
      <c r="H22" s="101"/>
      <c r="I22" s="81" t="s">
        <v>50</v>
      </c>
      <c r="J22" s="92" t="s">
        <v>19</v>
      </c>
      <c r="K22" s="81" t="s">
        <v>85</v>
      </c>
      <c r="L22" s="81" t="s">
        <v>86</v>
      </c>
      <c r="M22" s="102" t="s">
        <v>13</v>
      </c>
      <c r="N22" s="83">
        <v>45525.0</v>
      </c>
      <c r="O22" s="84" t="s">
        <v>53</v>
      </c>
      <c r="P22" s="85"/>
      <c r="Q22" s="103" t="s">
        <v>18</v>
      </c>
      <c r="R22" s="87"/>
      <c r="S22" s="88"/>
      <c r="T22" s="85"/>
      <c r="U22" s="86"/>
      <c r="V22" s="87"/>
      <c r="W22" s="88"/>
      <c r="X22" s="85"/>
      <c r="Y22" s="89"/>
      <c r="Z22" s="42"/>
      <c r="AA22" s="42"/>
      <c r="AB22" s="42"/>
      <c r="AC22" s="42"/>
      <c r="AD22" s="42"/>
    </row>
    <row r="23">
      <c r="A23" s="29"/>
      <c r="B23" s="79">
        <f t="shared" si="4"/>
        <v>13</v>
      </c>
      <c r="C23" s="91" t="s">
        <v>19</v>
      </c>
      <c r="D23" s="92" t="s">
        <v>87</v>
      </c>
      <c r="E23" s="81" t="s">
        <v>19</v>
      </c>
      <c r="F23" s="105"/>
      <c r="G23" s="105"/>
      <c r="H23" s="105"/>
      <c r="I23" s="81" t="s">
        <v>50</v>
      </c>
      <c r="J23" s="92" t="s">
        <v>19</v>
      </c>
      <c r="K23" s="81" t="s">
        <v>88</v>
      </c>
      <c r="L23" s="106" t="s">
        <v>89</v>
      </c>
      <c r="M23" s="102" t="s">
        <v>13</v>
      </c>
      <c r="N23" s="83">
        <v>45525.0</v>
      </c>
      <c r="O23" s="84" t="s">
        <v>53</v>
      </c>
      <c r="P23" s="85"/>
      <c r="Q23" s="103" t="s">
        <v>18</v>
      </c>
      <c r="R23" s="87"/>
      <c r="S23" s="88"/>
      <c r="T23" s="85"/>
      <c r="U23" s="86"/>
      <c r="V23" s="87"/>
      <c r="W23" s="88"/>
      <c r="X23" s="85"/>
      <c r="Y23" s="89"/>
      <c r="Z23" s="42"/>
      <c r="AA23" s="42"/>
      <c r="AB23" s="42"/>
      <c r="AC23" s="42"/>
      <c r="AD23" s="42"/>
    </row>
    <row r="24">
      <c r="A24" s="29"/>
      <c r="B24" s="79">
        <f t="shared" si="4"/>
        <v>14</v>
      </c>
      <c r="C24" s="91" t="s">
        <v>19</v>
      </c>
      <c r="D24" s="92" t="s">
        <v>90</v>
      </c>
      <c r="E24" s="81" t="s">
        <v>19</v>
      </c>
      <c r="F24" s="105"/>
      <c r="G24" s="105"/>
      <c r="H24" s="105"/>
      <c r="I24" s="81" t="s">
        <v>50</v>
      </c>
      <c r="J24" s="92" t="s">
        <v>19</v>
      </c>
      <c r="K24" s="81" t="s">
        <v>91</v>
      </c>
      <c r="L24" s="106" t="s">
        <v>92</v>
      </c>
      <c r="M24" s="102" t="s">
        <v>13</v>
      </c>
      <c r="N24" s="83">
        <v>45525.0</v>
      </c>
      <c r="O24" s="84" t="s">
        <v>53</v>
      </c>
      <c r="P24" s="85"/>
      <c r="Q24" s="103" t="s">
        <v>18</v>
      </c>
      <c r="R24" s="87"/>
      <c r="S24" s="88"/>
      <c r="T24" s="85"/>
      <c r="U24" s="86"/>
      <c r="V24" s="87"/>
      <c r="W24" s="88"/>
      <c r="X24" s="85"/>
      <c r="Y24" s="89"/>
      <c r="Z24" s="42"/>
      <c r="AA24" s="42"/>
      <c r="AB24" s="42"/>
      <c r="AC24" s="42"/>
      <c r="AD24" s="42"/>
    </row>
    <row r="25">
      <c r="A25" s="29"/>
      <c r="B25" s="79">
        <f t="shared" si="4"/>
        <v>15</v>
      </c>
      <c r="C25" s="91" t="s">
        <v>19</v>
      </c>
      <c r="D25" s="92" t="s">
        <v>93</v>
      </c>
      <c r="E25" s="81" t="s">
        <v>19</v>
      </c>
      <c r="F25" s="107"/>
      <c r="G25" s="107"/>
      <c r="H25" s="107"/>
      <c r="I25" s="92" t="s">
        <v>50</v>
      </c>
      <c r="J25" s="92" t="s">
        <v>19</v>
      </c>
      <c r="K25" s="92" t="s">
        <v>94</v>
      </c>
      <c r="L25" s="92" t="s">
        <v>95</v>
      </c>
      <c r="M25" s="102" t="s">
        <v>13</v>
      </c>
      <c r="N25" s="83">
        <v>45525.0</v>
      </c>
      <c r="O25" s="84" t="s">
        <v>53</v>
      </c>
      <c r="P25" s="85"/>
      <c r="Q25" s="103" t="s">
        <v>18</v>
      </c>
      <c r="R25" s="87"/>
      <c r="S25" s="88"/>
      <c r="T25" s="85"/>
      <c r="U25" s="86"/>
      <c r="V25" s="87"/>
      <c r="W25" s="88"/>
      <c r="X25" s="85"/>
      <c r="Y25" s="89"/>
      <c r="Z25" s="42"/>
      <c r="AA25" s="42"/>
      <c r="AB25" s="42"/>
      <c r="AC25" s="42"/>
      <c r="AD25" s="42"/>
    </row>
    <row r="26">
      <c r="A26" s="29"/>
      <c r="B26" s="79">
        <f t="shared" si="4"/>
        <v>16</v>
      </c>
      <c r="C26" s="91" t="s">
        <v>96</v>
      </c>
      <c r="D26" s="92" t="s">
        <v>19</v>
      </c>
      <c r="E26" s="81" t="s">
        <v>19</v>
      </c>
      <c r="F26" s="107"/>
      <c r="G26" s="107"/>
      <c r="H26" s="107"/>
      <c r="I26" s="92" t="s">
        <v>50</v>
      </c>
      <c r="J26" s="95" t="s">
        <v>97</v>
      </c>
      <c r="K26" s="92" t="s">
        <v>98</v>
      </c>
      <c r="L26" s="106" t="s">
        <v>99</v>
      </c>
      <c r="M26" s="102" t="s">
        <v>13</v>
      </c>
      <c r="N26" s="83">
        <v>45525.0</v>
      </c>
      <c r="O26" s="84" t="s">
        <v>53</v>
      </c>
      <c r="P26" s="85"/>
      <c r="Q26" s="102" t="s">
        <v>18</v>
      </c>
      <c r="R26" s="87"/>
      <c r="S26" s="88"/>
      <c r="T26" s="85"/>
      <c r="U26" s="86"/>
      <c r="V26" s="87"/>
      <c r="W26" s="88"/>
      <c r="X26" s="85"/>
      <c r="Y26" s="90" t="s">
        <v>100</v>
      </c>
      <c r="Z26" s="42"/>
      <c r="AA26" s="42"/>
      <c r="AB26" s="42"/>
      <c r="AC26" s="42"/>
      <c r="AD26" s="42"/>
    </row>
    <row r="27">
      <c r="A27" s="29"/>
      <c r="B27" s="79">
        <f t="shared" si="4"/>
        <v>17</v>
      </c>
      <c r="C27" s="91" t="s">
        <v>96</v>
      </c>
      <c r="D27" s="92" t="s">
        <v>19</v>
      </c>
      <c r="E27" s="81" t="s">
        <v>19</v>
      </c>
      <c r="F27" s="107"/>
      <c r="G27" s="107"/>
      <c r="H27" s="107"/>
      <c r="I27" s="92" t="s">
        <v>50</v>
      </c>
      <c r="J27" s="92" t="s">
        <v>101</v>
      </c>
      <c r="K27" s="108" t="s">
        <v>102</v>
      </c>
      <c r="L27" s="106" t="s">
        <v>103</v>
      </c>
      <c r="M27" s="102" t="s">
        <v>16</v>
      </c>
      <c r="N27" s="83">
        <v>45525.0</v>
      </c>
      <c r="O27" s="84" t="s">
        <v>53</v>
      </c>
      <c r="P27" s="85"/>
      <c r="Q27" s="102" t="s">
        <v>18</v>
      </c>
      <c r="R27" s="87"/>
      <c r="S27" s="88"/>
      <c r="T27" s="85"/>
      <c r="U27" s="86"/>
      <c r="V27" s="87"/>
      <c r="W27" s="88"/>
      <c r="X27" s="85"/>
      <c r="Y27" s="90" t="s">
        <v>104</v>
      </c>
      <c r="Z27" s="42"/>
      <c r="AA27" s="42"/>
      <c r="AB27" s="42"/>
      <c r="AC27" s="42"/>
      <c r="AD27" s="42"/>
    </row>
    <row r="28">
      <c r="A28" s="29"/>
      <c r="B28" s="79">
        <f t="shared" si="4"/>
        <v>18</v>
      </c>
      <c r="C28" s="91" t="s">
        <v>96</v>
      </c>
      <c r="D28" s="92" t="s">
        <v>19</v>
      </c>
      <c r="E28" s="81" t="s">
        <v>19</v>
      </c>
      <c r="F28" s="107"/>
      <c r="G28" s="107"/>
      <c r="H28" s="107"/>
      <c r="I28" s="92" t="s">
        <v>50</v>
      </c>
      <c r="J28" s="92" t="s">
        <v>105</v>
      </c>
      <c r="K28" s="92" t="s">
        <v>106</v>
      </c>
      <c r="L28" s="92" t="s">
        <v>107</v>
      </c>
      <c r="M28" s="102" t="s">
        <v>13</v>
      </c>
      <c r="N28" s="83">
        <v>45525.0</v>
      </c>
      <c r="O28" s="84" t="s">
        <v>53</v>
      </c>
      <c r="P28" s="85"/>
      <c r="Q28" s="102" t="s">
        <v>18</v>
      </c>
      <c r="R28" s="87"/>
      <c r="S28" s="88"/>
      <c r="T28" s="85"/>
      <c r="U28" s="86"/>
      <c r="V28" s="87"/>
      <c r="W28" s="88"/>
      <c r="X28" s="85"/>
      <c r="Y28" s="90" t="s">
        <v>108</v>
      </c>
      <c r="Z28" s="42"/>
      <c r="AA28" s="42"/>
      <c r="AB28" s="42"/>
      <c r="AC28" s="42"/>
      <c r="AD28" s="42"/>
    </row>
    <row r="29">
      <c r="A29" s="29"/>
      <c r="B29" s="79">
        <f t="shared" si="4"/>
        <v>19</v>
      </c>
      <c r="C29" s="91" t="s">
        <v>96</v>
      </c>
      <c r="D29" s="92" t="s">
        <v>19</v>
      </c>
      <c r="E29" s="81" t="s">
        <v>19</v>
      </c>
      <c r="F29" s="107"/>
      <c r="G29" s="107"/>
      <c r="H29" s="107"/>
      <c r="I29" s="92" t="s">
        <v>50</v>
      </c>
      <c r="J29" s="92" t="s">
        <v>105</v>
      </c>
      <c r="K29" s="92" t="s">
        <v>109</v>
      </c>
      <c r="L29" s="92" t="s">
        <v>110</v>
      </c>
      <c r="M29" s="102" t="s">
        <v>13</v>
      </c>
      <c r="N29" s="83">
        <v>45525.0</v>
      </c>
      <c r="O29" s="84" t="s">
        <v>53</v>
      </c>
      <c r="P29" s="85"/>
      <c r="Q29" s="102" t="s">
        <v>18</v>
      </c>
      <c r="R29" s="87"/>
      <c r="S29" s="88"/>
      <c r="T29" s="85"/>
      <c r="U29" s="86"/>
      <c r="V29" s="87"/>
      <c r="W29" s="88"/>
      <c r="X29" s="85"/>
      <c r="Y29" s="89"/>
      <c r="Z29" s="42"/>
      <c r="AA29" s="42"/>
      <c r="AB29" s="42"/>
      <c r="AC29" s="42"/>
      <c r="AD29" s="42"/>
    </row>
    <row r="30">
      <c r="A30" s="29"/>
      <c r="B30" s="79">
        <f t="shared" si="4"/>
        <v>20</v>
      </c>
      <c r="C30" s="91" t="s">
        <v>96</v>
      </c>
      <c r="D30" s="92" t="s">
        <v>19</v>
      </c>
      <c r="E30" s="81" t="s">
        <v>19</v>
      </c>
      <c r="F30" s="107"/>
      <c r="G30" s="107"/>
      <c r="H30" s="107"/>
      <c r="I30" s="92" t="s">
        <v>111</v>
      </c>
      <c r="J30" s="92" t="s">
        <v>105</v>
      </c>
      <c r="K30" s="95" t="s">
        <v>112</v>
      </c>
      <c r="L30" s="92" t="s">
        <v>113</v>
      </c>
      <c r="M30" s="102" t="s">
        <v>16</v>
      </c>
      <c r="N30" s="83">
        <v>45525.0</v>
      </c>
      <c r="O30" s="84" t="s">
        <v>53</v>
      </c>
      <c r="P30" s="85"/>
      <c r="Q30" s="102" t="s">
        <v>18</v>
      </c>
      <c r="R30" s="87"/>
      <c r="S30" s="88"/>
      <c r="T30" s="85"/>
      <c r="U30" s="86"/>
      <c r="V30" s="87"/>
      <c r="W30" s="88"/>
      <c r="X30" s="85"/>
      <c r="Y30" s="90" t="s">
        <v>114</v>
      </c>
      <c r="Z30" s="42"/>
      <c r="AA30" s="42"/>
      <c r="AB30" s="42"/>
      <c r="AC30" s="42"/>
      <c r="AD30" s="42"/>
    </row>
    <row r="31">
      <c r="A31" s="29"/>
      <c r="B31" s="79">
        <f t="shared" si="4"/>
        <v>21</v>
      </c>
      <c r="C31" s="91" t="s">
        <v>96</v>
      </c>
      <c r="D31" s="92" t="s">
        <v>19</v>
      </c>
      <c r="E31" s="81" t="s">
        <v>19</v>
      </c>
      <c r="F31" s="107"/>
      <c r="G31" s="107"/>
      <c r="H31" s="107"/>
      <c r="I31" s="92" t="s">
        <v>50</v>
      </c>
      <c r="J31" s="92" t="s">
        <v>105</v>
      </c>
      <c r="K31" s="92" t="s">
        <v>115</v>
      </c>
      <c r="L31" s="92" t="s">
        <v>110</v>
      </c>
      <c r="M31" s="102" t="s">
        <v>13</v>
      </c>
      <c r="N31" s="83">
        <v>45525.0</v>
      </c>
      <c r="O31" s="84" t="s">
        <v>53</v>
      </c>
      <c r="P31" s="85"/>
      <c r="Q31" s="102" t="s">
        <v>18</v>
      </c>
      <c r="R31" s="87"/>
      <c r="S31" s="88"/>
      <c r="T31" s="85"/>
      <c r="U31" s="86"/>
      <c r="V31" s="87"/>
      <c r="W31" s="88"/>
      <c r="X31" s="85"/>
      <c r="Y31" s="89"/>
      <c r="Z31" s="42"/>
      <c r="AA31" s="42"/>
      <c r="AB31" s="42"/>
      <c r="AC31" s="42"/>
      <c r="AD31" s="42"/>
    </row>
    <row r="32">
      <c r="A32" s="29"/>
      <c r="B32" s="79">
        <f t="shared" si="4"/>
        <v>22</v>
      </c>
      <c r="C32" s="91" t="s">
        <v>96</v>
      </c>
      <c r="D32" s="92" t="s">
        <v>19</v>
      </c>
      <c r="E32" s="81" t="s">
        <v>19</v>
      </c>
      <c r="F32" s="107"/>
      <c r="G32" s="107"/>
      <c r="H32" s="107"/>
      <c r="I32" s="92" t="s">
        <v>50</v>
      </c>
      <c r="J32" s="92" t="s">
        <v>105</v>
      </c>
      <c r="K32" s="92" t="s">
        <v>116</v>
      </c>
      <c r="L32" s="92" t="s">
        <v>117</v>
      </c>
      <c r="M32" s="102" t="s">
        <v>13</v>
      </c>
      <c r="N32" s="83">
        <v>45525.0</v>
      </c>
      <c r="O32" s="84" t="s">
        <v>53</v>
      </c>
      <c r="P32" s="85"/>
      <c r="Q32" s="102" t="s">
        <v>18</v>
      </c>
      <c r="R32" s="87"/>
      <c r="S32" s="88"/>
      <c r="T32" s="85"/>
      <c r="U32" s="86"/>
      <c r="V32" s="87"/>
      <c r="W32" s="88"/>
      <c r="X32" s="85"/>
      <c r="Y32" s="89"/>
      <c r="Z32" s="42"/>
      <c r="AA32" s="42"/>
      <c r="AB32" s="42"/>
      <c r="AC32" s="42"/>
      <c r="AD32" s="42"/>
    </row>
    <row r="33">
      <c r="A33" s="29"/>
      <c r="B33" s="79">
        <f t="shared" si="4"/>
        <v>23</v>
      </c>
      <c r="C33" s="80" t="s">
        <v>118</v>
      </c>
      <c r="D33" s="92" t="s">
        <v>19</v>
      </c>
      <c r="E33" s="107" t="s">
        <v>119</v>
      </c>
      <c r="F33" s="107"/>
      <c r="G33" s="107"/>
      <c r="H33" s="107"/>
      <c r="I33" s="92" t="s">
        <v>50</v>
      </c>
      <c r="J33" s="92" t="s">
        <v>120</v>
      </c>
      <c r="K33" s="92" t="s">
        <v>121</v>
      </c>
      <c r="L33" s="81" t="s">
        <v>122</v>
      </c>
      <c r="M33" s="102" t="s">
        <v>13</v>
      </c>
      <c r="N33" s="83">
        <v>45525.0</v>
      </c>
      <c r="O33" s="84" t="s">
        <v>53</v>
      </c>
      <c r="P33" s="85"/>
      <c r="Q33" s="102" t="s">
        <v>18</v>
      </c>
      <c r="R33" s="87"/>
      <c r="S33" s="88"/>
      <c r="T33" s="85"/>
      <c r="U33" s="86"/>
      <c r="V33" s="87"/>
      <c r="W33" s="88"/>
      <c r="X33" s="85"/>
      <c r="Y33" s="89"/>
      <c r="Z33" s="42"/>
      <c r="AA33" s="42"/>
      <c r="AB33" s="42"/>
      <c r="AC33" s="42"/>
      <c r="AD33" s="42"/>
    </row>
    <row r="34">
      <c r="A34" s="29"/>
      <c r="B34" s="79">
        <f t="shared" si="4"/>
        <v>24</v>
      </c>
      <c r="C34" s="80" t="s">
        <v>118</v>
      </c>
      <c r="D34" s="92" t="s">
        <v>19</v>
      </c>
      <c r="E34" s="107" t="s">
        <v>119</v>
      </c>
      <c r="F34" s="107"/>
      <c r="G34" s="107"/>
      <c r="H34" s="107"/>
      <c r="I34" s="92" t="s">
        <v>50</v>
      </c>
      <c r="J34" s="92" t="s">
        <v>120</v>
      </c>
      <c r="K34" s="92" t="s">
        <v>123</v>
      </c>
      <c r="L34" s="92" t="s">
        <v>107</v>
      </c>
      <c r="M34" s="102" t="s">
        <v>13</v>
      </c>
      <c r="N34" s="83">
        <v>45525.0</v>
      </c>
      <c r="O34" s="84" t="s">
        <v>53</v>
      </c>
      <c r="P34" s="85"/>
      <c r="Q34" s="102" t="s">
        <v>18</v>
      </c>
      <c r="R34" s="87"/>
      <c r="S34" s="88"/>
      <c r="T34" s="85"/>
      <c r="U34" s="86"/>
      <c r="V34" s="87"/>
      <c r="W34" s="88"/>
      <c r="X34" s="85"/>
      <c r="Y34" s="90" t="s">
        <v>124</v>
      </c>
      <c r="Z34" s="42"/>
      <c r="AA34" s="42"/>
      <c r="AB34" s="42"/>
      <c r="AC34" s="42"/>
      <c r="AD34" s="42"/>
    </row>
    <row r="35">
      <c r="A35" s="29"/>
      <c r="B35" s="79">
        <f t="shared" si="4"/>
        <v>25</v>
      </c>
      <c r="C35" s="80" t="s">
        <v>118</v>
      </c>
      <c r="D35" s="92" t="s">
        <v>19</v>
      </c>
      <c r="E35" s="107" t="s">
        <v>119</v>
      </c>
      <c r="F35" s="107"/>
      <c r="G35" s="107"/>
      <c r="H35" s="107"/>
      <c r="I35" s="92" t="s">
        <v>111</v>
      </c>
      <c r="J35" s="92" t="s">
        <v>120</v>
      </c>
      <c r="K35" s="92" t="s">
        <v>125</v>
      </c>
      <c r="L35" s="92" t="s">
        <v>126</v>
      </c>
      <c r="M35" s="102" t="s">
        <v>16</v>
      </c>
      <c r="N35" s="83">
        <v>45525.0</v>
      </c>
      <c r="O35" s="84" t="s">
        <v>53</v>
      </c>
      <c r="P35" s="85"/>
      <c r="Q35" s="102" t="s">
        <v>18</v>
      </c>
      <c r="R35" s="87"/>
      <c r="S35" s="88"/>
      <c r="T35" s="85"/>
      <c r="U35" s="86"/>
      <c r="V35" s="87"/>
      <c r="W35" s="88"/>
      <c r="X35" s="85"/>
      <c r="Y35" s="90" t="s">
        <v>114</v>
      </c>
      <c r="Z35" s="42"/>
      <c r="AA35" s="42"/>
      <c r="AB35" s="42"/>
      <c r="AC35" s="42"/>
      <c r="AD35" s="42"/>
    </row>
    <row r="36">
      <c r="A36" s="29"/>
      <c r="B36" s="79">
        <f t="shared" si="4"/>
        <v>26</v>
      </c>
      <c r="C36" s="80" t="s">
        <v>118</v>
      </c>
      <c r="D36" s="92" t="s">
        <v>19</v>
      </c>
      <c r="E36" s="107" t="s">
        <v>119</v>
      </c>
      <c r="F36" s="107"/>
      <c r="G36" s="107"/>
      <c r="H36" s="107"/>
      <c r="I36" s="92" t="s">
        <v>50</v>
      </c>
      <c r="J36" s="92" t="s">
        <v>120</v>
      </c>
      <c r="K36" s="92" t="s">
        <v>127</v>
      </c>
      <c r="L36" s="92" t="s">
        <v>128</v>
      </c>
      <c r="M36" s="102" t="s">
        <v>13</v>
      </c>
      <c r="N36" s="83">
        <v>45525.0</v>
      </c>
      <c r="O36" s="84" t="s">
        <v>53</v>
      </c>
      <c r="P36" s="85"/>
      <c r="Q36" s="102" t="s">
        <v>18</v>
      </c>
      <c r="R36" s="87"/>
      <c r="S36" s="88"/>
      <c r="T36" s="85"/>
      <c r="U36" s="86"/>
      <c r="V36" s="87"/>
      <c r="W36" s="88"/>
      <c r="X36" s="85"/>
      <c r="Y36" s="89"/>
      <c r="Z36" s="42"/>
      <c r="AA36" s="42"/>
      <c r="AB36" s="42"/>
      <c r="AC36" s="42"/>
      <c r="AD36" s="42"/>
    </row>
    <row r="37">
      <c r="A37" s="29"/>
      <c r="B37" s="79">
        <f t="shared" si="4"/>
        <v>27</v>
      </c>
      <c r="C37" s="109" t="s">
        <v>129</v>
      </c>
      <c r="D37" s="92" t="s">
        <v>19</v>
      </c>
      <c r="E37" s="107" t="s">
        <v>119</v>
      </c>
      <c r="F37" s="107"/>
      <c r="G37" s="107"/>
      <c r="H37" s="107"/>
      <c r="I37" s="92" t="s">
        <v>50</v>
      </c>
      <c r="J37" s="92" t="s">
        <v>120</v>
      </c>
      <c r="K37" s="92" t="s">
        <v>130</v>
      </c>
      <c r="L37" s="106" t="s">
        <v>131</v>
      </c>
      <c r="M37" s="102" t="s">
        <v>13</v>
      </c>
      <c r="N37" s="83">
        <v>45525.0</v>
      </c>
      <c r="O37" s="84" t="s">
        <v>53</v>
      </c>
      <c r="P37" s="85"/>
      <c r="Q37" s="102" t="s">
        <v>18</v>
      </c>
      <c r="R37" s="87"/>
      <c r="S37" s="88"/>
      <c r="T37" s="85"/>
      <c r="U37" s="86"/>
      <c r="V37" s="87"/>
      <c r="W37" s="88"/>
      <c r="X37" s="85"/>
      <c r="Y37" s="89"/>
      <c r="Z37" s="42"/>
      <c r="AA37" s="42"/>
      <c r="AB37" s="42"/>
      <c r="AC37" s="42"/>
      <c r="AD37" s="42"/>
    </row>
    <row r="38">
      <c r="A38" s="29"/>
      <c r="B38" s="79">
        <f t="shared" si="4"/>
        <v>28</v>
      </c>
      <c r="C38" s="109" t="s">
        <v>132</v>
      </c>
      <c r="D38" s="92" t="s">
        <v>19</v>
      </c>
      <c r="E38" s="107" t="s">
        <v>119</v>
      </c>
      <c r="F38" s="107"/>
      <c r="G38" s="107"/>
      <c r="H38" s="107"/>
      <c r="I38" s="92" t="s">
        <v>50</v>
      </c>
      <c r="J38" s="92" t="s">
        <v>120</v>
      </c>
      <c r="K38" s="92" t="s">
        <v>133</v>
      </c>
      <c r="L38" s="91" t="s">
        <v>134</v>
      </c>
      <c r="M38" s="102" t="s">
        <v>13</v>
      </c>
      <c r="N38" s="83">
        <v>45525.0</v>
      </c>
      <c r="O38" s="84" t="s">
        <v>53</v>
      </c>
      <c r="P38" s="85"/>
      <c r="Q38" s="86" t="s">
        <v>18</v>
      </c>
      <c r="R38" s="87"/>
      <c r="S38" s="88"/>
      <c r="T38" s="85"/>
      <c r="U38" s="86"/>
      <c r="V38" s="87"/>
      <c r="W38" s="88"/>
      <c r="X38" s="85"/>
      <c r="Y38" s="89"/>
      <c r="Z38" s="42"/>
      <c r="AA38" s="42"/>
      <c r="AB38" s="42"/>
      <c r="AC38" s="42"/>
      <c r="AD38" s="42"/>
    </row>
    <row r="39">
      <c r="A39" s="29"/>
      <c r="B39" s="79">
        <f t="shared" si="4"/>
        <v>29</v>
      </c>
      <c r="C39" s="109" t="s">
        <v>132</v>
      </c>
      <c r="D39" s="92" t="s">
        <v>19</v>
      </c>
      <c r="E39" s="107" t="s">
        <v>119</v>
      </c>
      <c r="F39" s="107"/>
      <c r="G39" s="107"/>
      <c r="H39" s="107"/>
      <c r="I39" s="92" t="s">
        <v>50</v>
      </c>
      <c r="J39" s="92" t="s">
        <v>120</v>
      </c>
      <c r="K39" s="110" t="s">
        <v>135</v>
      </c>
      <c r="L39" s="91" t="s">
        <v>136</v>
      </c>
      <c r="M39" s="102" t="s">
        <v>13</v>
      </c>
      <c r="N39" s="83">
        <v>45525.0</v>
      </c>
      <c r="O39" s="84" t="s">
        <v>53</v>
      </c>
      <c r="P39" s="85"/>
      <c r="Q39" s="86" t="s">
        <v>18</v>
      </c>
      <c r="R39" s="87"/>
      <c r="S39" s="88"/>
      <c r="T39" s="85"/>
      <c r="U39" s="86"/>
      <c r="V39" s="87"/>
      <c r="W39" s="88"/>
      <c r="X39" s="85"/>
      <c r="Y39" s="89"/>
      <c r="Z39" s="42"/>
      <c r="AA39" s="42"/>
      <c r="AB39" s="42"/>
      <c r="AC39" s="42"/>
      <c r="AD39" s="42"/>
    </row>
    <row r="40" ht="15.75" customHeight="1">
      <c r="C40" s="111"/>
      <c r="D40" s="111"/>
      <c r="E40" s="111"/>
      <c r="F40" s="111"/>
      <c r="G40" s="111"/>
      <c r="H40" s="111"/>
      <c r="I40" s="111"/>
      <c r="J40" s="111"/>
      <c r="K40" s="111"/>
      <c r="Y40" s="32"/>
    </row>
    <row r="41" ht="15.75" customHeight="1">
      <c r="C41" s="111"/>
      <c r="D41" s="111"/>
      <c r="E41" s="111"/>
      <c r="F41" s="111"/>
      <c r="G41" s="111"/>
      <c r="H41" s="111"/>
      <c r="I41" s="111"/>
      <c r="J41" s="111"/>
      <c r="K41" s="111"/>
      <c r="Y41" s="32"/>
    </row>
    <row r="42" ht="15.75" customHeight="1">
      <c r="C42" s="111"/>
      <c r="D42" s="111"/>
      <c r="E42" s="111"/>
      <c r="F42" s="111"/>
      <c r="G42" s="111"/>
      <c r="H42" s="111"/>
      <c r="I42" s="111"/>
      <c r="J42" s="111"/>
      <c r="K42" s="111"/>
      <c r="Y42" s="32"/>
    </row>
    <row r="43" ht="15.75" customHeight="1">
      <c r="C43" s="111"/>
      <c r="D43" s="111"/>
      <c r="E43" s="111"/>
      <c r="F43" s="111"/>
      <c r="G43" s="111"/>
      <c r="H43" s="111"/>
      <c r="I43" s="111"/>
      <c r="J43" s="111"/>
      <c r="K43" s="111"/>
      <c r="Y43" s="32"/>
    </row>
    <row r="44" ht="15.75" customHeight="1">
      <c r="C44" s="111"/>
      <c r="D44" s="111"/>
      <c r="E44" s="111"/>
      <c r="F44" s="111"/>
      <c r="G44" s="111"/>
      <c r="H44" s="111"/>
      <c r="I44" s="111"/>
      <c r="J44" s="111"/>
      <c r="K44" s="111"/>
      <c r="Y44" s="32"/>
    </row>
    <row r="45" ht="15.75" customHeight="1">
      <c r="C45" s="111"/>
      <c r="D45" s="111"/>
      <c r="E45" s="111"/>
      <c r="F45" s="111"/>
      <c r="G45" s="111"/>
      <c r="H45" s="111"/>
      <c r="I45" s="111"/>
      <c r="J45" s="111"/>
      <c r="K45" s="111"/>
      <c r="Y45" s="32"/>
    </row>
    <row r="46" ht="15.75" customHeight="1">
      <c r="C46" s="111"/>
      <c r="D46" s="111"/>
      <c r="E46" s="111"/>
      <c r="F46" s="111"/>
      <c r="G46" s="111"/>
      <c r="H46" s="111"/>
      <c r="I46" s="111"/>
      <c r="J46" s="111"/>
      <c r="K46" s="111"/>
      <c r="Y46" s="32"/>
    </row>
    <row r="47" ht="15.75" customHeight="1">
      <c r="C47" s="111"/>
      <c r="D47" s="111"/>
      <c r="E47" s="111"/>
      <c r="F47" s="111"/>
      <c r="G47" s="111"/>
      <c r="H47" s="111"/>
      <c r="I47" s="111"/>
      <c r="J47" s="111"/>
      <c r="K47" s="111"/>
      <c r="Y47" s="32"/>
    </row>
    <row r="48" ht="15.75" customHeight="1">
      <c r="C48" s="111"/>
      <c r="D48" s="111"/>
      <c r="E48" s="111"/>
      <c r="F48" s="111"/>
      <c r="G48" s="111"/>
      <c r="H48" s="111"/>
      <c r="I48" s="111"/>
      <c r="J48" s="111"/>
      <c r="K48" s="111"/>
      <c r="Y48" s="32"/>
    </row>
    <row r="49" ht="15.75" customHeight="1">
      <c r="C49" s="111"/>
      <c r="D49" s="111"/>
      <c r="E49" s="111"/>
      <c r="F49" s="111"/>
      <c r="G49" s="111"/>
      <c r="H49" s="111"/>
      <c r="I49" s="111"/>
      <c r="J49" s="111"/>
      <c r="K49" s="111"/>
      <c r="Y49" s="32"/>
    </row>
    <row r="50" ht="15.75" customHeight="1">
      <c r="C50" s="111"/>
      <c r="D50" s="111"/>
      <c r="E50" s="111"/>
      <c r="F50" s="111"/>
      <c r="G50" s="111"/>
      <c r="H50" s="111"/>
      <c r="I50" s="111"/>
      <c r="J50" s="111"/>
      <c r="K50" s="111"/>
      <c r="Y50" s="32"/>
    </row>
    <row r="51" ht="15.75" customHeight="1">
      <c r="C51" s="111"/>
      <c r="D51" s="111"/>
      <c r="E51" s="111"/>
      <c r="F51" s="111"/>
      <c r="G51" s="111"/>
      <c r="H51" s="111"/>
      <c r="I51" s="111"/>
      <c r="J51" s="111"/>
      <c r="K51" s="111"/>
      <c r="Y51" s="32"/>
    </row>
    <row r="52" ht="15.75" customHeight="1">
      <c r="C52" s="111"/>
      <c r="D52" s="111"/>
      <c r="E52" s="111"/>
      <c r="F52" s="111"/>
      <c r="G52" s="111"/>
      <c r="H52" s="111"/>
      <c r="I52" s="111"/>
      <c r="J52" s="111"/>
      <c r="K52" s="111"/>
      <c r="Y52" s="32"/>
    </row>
    <row r="53" ht="15.75" customHeight="1">
      <c r="C53" s="111"/>
      <c r="D53" s="111"/>
      <c r="E53" s="111"/>
      <c r="F53" s="111"/>
      <c r="G53" s="111"/>
      <c r="H53" s="111"/>
      <c r="I53" s="111"/>
      <c r="J53" s="111"/>
      <c r="K53" s="111"/>
      <c r="Y53" s="32"/>
    </row>
    <row r="54" ht="15.75" customHeight="1">
      <c r="C54" s="111"/>
      <c r="D54" s="111"/>
      <c r="E54" s="111"/>
      <c r="F54" s="111"/>
      <c r="G54" s="111"/>
      <c r="H54" s="111"/>
      <c r="I54" s="111"/>
      <c r="J54" s="111"/>
      <c r="K54" s="111"/>
      <c r="Y54" s="32"/>
    </row>
    <row r="55" ht="15.75" customHeight="1">
      <c r="C55" s="111"/>
      <c r="D55" s="111"/>
      <c r="E55" s="111"/>
      <c r="F55" s="111"/>
      <c r="G55" s="111"/>
      <c r="H55" s="111"/>
      <c r="I55" s="111"/>
      <c r="J55" s="111"/>
      <c r="K55" s="111"/>
      <c r="Y55" s="32"/>
    </row>
    <row r="56" ht="15.75" customHeight="1">
      <c r="C56" s="111"/>
      <c r="D56" s="111"/>
      <c r="E56" s="111"/>
      <c r="F56" s="111"/>
      <c r="G56" s="111"/>
      <c r="H56" s="111"/>
      <c r="I56" s="111"/>
      <c r="J56" s="111"/>
      <c r="K56" s="111"/>
      <c r="Y56" s="32"/>
    </row>
    <row r="57" ht="15.75" customHeight="1">
      <c r="C57" s="111"/>
      <c r="D57" s="111"/>
      <c r="E57" s="111"/>
      <c r="F57" s="111"/>
      <c r="G57" s="111"/>
      <c r="H57" s="111"/>
      <c r="I57" s="111"/>
      <c r="J57" s="111"/>
      <c r="K57" s="111"/>
      <c r="Y57" s="32"/>
    </row>
    <row r="58" ht="15.75" customHeight="1">
      <c r="C58" s="111"/>
      <c r="D58" s="111"/>
      <c r="E58" s="111"/>
      <c r="F58" s="111"/>
      <c r="G58" s="111"/>
      <c r="H58" s="111"/>
      <c r="I58" s="111"/>
      <c r="J58" s="111"/>
      <c r="K58" s="111"/>
      <c r="Y58" s="32"/>
    </row>
    <row r="59" ht="15.75" customHeight="1">
      <c r="C59" s="111"/>
      <c r="D59" s="111"/>
      <c r="E59" s="111"/>
      <c r="F59" s="111"/>
      <c r="G59" s="111"/>
      <c r="H59" s="111"/>
      <c r="I59" s="111"/>
      <c r="J59" s="111"/>
      <c r="K59" s="111"/>
      <c r="Y59" s="32"/>
    </row>
    <row r="60" ht="15.75" customHeight="1">
      <c r="C60" s="111"/>
      <c r="D60" s="111"/>
      <c r="E60" s="111"/>
      <c r="F60" s="111"/>
      <c r="G60" s="111"/>
      <c r="H60" s="111"/>
      <c r="I60" s="111"/>
      <c r="J60" s="111"/>
      <c r="K60" s="111"/>
      <c r="Y60" s="32"/>
    </row>
    <row r="61" ht="15.75" customHeight="1">
      <c r="C61" s="111"/>
      <c r="D61" s="111"/>
      <c r="E61" s="111"/>
      <c r="F61" s="111"/>
      <c r="G61" s="111"/>
      <c r="H61" s="111"/>
      <c r="I61" s="111"/>
      <c r="J61" s="111"/>
      <c r="K61" s="111"/>
      <c r="Y61" s="32"/>
    </row>
    <row r="62" ht="15.75" customHeight="1">
      <c r="C62" s="111"/>
      <c r="D62" s="111"/>
      <c r="E62" s="111"/>
      <c r="F62" s="111"/>
      <c r="G62" s="111"/>
      <c r="H62" s="111"/>
      <c r="I62" s="111"/>
      <c r="J62" s="111"/>
      <c r="K62" s="111"/>
      <c r="Y62" s="32"/>
    </row>
    <row r="63" ht="15.75" customHeight="1">
      <c r="C63" s="111"/>
      <c r="D63" s="111"/>
      <c r="E63" s="111"/>
      <c r="F63" s="111"/>
      <c r="G63" s="111"/>
      <c r="H63" s="111"/>
      <c r="I63" s="111"/>
      <c r="J63" s="111"/>
      <c r="K63" s="111"/>
      <c r="Y63" s="32"/>
    </row>
    <row r="64" ht="15.75" customHeight="1">
      <c r="C64" s="111"/>
      <c r="D64" s="111"/>
      <c r="E64" s="111"/>
      <c r="F64" s="111"/>
      <c r="G64" s="111"/>
      <c r="H64" s="111"/>
      <c r="I64" s="111"/>
      <c r="J64" s="111"/>
      <c r="K64" s="111"/>
      <c r="Y64" s="32"/>
    </row>
    <row r="65" ht="15.75" customHeight="1">
      <c r="C65" s="111"/>
      <c r="D65" s="111"/>
      <c r="E65" s="111"/>
      <c r="F65" s="111"/>
      <c r="G65" s="111"/>
      <c r="H65" s="111"/>
      <c r="I65" s="111"/>
      <c r="J65" s="111"/>
      <c r="K65" s="111"/>
      <c r="Y65" s="32"/>
    </row>
    <row r="66" ht="15.75" customHeight="1">
      <c r="C66" s="111"/>
      <c r="D66" s="111"/>
      <c r="E66" s="111"/>
      <c r="F66" s="111"/>
      <c r="G66" s="111"/>
      <c r="H66" s="111"/>
      <c r="I66" s="111"/>
      <c r="J66" s="111"/>
      <c r="K66" s="111"/>
      <c r="Y66" s="32"/>
    </row>
    <row r="67" ht="15.75" customHeight="1">
      <c r="C67" s="111"/>
      <c r="D67" s="111"/>
      <c r="E67" s="111"/>
      <c r="F67" s="111"/>
      <c r="G67" s="111"/>
      <c r="H67" s="111"/>
      <c r="I67" s="111"/>
      <c r="J67" s="111"/>
      <c r="K67" s="111"/>
      <c r="Y67" s="32"/>
    </row>
    <row r="68" ht="15.75" customHeight="1">
      <c r="C68" s="111"/>
      <c r="D68" s="111"/>
      <c r="E68" s="111"/>
      <c r="F68" s="111"/>
      <c r="G68" s="111"/>
      <c r="H68" s="111"/>
      <c r="I68" s="111"/>
      <c r="J68" s="111"/>
      <c r="K68" s="111"/>
      <c r="Y68" s="32"/>
    </row>
    <row r="69" ht="15.75" customHeight="1">
      <c r="C69" s="111"/>
      <c r="D69" s="111"/>
      <c r="E69" s="111"/>
      <c r="F69" s="111"/>
      <c r="G69" s="111"/>
      <c r="H69" s="111"/>
      <c r="I69" s="111"/>
      <c r="J69" s="111"/>
      <c r="K69" s="111"/>
      <c r="Y69" s="32"/>
    </row>
    <row r="70" ht="15.75" customHeight="1">
      <c r="C70" s="111"/>
      <c r="D70" s="111"/>
      <c r="E70" s="111"/>
      <c r="F70" s="111"/>
      <c r="G70" s="111"/>
      <c r="H70" s="111"/>
      <c r="I70" s="111"/>
      <c r="J70" s="111"/>
      <c r="K70" s="111"/>
      <c r="Y70" s="32"/>
    </row>
    <row r="71" ht="15.75" customHeight="1">
      <c r="C71" s="111"/>
      <c r="D71" s="111"/>
      <c r="E71" s="111"/>
      <c r="F71" s="111"/>
      <c r="G71" s="111"/>
      <c r="H71" s="111"/>
      <c r="I71" s="111"/>
      <c r="J71" s="111"/>
      <c r="K71" s="111"/>
      <c r="Y71" s="32"/>
    </row>
    <row r="72" ht="15.75" customHeight="1">
      <c r="C72" s="111"/>
      <c r="D72" s="111"/>
      <c r="E72" s="111"/>
      <c r="F72" s="111"/>
      <c r="G72" s="111"/>
      <c r="H72" s="111"/>
      <c r="I72" s="111"/>
      <c r="J72" s="111"/>
      <c r="K72" s="111"/>
      <c r="Y72" s="32"/>
    </row>
    <row r="73" ht="15.75" customHeight="1">
      <c r="C73" s="111"/>
      <c r="D73" s="111"/>
      <c r="E73" s="111"/>
      <c r="F73" s="111"/>
      <c r="G73" s="111"/>
      <c r="H73" s="111"/>
      <c r="I73" s="111"/>
      <c r="J73" s="111"/>
      <c r="K73" s="111"/>
      <c r="Y73" s="32"/>
    </row>
    <row r="74" ht="15.75" customHeight="1">
      <c r="C74" s="111"/>
      <c r="D74" s="111"/>
      <c r="E74" s="111"/>
      <c r="F74" s="111"/>
      <c r="G74" s="111"/>
      <c r="H74" s="111"/>
      <c r="I74" s="111"/>
      <c r="J74" s="111"/>
      <c r="K74" s="111"/>
      <c r="Y74" s="32"/>
    </row>
    <row r="75" ht="15.75" customHeight="1">
      <c r="C75" s="111"/>
      <c r="D75" s="111"/>
      <c r="E75" s="111"/>
      <c r="F75" s="111"/>
      <c r="G75" s="111"/>
      <c r="H75" s="111"/>
      <c r="I75" s="111"/>
      <c r="J75" s="111"/>
      <c r="K75" s="111"/>
      <c r="Y75" s="32"/>
    </row>
    <row r="76" ht="15.75" customHeight="1">
      <c r="C76" s="111"/>
      <c r="D76" s="111"/>
      <c r="E76" s="111"/>
      <c r="F76" s="111"/>
      <c r="G76" s="111"/>
      <c r="H76" s="111"/>
      <c r="I76" s="111"/>
      <c r="J76" s="111"/>
      <c r="K76" s="111"/>
      <c r="Y76" s="32"/>
    </row>
    <row r="77" ht="15.75" customHeight="1">
      <c r="C77" s="111"/>
      <c r="D77" s="111"/>
      <c r="E77" s="111"/>
      <c r="F77" s="111"/>
      <c r="G77" s="111"/>
      <c r="H77" s="111"/>
      <c r="I77" s="111"/>
      <c r="J77" s="111"/>
      <c r="K77" s="111"/>
      <c r="Y77" s="32"/>
    </row>
    <row r="78" ht="15.75" customHeight="1">
      <c r="C78" s="111"/>
      <c r="D78" s="111"/>
      <c r="E78" s="111"/>
      <c r="F78" s="111"/>
      <c r="G78" s="111"/>
      <c r="H78" s="111"/>
      <c r="I78" s="111"/>
      <c r="J78" s="111"/>
      <c r="K78" s="111"/>
      <c r="Y78" s="32"/>
    </row>
    <row r="79" ht="15.75" customHeight="1">
      <c r="C79" s="111"/>
      <c r="D79" s="111"/>
      <c r="E79" s="111"/>
      <c r="F79" s="111"/>
      <c r="G79" s="111"/>
      <c r="H79" s="111"/>
      <c r="I79" s="111"/>
      <c r="J79" s="111"/>
      <c r="K79" s="111"/>
      <c r="Y79" s="32"/>
    </row>
    <row r="80" ht="15.75" customHeight="1">
      <c r="C80" s="111"/>
      <c r="D80" s="111"/>
      <c r="E80" s="111"/>
      <c r="F80" s="111"/>
      <c r="G80" s="111"/>
      <c r="H80" s="111"/>
      <c r="I80" s="111"/>
      <c r="J80" s="111"/>
      <c r="K80" s="111"/>
      <c r="Y80" s="32"/>
    </row>
    <row r="81" ht="15.75" customHeight="1">
      <c r="C81" s="111"/>
      <c r="D81" s="111"/>
      <c r="E81" s="111"/>
      <c r="F81" s="111"/>
      <c r="G81" s="111"/>
      <c r="H81" s="111"/>
      <c r="I81" s="111"/>
      <c r="J81" s="111"/>
      <c r="K81" s="111"/>
      <c r="Y81" s="32"/>
    </row>
    <row r="82" ht="15.75" customHeight="1">
      <c r="C82" s="111"/>
      <c r="D82" s="111"/>
      <c r="E82" s="111"/>
      <c r="F82" s="111"/>
      <c r="G82" s="111"/>
      <c r="H82" s="111"/>
      <c r="I82" s="111"/>
      <c r="J82" s="111"/>
      <c r="K82" s="111"/>
      <c r="Y82" s="32"/>
    </row>
    <row r="83" ht="15.75" customHeight="1">
      <c r="C83" s="111"/>
      <c r="D83" s="111"/>
      <c r="E83" s="111"/>
      <c r="F83" s="111"/>
      <c r="G83" s="111"/>
      <c r="H83" s="111"/>
      <c r="I83" s="111"/>
      <c r="J83" s="111"/>
      <c r="K83" s="111"/>
      <c r="Y83" s="32"/>
    </row>
    <row r="84" ht="15.75" customHeight="1">
      <c r="C84" s="111"/>
      <c r="D84" s="111"/>
      <c r="E84" s="111"/>
      <c r="F84" s="111"/>
      <c r="G84" s="111"/>
      <c r="H84" s="111"/>
      <c r="I84" s="111"/>
      <c r="J84" s="111"/>
      <c r="K84" s="111"/>
      <c r="Y84" s="32"/>
    </row>
    <row r="85" ht="15.75" customHeight="1">
      <c r="C85" s="111"/>
      <c r="D85" s="111"/>
      <c r="E85" s="111"/>
      <c r="F85" s="111"/>
      <c r="G85" s="111"/>
      <c r="H85" s="111"/>
      <c r="I85" s="111"/>
      <c r="J85" s="111"/>
      <c r="K85" s="111"/>
      <c r="Y85" s="32"/>
    </row>
    <row r="86" ht="15.75" customHeight="1">
      <c r="C86" s="111"/>
      <c r="D86" s="111"/>
      <c r="E86" s="111"/>
      <c r="F86" s="111"/>
      <c r="G86" s="111"/>
      <c r="H86" s="111"/>
      <c r="I86" s="111"/>
      <c r="J86" s="111"/>
      <c r="K86" s="111"/>
      <c r="Y86" s="32"/>
    </row>
    <row r="87" ht="15.75" customHeight="1">
      <c r="C87" s="111"/>
      <c r="D87" s="111"/>
      <c r="E87" s="111"/>
      <c r="F87" s="111"/>
      <c r="G87" s="111"/>
      <c r="H87" s="111"/>
      <c r="I87" s="111"/>
      <c r="J87" s="111"/>
      <c r="K87" s="111"/>
      <c r="Y87" s="32"/>
    </row>
    <row r="88" ht="15.75" customHeight="1">
      <c r="C88" s="111"/>
      <c r="D88" s="111"/>
      <c r="E88" s="111"/>
      <c r="F88" s="111"/>
      <c r="G88" s="111"/>
      <c r="H88" s="111"/>
      <c r="I88" s="111"/>
      <c r="J88" s="111"/>
      <c r="K88" s="111"/>
      <c r="Y88" s="32"/>
    </row>
    <row r="89" ht="15.75" customHeight="1">
      <c r="C89" s="111"/>
      <c r="D89" s="111"/>
      <c r="E89" s="111"/>
      <c r="F89" s="111"/>
      <c r="G89" s="111"/>
      <c r="H89" s="111"/>
      <c r="I89" s="111"/>
      <c r="J89" s="111"/>
      <c r="K89" s="111"/>
      <c r="Y89" s="32"/>
    </row>
    <row r="90" ht="15.75" customHeight="1">
      <c r="Y90" s="32"/>
    </row>
    <row r="91" ht="15.75" customHeight="1">
      <c r="Y91" s="32"/>
    </row>
    <row r="92" ht="15.75" customHeight="1">
      <c r="Y92" s="32"/>
    </row>
    <row r="93" ht="15.75" customHeight="1">
      <c r="Y93" s="32"/>
    </row>
    <row r="94" ht="15.75" customHeight="1">
      <c r="Y94" s="32"/>
    </row>
    <row r="95" ht="15.75" customHeight="1">
      <c r="Y95" s="32"/>
    </row>
    <row r="96" ht="15.75" customHeight="1">
      <c r="Y96" s="32"/>
    </row>
    <row r="97" ht="15.75" customHeight="1">
      <c r="Y97" s="32"/>
    </row>
    <row r="98" ht="15.75" customHeight="1">
      <c r="Y98" s="32"/>
    </row>
    <row r="99" ht="15.75" customHeight="1">
      <c r="Y99" s="32"/>
    </row>
    <row r="100" ht="15.75" customHeight="1">
      <c r="Y100" s="32"/>
    </row>
    <row r="101" ht="15.75" customHeight="1">
      <c r="Y101" s="32"/>
    </row>
    <row r="102" ht="15.75" customHeight="1">
      <c r="Y102" s="32"/>
    </row>
    <row r="103" ht="15.75" customHeight="1">
      <c r="Y103" s="32"/>
    </row>
    <row r="104" ht="15.75" customHeight="1">
      <c r="Y104" s="32"/>
    </row>
    <row r="105" ht="15.75" customHeight="1">
      <c r="Y105" s="32"/>
    </row>
    <row r="106" ht="15.75" customHeight="1">
      <c r="Y106" s="32"/>
    </row>
    <row r="107" ht="15.75" customHeight="1">
      <c r="Y107" s="32"/>
    </row>
    <row r="108" ht="15.75" customHeight="1">
      <c r="Y108" s="32"/>
    </row>
    <row r="109" ht="15.75" customHeight="1">
      <c r="Y109" s="32"/>
    </row>
    <row r="110" ht="15.75" customHeight="1">
      <c r="Y110" s="32"/>
    </row>
    <row r="111" ht="15.75" customHeight="1">
      <c r="Y111" s="32"/>
    </row>
    <row r="112" ht="15.75" customHeight="1">
      <c r="Y112" s="32"/>
    </row>
    <row r="113" ht="15.75" customHeight="1">
      <c r="Y113" s="32"/>
    </row>
    <row r="114" ht="15.75" customHeight="1">
      <c r="Y114" s="32"/>
    </row>
    <row r="115" ht="15.75" customHeight="1">
      <c r="Y115" s="32"/>
    </row>
    <row r="116" ht="15.75" customHeight="1">
      <c r="Y116" s="32"/>
    </row>
    <row r="117" ht="15.75" customHeight="1">
      <c r="Y117" s="32"/>
    </row>
    <row r="118" ht="15.75" customHeight="1">
      <c r="Y118" s="32"/>
    </row>
    <row r="119" ht="15.75" customHeight="1">
      <c r="Y119" s="32"/>
    </row>
    <row r="120" ht="15.75" customHeight="1">
      <c r="Y120" s="32"/>
    </row>
    <row r="121" ht="15.75" customHeight="1">
      <c r="Y121" s="32"/>
    </row>
    <row r="122" ht="15.75" customHeight="1">
      <c r="Y122" s="32"/>
    </row>
    <row r="123" ht="15.75" customHeight="1">
      <c r="Y123" s="32"/>
    </row>
    <row r="124" ht="15.75" customHeight="1">
      <c r="Y124" s="32"/>
    </row>
    <row r="125" ht="15.75" customHeight="1">
      <c r="Y125" s="32"/>
    </row>
    <row r="126" ht="15.75" customHeight="1">
      <c r="Y126" s="32"/>
    </row>
    <row r="127" ht="15.75" customHeight="1">
      <c r="Y127" s="32"/>
    </row>
    <row r="128" ht="15.75" customHeight="1">
      <c r="Y128" s="32"/>
    </row>
    <row r="129" ht="15.75" customHeight="1">
      <c r="Y129" s="32"/>
    </row>
    <row r="130" ht="15.75" customHeight="1">
      <c r="Y130" s="32"/>
    </row>
    <row r="131" ht="15.75" customHeight="1">
      <c r="Y131" s="32"/>
    </row>
    <row r="132" ht="15.75" customHeight="1">
      <c r="Y132" s="32"/>
    </row>
    <row r="133" ht="15.75" customHeight="1">
      <c r="Y133" s="32"/>
    </row>
    <row r="134" ht="15.75" customHeight="1">
      <c r="Y134" s="32"/>
    </row>
    <row r="135" ht="15.75" customHeight="1">
      <c r="Y135" s="32"/>
    </row>
    <row r="136" ht="15.75" customHeight="1">
      <c r="Y136" s="32"/>
    </row>
    <row r="137" ht="15.75" customHeight="1">
      <c r="Y137" s="32"/>
    </row>
    <row r="138" ht="15.75" customHeight="1">
      <c r="Y138" s="32"/>
    </row>
    <row r="139" ht="15.75" customHeight="1">
      <c r="Y139" s="32"/>
    </row>
    <row r="140" ht="15.75" customHeight="1">
      <c r="Y140" s="32"/>
    </row>
    <row r="141" ht="15.75" customHeight="1">
      <c r="Y141" s="32"/>
    </row>
    <row r="142" ht="15.75" customHeight="1">
      <c r="Y142" s="32"/>
    </row>
    <row r="143" ht="15.75" customHeight="1">
      <c r="Y143" s="32"/>
    </row>
    <row r="144" ht="15.75" customHeight="1">
      <c r="Y144" s="32"/>
    </row>
    <row r="145" ht="15.75" customHeight="1">
      <c r="Y145" s="32"/>
    </row>
    <row r="146" ht="15.75" customHeight="1">
      <c r="Y146" s="32"/>
    </row>
    <row r="147" ht="15.75" customHeight="1">
      <c r="Y147" s="32"/>
    </row>
    <row r="148" ht="15.75" customHeight="1">
      <c r="Y148" s="32"/>
    </row>
    <row r="149" ht="15.75" customHeight="1">
      <c r="Y149" s="32"/>
    </row>
    <row r="150" ht="15.75" customHeight="1">
      <c r="Y150" s="32"/>
    </row>
    <row r="151" ht="15.75" customHeight="1">
      <c r="Y151" s="32"/>
    </row>
    <row r="152" ht="15.75" customHeight="1">
      <c r="Y152" s="32"/>
    </row>
    <row r="153" ht="15.75" customHeight="1">
      <c r="Y153" s="32"/>
    </row>
    <row r="154" ht="15.75" customHeight="1">
      <c r="Y154" s="32"/>
    </row>
    <row r="155" ht="15.75" customHeight="1">
      <c r="Y155" s="32"/>
    </row>
    <row r="156" ht="15.75" customHeight="1">
      <c r="Y156" s="32"/>
    </row>
    <row r="157" ht="15.75" customHeight="1">
      <c r="Y157" s="32"/>
    </row>
    <row r="158" ht="15.75" customHeight="1">
      <c r="Y158" s="32"/>
    </row>
    <row r="159" ht="15.75" customHeight="1">
      <c r="Y159" s="32"/>
    </row>
    <row r="160" ht="15.75" customHeight="1">
      <c r="Y160" s="32"/>
    </row>
    <row r="161" ht="15.75" customHeight="1">
      <c r="Y161" s="32"/>
    </row>
    <row r="162" ht="15.75" customHeight="1">
      <c r="Y162" s="32"/>
    </row>
    <row r="163" ht="15.75" customHeight="1">
      <c r="Y163" s="32"/>
    </row>
    <row r="164" ht="15.75" customHeight="1">
      <c r="Y164" s="32"/>
    </row>
    <row r="165" ht="15.75" customHeight="1">
      <c r="Y165" s="32"/>
    </row>
    <row r="166" ht="15.75" customHeight="1">
      <c r="Y166" s="32"/>
    </row>
    <row r="167" ht="15.75" customHeight="1">
      <c r="Y167" s="32"/>
    </row>
    <row r="168" ht="15.75" customHeight="1">
      <c r="Y168" s="32"/>
    </row>
    <row r="169" ht="15.75" customHeight="1">
      <c r="Y169" s="32"/>
    </row>
    <row r="170" ht="15.75" customHeight="1">
      <c r="Y170" s="32"/>
    </row>
    <row r="171" ht="15.75" customHeight="1">
      <c r="Y171" s="32"/>
    </row>
    <row r="172" ht="15.75" customHeight="1">
      <c r="Y172" s="32"/>
    </row>
    <row r="173" ht="15.75" customHeight="1">
      <c r="Y173" s="32"/>
    </row>
    <row r="174" ht="15.75" customHeight="1">
      <c r="Y174" s="32"/>
    </row>
    <row r="175" ht="15.75" customHeight="1">
      <c r="Y175" s="32"/>
    </row>
    <row r="176" ht="15.75" customHeight="1">
      <c r="Y176" s="32"/>
    </row>
    <row r="177" ht="15.75" customHeight="1">
      <c r="Y177" s="32"/>
    </row>
    <row r="178" ht="15.75" customHeight="1">
      <c r="Y178" s="32"/>
    </row>
    <row r="179" ht="15.75" customHeight="1">
      <c r="Y179" s="32"/>
    </row>
    <row r="180" ht="15.75" customHeight="1">
      <c r="Y180" s="32"/>
    </row>
    <row r="181" ht="15.75" customHeight="1">
      <c r="Y181" s="32"/>
    </row>
    <row r="182" ht="15.75" customHeight="1">
      <c r="Y182" s="32"/>
    </row>
    <row r="183" ht="15.75" customHeight="1">
      <c r="Y183" s="32"/>
    </row>
    <row r="184" ht="15.75" customHeight="1">
      <c r="Y184" s="32"/>
    </row>
    <row r="185" ht="15.75" customHeight="1">
      <c r="Y185" s="32"/>
    </row>
    <row r="186" ht="15.75" customHeight="1">
      <c r="Y186" s="32"/>
    </row>
    <row r="187" ht="15.75" customHeight="1">
      <c r="Y187" s="32"/>
    </row>
    <row r="188" ht="15.75" customHeight="1">
      <c r="Y188" s="32"/>
    </row>
    <row r="189" ht="15.75" customHeight="1">
      <c r="Y189" s="32"/>
    </row>
    <row r="190" ht="15.75" customHeight="1">
      <c r="Y190" s="32"/>
    </row>
    <row r="191" ht="15.75" customHeight="1">
      <c r="Y191" s="32"/>
    </row>
    <row r="192" ht="15.75" customHeight="1">
      <c r="Y192" s="32"/>
    </row>
    <row r="193" ht="15.75" customHeight="1">
      <c r="Y193" s="32"/>
    </row>
    <row r="194" ht="15.75" customHeight="1">
      <c r="Y194" s="32"/>
    </row>
    <row r="195" ht="15.75" customHeight="1">
      <c r="Y195" s="32"/>
    </row>
    <row r="196" ht="15.75" customHeight="1">
      <c r="Y196" s="32"/>
    </row>
    <row r="197" ht="15.75" customHeight="1">
      <c r="Y197" s="32"/>
    </row>
    <row r="198" ht="15.75" customHeight="1">
      <c r="Y198" s="32"/>
    </row>
    <row r="199" ht="15.75" customHeight="1">
      <c r="Y199" s="32"/>
    </row>
    <row r="200" ht="15.75" customHeight="1">
      <c r="Y200" s="32"/>
    </row>
    <row r="201" ht="15.75" customHeight="1">
      <c r="Y201" s="32"/>
    </row>
    <row r="202" ht="15.75" customHeight="1">
      <c r="Y202" s="32"/>
    </row>
    <row r="203" ht="15.75" customHeight="1">
      <c r="Y203" s="32"/>
    </row>
    <row r="204" ht="15.75" customHeight="1">
      <c r="Y204" s="32"/>
    </row>
    <row r="205" ht="15.75" customHeight="1">
      <c r="Y205" s="32"/>
    </row>
    <row r="206" ht="15.75" customHeight="1">
      <c r="Y206" s="32"/>
    </row>
    <row r="207" ht="15.75" customHeight="1">
      <c r="Y207" s="32"/>
    </row>
    <row r="208" ht="15.75" customHeight="1">
      <c r="Y208" s="32"/>
    </row>
    <row r="209" ht="15.75" customHeight="1">
      <c r="Y209" s="32"/>
    </row>
    <row r="210" ht="15.75" customHeight="1">
      <c r="Y210" s="32"/>
    </row>
    <row r="211" ht="15.75" customHeight="1">
      <c r="Y211" s="32"/>
    </row>
    <row r="212" ht="15.75" customHeight="1">
      <c r="Y212" s="32"/>
    </row>
    <row r="213" ht="15.75" customHeight="1">
      <c r="Y213" s="32"/>
    </row>
    <row r="214" ht="15.75" customHeight="1">
      <c r="Y214" s="32"/>
    </row>
    <row r="215" ht="15.75" customHeight="1">
      <c r="Y215" s="32"/>
    </row>
    <row r="216" ht="15.75" customHeight="1">
      <c r="Y216" s="32"/>
    </row>
    <row r="217" ht="15.75" customHeight="1">
      <c r="Y217" s="32"/>
    </row>
    <row r="218" ht="15.75" customHeight="1">
      <c r="Y218" s="32"/>
    </row>
    <row r="219" ht="15.75" customHeight="1">
      <c r="Y219" s="32"/>
    </row>
    <row r="220" ht="15.75" customHeight="1">
      <c r="Y220" s="32"/>
    </row>
    <row r="221" ht="15.75" customHeight="1">
      <c r="Y221" s="32"/>
    </row>
    <row r="222" ht="15.75" customHeight="1">
      <c r="Y222" s="32"/>
    </row>
    <row r="223" ht="15.75" customHeight="1">
      <c r="Y223" s="32"/>
    </row>
    <row r="224" ht="15.75" customHeight="1">
      <c r="Y224" s="32"/>
    </row>
    <row r="225" ht="15.75" customHeight="1">
      <c r="Y225" s="32"/>
    </row>
    <row r="226" ht="15.75" customHeight="1">
      <c r="Y226" s="32"/>
    </row>
    <row r="227" ht="15.75" customHeight="1">
      <c r="Y227" s="32"/>
    </row>
    <row r="228" ht="15.75" customHeight="1">
      <c r="Y228" s="32"/>
    </row>
    <row r="229" ht="15.75" customHeight="1">
      <c r="Y229" s="32"/>
    </row>
    <row r="230" ht="15.75" customHeight="1">
      <c r="Y230" s="32"/>
    </row>
    <row r="231" ht="15.75" customHeight="1">
      <c r="Y231" s="32"/>
    </row>
    <row r="232" ht="15.75" customHeight="1">
      <c r="Y232" s="32"/>
    </row>
    <row r="233" ht="15.75" customHeight="1">
      <c r="Y233" s="32"/>
    </row>
    <row r="234" ht="15.75" customHeight="1">
      <c r="Y234" s="32"/>
    </row>
    <row r="235" ht="15.75" customHeight="1">
      <c r="Y235" s="32"/>
    </row>
    <row r="236" ht="15.75" customHeight="1">
      <c r="Y236" s="32"/>
    </row>
    <row r="237" ht="15.75" customHeight="1">
      <c r="Y237" s="32"/>
    </row>
    <row r="238" ht="15.75" customHeight="1">
      <c r="Y238" s="32"/>
    </row>
    <row r="239" ht="15.75" customHeight="1">
      <c r="Y239" s="32"/>
    </row>
    <row r="240" ht="15.75" customHeight="1">
      <c r="Y240" s="32"/>
    </row>
    <row r="241" ht="15.75" customHeight="1">
      <c r="Y241" s="32"/>
    </row>
    <row r="242" ht="15.75" customHeight="1">
      <c r="Y242" s="32"/>
    </row>
    <row r="243" ht="15.75" customHeight="1">
      <c r="Y243" s="32"/>
    </row>
    <row r="244" ht="15.75" customHeight="1">
      <c r="Y244" s="32"/>
    </row>
    <row r="245" ht="15.75" customHeight="1">
      <c r="Y245" s="32"/>
    </row>
    <row r="246" ht="15.75" customHeight="1">
      <c r="Y246" s="32"/>
    </row>
    <row r="247" ht="15.75" customHeight="1">
      <c r="Y247" s="32"/>
    </row>
    <row r="248" ht="15.75" customHeight="1">
      <c r="Y248" s="32"/>
    </row>
    <row r="249" ht="15.75" customHeight="1">
      <c r="Y249" s="32"/>
    </row>
    <row r="250" ht="15.75" customHeight="1">
      <c r="Y250" s="32"/>
    </row>
    <row r="251" ht="15.75" customHeight="1">
      <c r="Y251" s="32"/>
    </row>
    <row r="252" ht="15.75" customHeight="1">
      <c r="Y252" s="32"/>
    </row>
    <row r="253" ht="15.75" customHeight="1">
      <c r="Y253" s="32"/>
    </row>
    <row r="254" ht="15.75" customHeight="1">
      <c r="Y254" s="32"/>
    </row>
    <row r="255" ht="15.75" customHeight="1">
      <c r="Y255" s="32"/>
    </row>
    <row r="256" ht="15.75" customHeight="1">
      <c r="Y256" s="32"/>
    </row>
    <row r="257" ht="15.75" customHeight="1">
      <c r="Y257" s="32"/>
    </row>
    <row r="258" ht="15.75" customHeight="1">
      <c r="Y258" s="32"/>
    </row>
    <row r="259" ht="15.75" customHeight="1">
      <c r="Y259" s="32"/>
    </row>
    <row r="260" ht="15.75" customHeight="1">
      <c r="Y260" s="32"/>
    </row>
    <row r="261" ht="15.75" customHeight="1">
      <c r="Y261" s="32"/>
    </row>
    <row r="262" ht="15.75" customHeight="1">
      <c r="Y262" s="32"/>
    </row>
    <row r="263" ht="15.75" customHeight="1">
      <c r="Y263" s="32"/>
    </row>
    <row r="264" ht="15.75" customHeight="1">
      <c r="Y264" s="32"/>
    </row>
    <row r="265" ht="15.75" customHeight="1">
      <c r="Y265" s="32"/>
    </row>
    <row r="266" ht="15.75" customHeight="1">
      <c r="Y266" s="32"/>
    </row>
    <row r="267" ht="15.75" customHeight="1">
      <c r="Y267" s="32"/>
    </row>
    <row r="268" ht="15.75" customHeight="1">
      <c r="Y268" s="32"/>
    </row>
    <row r="269" ht="15.75" customHeight="1">
      <c r="Y269" s="32"/>
    </row>
    <row r="270" ht="15.75" customHeight="1">
      <c r="Y270" s="32"/>
    </row>
    <row r="271" ht="15.75" customHeight="1">
      <c r="Y271" s="32"/>
    </row>
    <row r="272" ht="15.75" customHeight="1">
      <c r="Y272" s="32"/>
    </row>
    <row r="273" ht="15.75" customHeight="1">
      <c r="Y273" s="32"/>
    </row>
    <row r="274" ht="15.75" customHeight="1">
      <c r="Y274" s="32"/>
    </row>
    <row r="275" ht="15.75" customHeight="1">
      <c r="Y275" s="32"/>
    </row>
    <row r="276" ht="15.75" customHeight="1">
      <c r="Y276" s="32"/>
    </row>
    <row r="277" ht="15.75" customHeight="1">
      <c r="Y277" s="32"/>
    </row>
    <row r="278" ht="15.75" customHeight="1">
      <c r="Y278" s="32"/>
    </row>
    <row r="279" ht="15.75" customHeight="1">
      <c r="Y279" s="32"/>
    </row>
    <row r="280" ht="15.75" customHeight="1">
      <c r="Y280" s="32"/>
    </row>
    <row r="281" ht="15.75" customHeight="1">
      <c r="Y281" s="32"/>
    </row>
    <row r="282" ht="15.75" customHeight="1">
      <c r="Y282" s="32"/>
    </row>
    <row r="283" ht="15.75" customHeight="1">
      <c r="Y283" s="32"/>
    </row>
    <row r="284" ht="15.75" customHeight="1">
      <c r="Y284" s="32"/>
    </row>
    <row r="285" ht="15.75" customHeight="1">
      <c r="Y285" s="32"/>
    </row>
    <row r="286" ht="15.75" customHeight="1">
      <c r="Y286" s="32"/>
    </row>
    <row r="287" ht="15.75" customHeight="1">
      <c r="Y287" s="32"/>
    </row>
    <row r="288" ht="15.75" customHeight="1">
      <c r="Y288" s="32"/>
    </row>
    <row r="289" ht="15.75" customHeight="1">
      <c r="Y289" s="32"/>
    </row>
    <row r="290" ht="15.75" customHeight="1">
      <c r="Y290" s="32"/>
    </row>
    <row r="291" ht="15.75" customHeight="1">
      <c r="Y291" s="32"/>
    </row>
    <row r="292" ht="15.75" customHeight="1">
      <c r="Y292" s="32"/>
    </row>
    <row r="293" ht="15.75" customHeight="1">
      <c r="Y293" s="32"/>
    </row>
    <row r="294" ht="15.75" customHeight="1">
      <c r="Y294" s="32"/>
    </row>
    <row r="295" ht="15.75" customHeight="1">
      <c r="Y295" s="32"/>
    </row>
    <row r="296" ht="15.75" customHeight="1">
      <c r="Y296" s="32"/>
    </row>
    <row r="297" ht="15.75" customHeight="1">
      <c r="Y297" s="32"/>
    </row>
    <row r="298" ht="15.75" customHeight="1">
      <c r="Y298" s="32"/>
    </row>
    <row r="299" ht="15.75" customHeight="1">
      <c r="Y299" s="32"/>
    </row>
    <row r="300" ht="15.75" customHeight="1">
      <c r="Y300" s="32"/>
    </row>
    <row r="301" ht="15.75" customHeight="1">
      <c r="Y301" s="32"/>
    </row>
    <row r="302" ht="15.75" customHeight="1">
      <c r="Y302" s="32"/>
    </row>
    <row r="303" ht="15.75" customHeight="1">
      <c r="Y303" s="32"/>
    </row>
    <row r="304" ht="15.75" customHeight="1">
      <c r="Y304" s="32"/>
    </row>
    <row r="305" ht="15.75" customHeight="1">
      <c r="Y305" s="32"/>
    </row>
    <row r="306" ht="15.75" customHeight="1">
      <c r="Y306" s="32"/>
    </row>
    <row r="307" ht="15.75" customHeight="1">
      <c r="Y307" s="32"/>
    </row>
    <row r="308" ht="15.75" customHeight="1">
      <c r="Y308" s="32"/>
    </row>
    <row r="309" ht="15.75" customHeight="1">
      <c r="Y309" s="32"/>
    </row>
    <row r="310" ht="15.75" customHeight="1">
      <c r="Y310" s="32"/>
    </row>
    <row r="311" ht="15.75" customHeight="1">
      <c r="Y311" s="32"/>
    </row>
    <row r="312" ht="15.75" customHeight="1">
      <c r="Y312" s="32"/>
    </row>
    <row r="313" ht="15.75" customHeight="1">
      <c r="Y313" s="32"/>
    </row>
    <row r="314" ht="15.75" customHeight="1">
      <c r="Y314" s="32"/>
    </row>
    <row r="315" ht="15.75" customHeight="1">
      <c r="Y315" s="32"/>
    </row>
    <row r="316" ht="15.75" customHeight="1">
      <c r="Y316" s="32"/>
    </row>
    <row r="317" ht="15.75" customHeight="1">
      <c r="Y317" s="32"/>
    </row>
    <row r="318" ht="15.75" customHeight="1">
      <c r="Y318" s="32"/>
    </row>
    <row r="319" ht="15.75" customHeight="1">
      <c r="Y319" s="32"/>
    </row>
    <row r="320" ht="15.75" customHeight="1">
      <c r="Y320" s="32"/>
    </row>
    <row r="321" ht="15.75" customHeight="1">
      <c r="Y321" s="32"/>
    </row>
    <row r="322" ht="15.75" customHeight="1">
      <c r="Y322" s="32"/>
    </row>
    <row r="323" ht="15.75" customHeight="1">
      <c r="Y323" s="32"/>
    </row>
    <row r="324" ht="15.75" customHeight="1">
      <c r="Y324" s="32"/>
    </row>
    <row r="325" ht="15.75" customHeight="1">
      <c r="Y325" s="32"/>
    </row>
    <row r="326" ht="15.75" customHeight="1">
      <c r="Y326" s="32"/>
    </row>
    <row r="327" ht="15.75" customHeight="1">
      <c r="Y327" s="32"/>
    </row>
    <row r="328" ht="15.75" customHeight="1">
      <c r="Y328" s="32"/>
    </row>
    <row r="329" ht="15.75" customHeight="1">
      <c r="Y329" s="32"/>
    </row>
    <row r="330" ht="15.75" customHeight="1">
      <c r="Y330" s="32"/>
    </row>
    <row r="331" ht="15.75" customHeight="1">
      <c r="Y331" s="32"/>
    </row>
    <row r="332" ht="15.75" customHeight="1">
      <c r="Y332" s="32"/>
    </row>
    <row r="333" ht="15.75" customHeight="1">
      <c r="Y333" s="32"/>
    </row>
    <row r="334" ht="15.75" customHeight="1">
      <c r="Y334" s="32"/>
    </row>
    <row r="335" ht="15.75" customHeight="1">
      <c r="Y335" s="32"/>
    </row>
    <row r="336" ht="15.75" customHeight="1">
      <c r="Y336" s="32"/>
    </row>
    <row r="337" ht="15.75" customHeight="1">
      <c r="Y337" s="32"/>
    </row>
    <row r="338" ht="15.75" customHeight="1">
      <c r="Y338" s="32"/>
    </row>
    <row r="339" ht="15.75" customHeight="1">
      <c r="Y339" s="32"/>
    </row>
    <row r="340" ht="15.75" customHeight="1">
      <c r="Y340" s="32"/>
    </row>
    <row r="341" ht="15.75" customHeight="1">
      <c r="Y341" s="32"/>
    </row>
    <row r="342" ht="15.75" customHeight="1">
      <c r="Y342" s="32"/>
    </row>
    <row r="343" ht="15.75" customHeight="1">
      <c r="Y343" s="32"/>
    </row>
    <row r="344" ht="15.75" customHeight="1">
      <c r="Y344" s="32"/>
    </row>
    <row r="345" ht="15.75" customHeight="1">
      <c r="Y345" s="32"/>
    </row>
    <row r="346" ht="15.75" customHeight="1">
      <c r="Y346" s="32"/>
    </row>
    <row r="347" ht="15.75" customHeight="1">
      <c r="Y347" s="32"/>
    </row>
    <row r="348" ht="15.75" customHeight="1">
      <c r="Y348" s="32"/>
    </row>
    <row r="349" ht="15.75" customHeight="1">
      <c r="Y349" s="32"/>
    </row>
    <row r="350" ht="15.75" customHeight="1">
      <c r="Y350" s="32"/>
    </row>
    <row r="351" ht="15.75" customHeight="1">
      <c r="Y351" s="32"/>
    </row>
    <row r="352" ht="15.75" customHeight="1">
      <c r="Y352" s="32"/>
    </row>
    <row r="353" ht="15.75" customHeight="1">
      <c r="Y353" s="32"/>
    </row>
    <row r="354" ht="15.75" customHeight="1">
      <c r="Y354" s="32"/>
    </row>
    <row r="355" ht="15.75" customHeight="1">
      <c r="Y355" s="32"/>
    </row>
    <row r="356" ht="15.75" customHeight="1">
      <c r="Y356" s="32"/>
    </row>
    <row r="357" ht="15.75" customHeight="1">
      <c r="Y357" s="32"/>
    </row>
    <row r="358" ht="15.75" customHeight="1">
      <c r="Y358" s="32"/>
    </row>
    <row r="359" ht="15.75" customHeight="1">
      <c r="Y359" s="32"/>
    </row>
    <row r="360" ht="15.75" customHeight="1">
      <c r="Y360" s="32"/>
    </row>
    <row r="361" ht="15.75" customHeight="1">
      <c r="Y361" s="32"/>
    </row>
    <row r="362" ht="15.75" customHeight="1">
      <c r="Y362" s="32"/>
    </row>
    <row r="363" ht="15.75" customHeight="1">
      <c r="Y363" s="32"/>
    </row>
    <row r="364" ht="15.75" customHeight="1">
      <c r="Y364" s="32"/>
    </row>
    <row r="365" ht="15.75" customHeight="1">
      <c r="Y365" s="32"/>
    </row>
    <row r="366" ht="15.75" customHeight="1">
      <c r="Y366" s="32"/>
    </row>
    <row r="367" ht="15.75" customHeight="1">
      <c r="Y367" s="32"/>
    </row>
    <row r="368" ht="15.75" customHeight="1">
      <c r="Y368" s="32"/>
    </row>
    <row r="369" ht="15.75" customHeight="1">
      <c r="Y369" s="32"/>
    </row>
    <row r="370" ht="15.75" customHeight="1">
      <c r="Y370" s="32"/>
    </row>
    <row r="371" ht="15.75" customHeight="1">
      <c r="Y371" s="32"/>
    </row>
    <row r="372" ht="15.75" customHeight="1">
      <c r="Y372" s="32"/>
    </row>
    <row r="373" ht="15.75" customHeight="1">
      <c r="Y373" s="32"/>
    </row>
    <row r="374" ht="15.75" customHeight="1">
      <c r="Y374" s="32"/>
    </row>
    <row r="375" ht="15.75" customHeight="1">
      <c r="Y375" s="32"/>
    </row>
    <row r="376" ht="15.75" customHeight="1">
      <c r="Y376" s="32"/>
    </row>
    <row r="377" ht="15.75" customHeight="1">
      <c r="Y377" s="32"/>
    </row>
    <row r="378" ht="15.75" customHeight="1">
      <c r="Y378" s="32"/>
    </row>
    <row r="379" ht="15.75" customHeight="1">
      <c r="Y379" s="32"/>
    </row>
    <row r="380" ht="15.75" customHeight="1">
      <c r="Y380" s="32"/>
    </row>
    <row r="381" ht="15.75" customHeight="1">
      <c r="Y381" s="32"/>
    </row>
    <row r="382" ht="15.75" customHeight="1">
      <c r="Y382" s="32"/>
    </row>
    <row r="383" ht="15.75" customHeight="1">
      <c r="Y383" s="32"/>
    </row>
    <row r="384" ht="15.75" customHeight="1">
      <c r="Y384" s="32"/>
    </row>
    <row r="385" ht="15.75" customHeight="1">
      <c r="Y385" s="32"/>
    </row>
    <row r="386" ht="15.75" customHeight="1">
      <c r="Y386" s="32"/>
    </row>
    <row r="387" ht="15.75" customHeight="1">
      <c r="Y387" s="32"/>
    </row>
    <row r="388" ht="15.75" customHeight="1">
      <c r="Y388" s="32"/>
    </row>
    <row r="389" ht="15.75" customHeight="1">
      <c r="Y389" s="32"/>
    </row>
    <row r="390" ht="15.75" customHeight="1">
      <c r="Y390" s="32"/>
    </row>
    <row r="391" ht="15.75" customHeight="1">
      <c r="Y391" s="32"/>
    </row>
    <row r="392" ht="15.75" customHeight="1">
      <c r="Y392" s="32"/>
    </row>
    <row r="393" ht="15.75" customHeight="1">
      <c r="Y393" s="32"/>
    </row>
    <row r="394" ht="15.75" customHeight="1">
      <c r="Y394" s="32"/>
    </row>
    <row r="395" ht="15.75" customHeight="1">
      <c r="Y395" s="32"/>
    </row>
    <row r="396" ht="15.75" customHeight="1">
      <c r="Y396" s="32"/>
    </row>
    <row r="397" ht="15.75" customHeight="1">
      <c r="Y397" s="32"/>
    </row>
    <row r="398" ht="15.75" customHeight="1">
      <c r="Y398" s="32"/>
    </row>
    <row r="399" ht="15.75" customHeight="1">
      <c r="Y399" s="32"/>
    </row>
    <row r="400" ht="15.75" customHeight="1">
      <c r="Y400" s="32"/>
    </row>
    <row r="401" ht="15.75" customHeight="1">
      <c r="Y401" s="32"/>
    </row>
    <row r="402" ht="15.75" customHeight="1">
      <c r="Y402" s="32"/>
    </row>
    <row r="403" ht="15.75" customHeight="1">
      <c r="Y403" s="32"/>
    </row>
    <row r="404" ht="15.75" customHeight="1">
      <c r="Y404" s="32"/>
    </row>
    <row r="405" ht="15.75" customHeight="1">
      <c r="Y405" s="32"/>
    </row>
    <row r="406" ht="15.75" customHeight="1">
      <c r="Y406" s="32"/>
    </row>
    <row r="407" ht="15.75" customHeight="1">
      <c r="Y407" s="32"/>
    </row>
    <row r="408" ht="15.75" customHeight="1">
      <c r="Y408" s="32"/>
    </row>
    <row r="409" ht="15.75" customHeight="1">
      <c r="Y409" s="32"/>
    </row>
    <row r="410" ht="15.75" customHeight="1">
      <c r="Y410" s="32"/>
    </row>
    <row r="411" ht="15.75" customHeight="1">
      <c r="Y411" s="32"/>
    </row>
    <row r="412" ht="15.75" customHeight="1">
      <c r="Y412" s="32"/>
    </row>
    <row r="413" ht="15.75" customHeight="1">
      <c r="Y413" s="32"/>
    </row>
    <row r="414" ht="15.75" customHeight="1">
      <c r="Y414" s="32"/>
    </row>
    <row r="415" ht="15.75" customHeight="1">
      <c r="Y415" s="32"/>
    </row>
    <row r="416" ht="15.75" customHeight="1">
      <c r="Y416" s="32"/>
    </row>
    <row r="417" ht="15.75" customHeight="1">
      <c r="Y417" s="32"/>
    </row>
    <row r="418" ht="15.75" customHeight="1">
      <c r="Y418" s="32"/>
    </row>
    <row r="419" ht="15.75" customHeight="1">
      <c r="Y419" s="32"/>
    </row>
    <row r="420" ht="15.75" customHeight="1">
      <c r="Y420" s="32"/>
    </row>
    <row r="421" ht="15.75" customHeight="1">
      <c r="Y421" s="32"/>
    </row>
    <row r="422" ht="15.75" customHeight="1">
      <c r="Y422" s="32"/>
    </row>
    <row r="423" ht="15.75" customHeight="1">
      <c r="Y423" s="32"/>
    </row>
    <row r="424" ht="15.75" customHeight="1">
      <c r="Y424" s="32"/>
    </row>
    <row r="425" ht="15.75" customHeight="1">
      <c r="Y425" s="32"/>
    </row>
    <row r="426" ht="15.75" customHeight="1">
      <c r="Y426" s="32"/>
    </row>
    <row r="427" ht="15.75" customHeight="1">
      <c r="Y427" s="32"/>
    </row>
    <row r="428" ht="15.75" customHeight="1">
      <c r="Y428" s="32"/>
    </row>
    <row r="429" ht="15.75" customHeight="1">
      <c r="Y429" s="32"/>
    </row>
    <row r="430" ht="15.75" customHeight="1">
      <c r="Y430" s="32"/>
    </row>
    <row r="431" ht="15.75" customHeight="1">
      <c r="Y431" s="32"/>
    </row>
    <row r="432" ht="15.75" customHeight="1">
      <c r="Y432" s="32"/>
    </row>
    <row r="433" ht="15.75" customHeight="1">
      <c r="Y433" s="32"/>
    </row>
    <row r="434" ht="15.75" customHeight="1">
      <c r="Y434" s="32"/>
    </row>
    <row r="435" ht="15.75" customHeight="1">
      <c r="Y435" s="32"/>
    </row>
    <row r="436" ht="15.75" customHeight="1">
      <c r="Y436" s="32"/>
    </row>
    <row r="437" ht="15.75" customHeight="1">
      <c r="Y437" s="32"/>
    </row>
    <row r="438" ht="15.75" customHeight="1">
      <c r="Y438" s="32"/>
    </row>
    <row r="439" ht="15.75" customHeight="1">
      <c r="Y439" s="32"/>
    </row>
    <row r="440" ht="15.75" customHeight="1">
      <c r="Y440" s="32"/>
    </row>
    <row r="441" ht="15.75" customHeight="1">
      <c r="Y441" s="32"/>
    </row>
    <row r="442" ht="15.75" customHeight="1">
      <c r="Y442" s="32"/>
    </row>
    <row r="443" ht="15.75" customHeight="1">
      <c r="Y443" s="32"/>
    </row>
    <row r="444" ht="15.75" customHeight="1">
      <c r="Y444" s="32"/>
    </row>
    <row r="445" ht="15.75" customHeight="1">
      <c r="Y445" s="32"/>
    </row>
    <row r="446" ht="15.75" customHeight="1">
      <c r="Y446" s="32"/>
    </row>
    <row r="447" ht="15.75" customHeight="1">
      <c r="Y447" s="32"/>
    </row>
    <row r="448" ht="15.75" customHeight="1">
      <c r="Y448" s="32"/>
    </row>
    <row r="449" ht="15.75" customHeight="1">
      <c r="Y449" s="32"/>
    </row>
    <row r="450" ht="15.75" customHeight="1">
      <c r="Y450" s="32"/>
    </row>
    <row r="451" ht="15.75" customHeight="1">
      <c r="Y451" s="32"/>
    </row>
    <row r="452" ht="15.75" customHeight="1">
      <c r="Y452" s="32"/>
    </row>
    <row r="453" ht="15.75" customHeight="1">
      <c r="Y453" s="32"/>
    </row>
    <row r="454" ht="15.75" customHeight="1">
      <c r="Y454" s="32"/>
    </row>
    <row r="455" ht="15.75" customHeight="1">
      <c r="Y455" s="32"/>
    </row>
    <row r="456" ht="15.75" customHeight="1">
      <c r="Y456" s="32"/>
    </row>
    <row r="457" ht="15.75" customHeight="1">
      <c r="Y457" s="32"/>
    </row>
    <row r="458" ht="15.75" customHeight="1">
      <c r="Y458" s="32"/>
    </row>
    <row r="459" ht="15.75" customHeight="1">
      <c r="Y459" s="32"/>
    </row>
    <row r="460" ht="15.75" customHeight="1">
      <c r="Y460" s="32"/>
    </row>
    <row r="461" ht="15.75" customHeight="1">
      <c r="Y461" s="32"/>
    </row>
    <row r="462" ht="15.75" customHeight="1">
      <c r="Y462" s="32"/>
    </row>
    <row r="463" ht="15.75" customHeight="1">
      <c r="Y463" s="32"/>
    </row>
    <row r="464" ht="15.75" customHeight="1">
      <c r="Y464" s="32"/>
    </row>
    <row r="465" ht="15.75" customHeight="1">
      <c r="Y465" s="32"/>
    </row>
    <row r="466" ht="15.75" customHeight="1">
      <c r="Y466" s="32"/>
    </row>
    <row r="467" ht="15.75" customHeight="1">
      <c r="Y467" s="32"/>
    </row>
    <row r="468" ht="15.75" customHeight="1">
      <c r="Y468" s="32"/>
    </row>
    <row r="469" ht="15.75" customHeight="1">
      <c r="Y469" s="32"/>
    </row>
    <row r="470" ht="15.75" customHeight="1">
      <c r="Y470" s="32"/>
    </row>
    <row r="471" ht="15.75" customHeight="1">
      <c r="Y471" s="32"/>
    </row>
    <row r="472" ht="15.75" customHeight="1">
      <c r="Y472" s="32"/>
    </row>
    <row r="473" ht="15.75" customHeight="1">
      <c r="Y473" s="32"/>
    </row>
    <row r="474" ht="15.75" customHeight="1">
      <c r="Y474" s="32"/>
    </row>
    <row r="475" ht="15.75" customHeight="1">
      <c r="Y475" s="32"/>
    </row>
    <row r="476" ht="15.75" customHeight="1">
      <c r="Y476" s="32"/>
    </row>
    <row r="477" ht="15.75" customHeight="1">
      <c r="Y477" s="32"/>
    </row>
    <row r="478" ht="15.75" customHeight="1">
      <c r="Y478" s="32"/>
    </row>
    <row r="479" ht="15.75" customHeight="1">
      <c r="Y479" s="32"/>
    </row>
    <row r="480" ht="15.75" customHeight="1">
      <c r="Y480" s="32"/>
    </row>
    <row r="481" ht="15.75" customHeight="1">
      <c r="Y481" s="32"/>
    </row>
    <row r="482" ht="15.75" customHeight="1">
      <c r="Y482" s="32"/>
    </row>
    <row r="483" ht="15.75" customHeight="1">
      <c r="Y483" s="32"/>
    </row>
    <row r="484" ht="15.75" customHeight="1">
      <c r="Y484" s="32"/>
    </row>
    <row r="485" ht="15.75" customHeight="1">
      <c r="Y485" s="32"/>
    </row>
    <row r="486" ht="15.75" customHeight="1">
      <c r="Y486" s="32"/>
    </row>
    <row r="487" ht="15.75" customHeight="1">
      <c r="Y487" s="32"/>
    </row>
    <row r="488" ht="15.75" customHeight="1">
      <c r="Y488" s="32"/>
    </row>
    <row r="489" ht="15.75" customHeight="1">
      <c r="Y489" s="32"/>
    </row>
    <row r="490" ht="15.75" customHeight="1">
      <c r="Y490" s="32"/>
    </row>
    <row r="491" ht="15.75" customHeight="1">
      <c r="Y491" s="32"/>
    </row>
    <row r="492" ht="15.75" customHeight="1">
      <c r="Y492" s="32"/>
    </row>
    <row r="493" ht="15.75" customHeight="1">
      <c r="Y493" s="32"/>
    </row>
    <row r="494" ht="15.75" customHeight="1">
      <c r="Y494" s="32"/>
    </row>
    <row r="495" ht="15.75" customHeight="1">
      <c r="Y495" s="32"/>
    </row>
    <row r="496" ht="15.75" customHeight="1">
      <c r="Y496" s="32"/>
    </row>
    <row r="497" ht="15.75" customHeight="1">
      <c r="Y497" s="32"/>
    </row>
    <row r="498" ht="15.75" customHeight="1">
      <c r="Y498" s="32"/>
    </row>
    <row r="499" ht="15.75" customHeight="1">
      <c r="Y499" s="32"/>
    </row>
    <row r="500" ht="15.75" customHeight="1">
      <c r="Y500" s="32"/>
    </row>
    <row r="501" ht="15.75" customHeight="1">
      <c r="Y501" s="32"/>
    </row>
    <row r="502" ht="15.75" customHeight="1">
      <c r="Y502" s="32"/>
    </row>
    <row r="503" ht="15.75" customHeight="1">
      <c r="Y503" s="32"/>
    </row>
    <row r="504" ht="15.75" customHeight="1">
      <c r="Y504" s="32"/>
    </row>
    <row r="505" ht="15.75" customHeight="1">
      <c r="Y505" s="32"/>
    </row>
    <row r="506" ht="15.75" customHeight="1">
      <c r="Y506" s="32"/>
    </row>
    <row r="507" ht="15.75" customHeight="1">
      <c r="Y507" s="32"/>
    </row>
    <row r="508" ht="15.75" customHeight="1">
      <c r="Y508" s="32"/>
    </row>
    <row r="509" ht="15.75" customHeight="1">
      <c r="Y509" s="32"/>
    </row>
    <row r="510" ht="15.75" customHeight="1">
      <c r="Y510" s="32"/>
    </row>
    <row r="511" ht="15.75" customHeight="1">
      <c r="Y511" s="32"/>
    </row>
    <row r="512" ht="15.75" customHeight="1">
      <c r="Y512" s="32"/>
    </row>
    <row r="513" ht="15.75" customHeight="1">
      <c r="Y513" s="32"/>
    </row>
    <row r="514" ht="15.75" customHeight="1">
      <c r="Y514" s="32"/>
    </row>
    <row r="515" ht="15.75" customHeight="1">
      <c r="Y515" s="32"/>
    </row>
    <row r="516" ht="15.75" customHeight="1">
      <c r="Y516" s="32"/>
    </row>
    <row r="517" ht="15.75" customHeight="1">
      <c r="Y517" s="32"/>
    </row>
    <row r="518" ht="15.75" customHeight="1">
      <c r="Y518" s="32"/>
    </row>
    <row r="519" ht="15.75" customHeight="1">
      <c r="Y519" s="32"/>
    </row>
    <row r="520" ht="15.75" customHeight="1">
      <c r="Y520" s="32"/>
    </row>
    <row r="521" ht="15.75" customHeight="1">
      <c r="Y521" s="32"/>
    </row>
    <row r="522" ht="15.75" customHeight="1">
      <c r="Y522" s="32"/>
    </row>
    <row r="523" ht="15.75" customHeight="1">
      <c r="Y523" s="32"/>
    </row>
    <row r="524" ht="15.75" customHeight="1">
      <c r="Y524" s="32"/>
    </row>
    <row r="525" ht="15.75" customHeight="1">
      <c r="Y525" s="32"/>
    </row>
    <row r="526" ht="15.75" customHeight="1">
      <c r="Y526" s="32"/>
    </row>
    <row r="527" ht="15.75" customHeight="1">
      <c r="Y527" s="32"/>
    </row>
    <row r="528" ht="15.75" customHeight="1">
      <c r="Y528" s="32"/>
    </row>
    <row r="529" ht="15.75" customHeight="1">
      <c r="Y529" s="32"/>
    </row>
    <row r="530" ht="15.75" customHeight="1">
      <c r="Y530" s="32"/>
    </row>
    <row r="531" ht="15.75" customHeight="1">
      <c r="Y531" s="32"/>
    </row>
    <row r="532" ht="15.75" customHeight="1">
      <c r="Y532" s="32"/>
    </row>
    <row r="533" ht="15.75" customHeight="1">
      <c r="Y533" s="32"/>
    </row>
    <row r="534" ht="15.75" customHeight="1">
      <c r="Y534" s="32"/>
    </row>
    <row r="535" ht="15.75" customHeight="1">
      <c r="Y535" s="32"/>
    </row>
    <row r="536" ht="15.75" customHeight="1">
      <c r="Y536" s="32"/>
    </row>
    <row r="537" ht="15.75" customHeight="1">
      <c r="Y537" s="32"/>
    </row>
    <row r="538" ht="15.75" customHeight="1">
      <c r="Y538" s="32"/>
    </row>
    <row r="539" ht="15.75" customHeight="1">
      <c r="Y539" s="32"/>
    </row>
    <row r="540" ht="15.75" customHeight="1">
      <c r="Y540" s="32"/>
    </row>
    <row r="541" ht="15.75" customHeight="1">
      <c r="Y541" s="32"/>
    </row>
    <row r="542" ht="15.75" customHeight="1">
      <c r="Y542" s="32"/>
    </row>
    <row r="543" ht="15.75" customHeight="1">
      <c r="Y543" s="32"/>
    </row>
    <row r="544" ht="15.75" customHeight="1">
      <c r="Y544" s="32"/>
    </row>
    <row r="545" ht="15.75" customHeight="1">
      <c r="Y545" s="32"/>
    </row>
    <row r="546" ht="15.75" customHeight="1">
      <c r="Y546" s="32"/>
    </row>
    <row r="547" ht="15.75" customHeight="1">
      <c r="Y547" s="32"/>
    </row>
    <row r="548" ht="15.75" customHeight="1">
      <c r="Y548" s="32"/>
    </row>
    <row r="549" ht="15.75" customHeight="1">
      <c r="Y549" s="32"/>
    </row>
    <row r="550" ht="15.75" customHeight="1">
      <c r="Y550" s="32"/>
    </row>
    <row r="551" ht="15.75" customHeight="1">
      <c r="Y551" s="32"/>
    </row>
    <row r="552" ht="15.75" customHeight="1">
      <c r="Y552" s="32"/>
    </row>
    <row r="553" ht="15.75" customHeight="1">
      <c r="Y553" s="32"/>
    </row>
    <row r="554" ht="15.75" customHeight="1">
      <c r="Y554" s="32"/>
    </row>
    <row r="555" ht="15.75" customHeight="1">
      <c r="Y555" s="32"/>
    </row>
    <row r="556" ht="15.75" customHeight="1">
      <c r="Y556" s="32"/>
    </row>
    <row r="557" ht="15.75" customHeight="1">
      <c r="Y557" s="32"/>
    </row>
    <row r="558" ht="15.75" customHeight="1">
      <c r="Y558" s="32"/>
    </row>
    <row r="559" ht="15.75" customHeight="1">
      <c r="Y559" s="32"/>
    </row>
    <row r="560" ht="15.75" customHeight="1">
      <c r="Y560" s="32"/>
    </row>
    <row r="561" ht="15.75" customHeight="1">
      <c r="Y561" s="32"/>
    </row>
    <row r="562" ht="15.75" customHeight="1">
      <c r="Y562" s="32"/>
    </row>
    <row r="563" ht="15.75" customHeight="1">
      <c r="Y563" s="32"/>
    </row>
    <row r="564" ht="15.75" customHeight="1">
      <c r="Y564" s="32"/>
    </row>
    <row r="565" ht="15.75" customHeight="1">
      <c r="Y565" s="32"/>
    </row>
    <row r="566" ht="15.75" customHeight="1">
      <c r="Y566" s="32"/>
    </row>
    <row r="567" ht="15.75" customHeight="1">
      <c r="Y567" s="32"/>
    </row>
    <row r="568" ht="15.75" customHeight="1">
      <c r="Y568" s="32"/>
    </row>
    <row r="569" ht="15.75" customHeight="1">
      <c r="Y569" s="32"/>
    </row>
    <row r="570" ht="15.75" customHeight="1">
      <c r="Y570" s="32"/>
    </row>
    <row r="571" ht="15.75" customHeight="1">
      <c r="Y571" s="32"/>
    </row>
    <row r="572" ht="15.75" customHeight="1">
      <c r="Y572" s="32"/>
    </row>
    <row r="573" ht="15.75" customHeight="1">
      <c r="Y573" s="32"/>
    </row>
    <row r="574" ht="15.75" customHeight="1">
      <c r="Y574" s="32"/>
    </row>
    <row r="575" ht="15.75" customHeight="1">
      <c r="Y575" s="32"/>
    </row>
    <row r="576" ht="15.75" customHeight="1">
      <c r="Y576" s="32"/>
    </row>
    <row r="577" ht="15.75" customHeight="1">
      <c r="Y577" s="32"/>
    </row>
    <row r="578" ht="15.75" customHeight="1">
      <c r="Y578" s="32"/>
    </row>
    <row r="579" ht="15.75" customHeight="1">
      <c r="Y579" s="32"/>
    </row>
    <row r="580" ht="15.75" customHeight="1">
      <c r="Y580" s="32"/>
    </row>
    <row r="581" ht="15.75" customHeight="1">
      <c r="Y581" s="32"/>
    </row>
    <row r="582" ht="15.75" customHeight="1">
      <c r="Y582" s="32"/>
    </row>
    <row r="583" ht="15.75" customHeight="1">
      <c r="Y583" s="32"/>
    </row>
    <row r="584" ht="15.75" customHeight="1">
      <c r="Y584" s="32"/>
    </row>
    <row r="585" ht="15.75" customHeight="1">
      <c r="Y585" s="32"/>
    </row>
    <row r="586" ht="15.75" customHeight="1">
      <c r="Y586" s="32"/>
    </row>
    <row r="587" ht="15.75" customHeight="1">
      <c r="Y587" s="32"/>
    </row>
    <row r="588" ht="15.75" customHeight="1">
      <c r="Y588" s="32"/>
    </row>
    <row r="589" ht="15.75" customHeight="1">
      <c r="Y589" s="32"/>
    </row>
    <row r="590" ht="15.75" customHeight="1">
      <c r="Y590" s="32"/>
    </row>
    <row r="591" ht="15.75" customHeight="1">
      <c r="Y591" s="32"/>
    </row>
    <row r="592" ht="15.75" customHeight="1">
      <c r="Y592" s="32"/>
    </row>
    <row r="593" ht="15.75" customHeight="1">
      <c r="Y593" s="32"/>
    </row>
    <row r="594" ht="15.75" customHeight="1">
      <c r="Y594" s="32"/>
    </row>
    <row r="595" ht="15.75" customHeight="1">
      <c r="Y595" s="32"/>
    </row>
    <row r="596" ht="15.75" customHeight="1">
      <c r="Y596" s="32"/>
    </row>
    <row r="597" ht="15.75" customHeight="1">
      <c r="Y597" s="32"/>
    </row>
    <row r="598" ht="15.75" customHeight="1">
      <c r="Y598" s="32"/>
    </row>
    <row r="599" ht="15.75" customHeight="1">
      <c r="Y599" s="32"/>
    </row>
    <row r="600" ht="15.75" customHeight="1">
      <c r="Y600" s="32"/>
    </row>
    <row r="601" ht="15.75" customHeight="1">
      <c r="Y601" s="32"/>
    </row>
    <row r="602" ht="15.75" customHeight="1">
      <c r="Y602" s="32"/>
    </row>
    <row r="603" ht="15.75" customHeight="1">
      <c r="Y603" s="32"/>
    </row>
    <row r="604" ht="15.75" customHeight="1">
      <c r="Y604" s="32"/>
    </row>
    <row r="605" ht="15.75" customHeight="1">
      <c r="Y605" s="32"/>
    </row>
    <row r="606" ht="15.75" customHeight="1">
      <c r="Y606" s="32"/>
    </row>
    <row r="607" ht="15.75" customHeight="1">
      <c r="Y607" s="32"/>
    </row>
    <row r="608" ht="15.75" customHeight="1">
      <c r="Y608" s="32"/>
    </row>
    <row r="609" ht="15.75" customHeight="1">
      <c r="Y609" s="32"/>
    </row>
    <row r="610" ht="15.75" customHeight="1">
      <c r="Y610" s="32"/>
    </row>
    <row r="611" ht="15.75" customHeight="1">
      <c r="Y611" s="32"/>
    </row>
    <row r="612" ht="15.75" customHeight="1">
      <c r="Y612" s="32"/>
    </row>
    <row r="613" ht="15.75" customHeight="1">
      <c r="Y613" s="32"/>
    </row>
    <row r="614" ht="15.75" customHeight="1">
      <c r="Y614" s="32"/>
    </row>
    <row r="615" ht="15.75" customHeight="1">
      <c r="Y615" s="32"/>
    </row>
    <row r="616" ht="15.75" customHeight="1">
      <c r="Y616" s="32"/>
    </row>
    <row r="617" ht="15.75" customHeight="1">
      <c r="Y617" s="32"/>
    </row>
    <row r="618" ht="15.75" customHeight="1">
      <c r="Y618" s="32"/>
    </row>
    <row r="619" ht="15.75" customHeight="1">
      <c r="Y619" s="32"/>
    </row>
    <row r="620" ht="15.75" customHeight="1">
      <c r="Y620" s="32"/>
    </row>
    <row r="621" ht="15.75" customHeight="1">
      <c r="Y621" s="32"/>
    </row>
    <row r="622" ht="15.75" customHeight="1">
      <c r="Y622" s="32"/>
    </row>
    <row r="623" ht="15.75" customHeight="1">
      <c r="Y623" s="32"/>
    </row>
    <row r="624" ht="15.75" customHeight="1">
      <c r="Y624" s="32"/>
    </row>
    <row r="625" ht="15.75" customHeight="1">
      <c r="Y625" s="32"/>
    </row>
    <row r="626" ht="15.75" customHeight="1">
      <c r="Y626" s="32"/>
    </row>
    <row r="627" ht="15.75" customHeight="1">
      <c r="Y627" s="32"/>
    </row>
    <row r="628" ht="15.75" customHeight="1">
      <c r="Y628" s="32"/>
    </row>
    <row r="629" ht="15.75" customHeight="1">
      <c r="Y629" s="32"/>
    </row>
    <row r="630" ht="15.75" customHeight="1">
      <c r="Y630" s="32"/>
    </row>
    <row r="631" ht="15.75" customHeight="1">
      <c r="Y631" s="32"/>
    </row>
    <row r="632" ht="15.75" customHeight="1">
      <c r="Y632" s="32"/>
    </row>
    <row r="633" ht="15.75" customHeight="1">
      <c r="Y633" s="32"/>
    </row>
    <row r="634" ht="15.75" customHeight="1">
      <c r="Y634" s="32"/>
    </row>
    <row r="635" ht="15.75" customHeight="1">
      <c r="Y635" s="32"/>
    </row>
    <row r="636" ht="15.75" customHeight="1">
      <c r="Y636" s="32"/>
    </row>
    <row r="637" ht="15.75" customHeight="1">
      <c r="Y637" s="32"/>
    </row>
    <row r="638" ht="15.75" customHeight="1">
      <c r="Y638" s="32"/>
    </row>
    <row r="639" ht="15.75" customHeight="1">
      <c r="Y639" s="32"/>
    </row>
    <row r="640" ht="15.75" customHeight="1">
      <c r="Y640" s="32"/>
    </row>
    <row r="641" ht="15.75" customHeight="1">
      <c r="Y641" s="32"/>
    </row>
    <row r="642" ht="15.75" customHeight="1">
      <c r="Y642" s="32"/>
    </row>
    <row r="643" ht="15.75" customHeight="1">
      <c r="Y643" s="32"/>
    </row>
    <row r="644" ht="15.75" customHeight="1">
      <c r="Y644" s="32"/>
    </row>
    <row r="645" ht="15.75" customHeight="1">
      <c r="Y645" s="32"/>
    </row>
    <row r="646" ht="15.75" customHeight="1">
      <c r="Y646" s="32"/>
    </row>
    <row r="647" ht="15.75" customHeight="1">
      <c r="Y647" s="32"/>
    </row>
    <row r="648" ht="15.75" customHeight="1">
      <c r="Y648" s="32"/>
    </row>
    <row r="649" ht="15.75" customHeight="1">
      <c r="Y649" s="32"/>
    </row>
    <row r="650" ht="15.75" customHeight="1">
      <c r="Y650" s="32"/>
    </row>
    <row r="651" ht="15.75" customHeight="1">
      <c r="Y651" s="32"/>
    </row>
    <row r="652" ht="15.75" customHeight="1">
      <c r="Y652" s="32"/>
    </row>
    <row r="653" ht="15.75" customHeight="1">
      <c r="Y653" s="32"/>
    </row>
    <row r="654" ht="15.75" customHeight="1">
      <c r="Y654" s="32"/>
    </row>
    <row r="655" ht="15.75" customHeight="1">
      <c r="Y655" s="32"/>
    </row>
    <row r="656" ht="15.75" customHeight="1">
      <c r="Y656" s="32"/>
    </row>
    <row r="657" ht="15.75" customHeight="1">
      <c r="Y657" s="32"/>
    </row>
    <row r="658" ht="15.75" customHeight="1">
      <c r="Y658" s="32"/>
    </row>
    <row r="659" ht="15.75" customHeight="1">
      <c r="Y659" s="32"/>
    </row>
    <row r="660" ht="15.75" customHeight="1">
      <c r="Y660" s="32"/>
    </row>
    <row r="661" ht="15.75" customHeight="1">
      <c r="Y661" s="32"/>
    </row>
    <row r="662" ht="15.75" customHeight="1">
      <c r="Y662" s="32"/>
    </row>
    <row r="663" ht="15.75" customHeight="1">
      <c r="Y663" s="32"/>
    </row>
    <row r="664" ht="15.75" customHeight="1">
      <c r="Y664" s="32"/>
    </row>
    <row r="665" ht="15.75" customHeight="1">
      <c r="Y665" s="32"/>
    </row>
    <row r="666" ht="15.75" customHeight="1">
      <c r="Y666" s="32"/>
    </row>
    <row r="667" ht="15.75" customHeight="1">
      <c r="Y667" s="32"/>
    </row>
    <row r="668" ht="15.75" customHeight="1">
      <c r="Y668" s="32"/>
    </row>
    <row r="669" ht="15.75" customHeight="1">
      <c r="Y669" s="32"/>
    </row>
    <row r="670" ht="15.75" customHeight="1">
      <c r="Y670" s="32"/>
    </row>
    <row r="671" ht="15.75" customHeight="1">
      <c r="Y671" s="32"/>
    </row>
    <row r="672" ht="15.75" customHeight="1">
      <c r="Y672" s="32"/>
    </row>
    <row r="673" ht="15.75" customHeight="1">
      <c r="Y673" s="32"/>
    </row>
    <row r="674" ht="15.75" customHeight="1">
      <c r="Y674" s="32"/>
    </row>
    <row r="675" ht="15.75" customHeight="1">
      <c r="Y675" s="32"/>
    </row>
    <row r="676" ht="15.75" customHeight="1">
      <c r="Y676" s="32"/>
    </row>
    <row r="677" ht="15.75" customHeight="1">
      <c r="Y677" s="32"/>
    </row>
    <row r="678" ht="15.75" customHeight="1">
      <c r="Y678" s="32"/>
    </row>
    <row r="679" ht="15.75" customHeight="1">
      <c r="Y679" s="32"/>
    </row>
    <row r="680" ht="15.75" customHeight="1">
      <c r="Y680" s="32"/>
    </row>
    <row r="681" ht="15.75" customHeight="1">
      <c r="Y681" s="32"/>
    </row>
    <row r="682" ht="15.75" customHeight="1">
      <c r="Y682" s="32"/>
    </row>
    <row r="683" ht="15.75" customHeight="1">
      <c r="Y683" s="32"/>
    </row>
    <row r="684" ht="15.75" customHeight="1">
      <c r="Y684" s="32"/>
    </row>
    <row r="685" ht="15.75" customHeight="1">
      <c r="Y685" s="32"/>
    </row>
    <row r="686" ht="15.75" customHeight="1">
      <c r="Y686" s="32"/>
    </row>
    <row r="687" ht="15.75" customHeight="1">
      <c r="Y687" s="32"/>
    </row>
    <row r="688" ht="15.75" customHeight="1">
      <c r="Y688" s="32"/>
    </row>
    <row r="689" ht="15.75" customHeight="1">
      <c r="Y689" s="32"/>
    </row>
    <row r="690" ht="15.75" customHeight="1">
      <c r="Y690" s="32"/>
    </row>
    <row r="691" ht="15.75" customHeight="1">
      <c r="Y691" s="32"/>
    </row>
    <row r="692" ht="15.75" customHeight="1">
      <c r="Y692" s="32"/>
    </row>
    <row r="693" ht="15.75" customHeight="1">
      <c r="Y693" s="32"/>
    </row>
    <row r="694" ht="15.75" customHeight="1">
      <c r="Y694" s="32"/>
    </row>
    <row r="695" ht="15.75" customHeight="1">
      <c r="Y695" s="32"/>
    </row>
    <row r="696" ht="15.75" customHeight="1">
      <c r="Y696" s="32"/>
    </row>
    <row r="697" ht="15.75" customHeight="1">
      <c r="Y697" s="32"/>
    </row>
    <row r="698" ht="15.75" customHeight="1">
      <c r="Y698" s="32"/>
    </row>
    <row r="699" ht="15.75" customHeight="1">
      <c r="Y699" s="32"/>
    </row>
    <row r="700" ht="15.75" customHeight="1">
      <c r="Y700" s="32"/>
    </row>
    <row r="701" ht="15.75" customHeight="1">
      <c r="Y701" s="32"/>
    </row>
    <row r="702" ht="15.75" customHeight="1">
      <c r="Y702" s="32"/>
    </row>
    <row r="703" ht="15.75" customHeight="1">
      <c r="Y703" s="32"/>
    </row>
    <row r="704" ht="15.75" customHeight="1">
      <c r="Y704" s="32"/>
    </row>
    <row r="705" ht="15.75" customHeight="1">
      <c r="Y705" s="32"/>
    </row>
    <row r="706" ht="15.75" customHeight="1">
      <c r="Y706" s="32"/>
    </row>
    <row r="707" ht="15.75" customHeight="1">
      <c r="Y707" s="32"/>
    </row>
    <row r="708" ht="15.75" customHeight="1">
      <c r="Y708" s="32"/>
    </row>
    <row r="709" ht="15.75" customHeight="1">
      <c r="Y709" s="32"/>
    </row>
    <row r="710" ht="15.75" customHeight="1">
      <c r="Y710" s="32"/>
    </row>
    <row r="711" ht="15.75" customHeight="1">
      <c r="Y711" s="32"/>
    </row>
    <row r="712" ht="15.75" customHeight="1">
      <c r="Y712" s="32"/>
    </row>
    <row r="713" ht="15.75" customHeight="1">
      <c r="Y713" s="32"/>
    </row>
    <row r="714" ht="15.75" customHeight="1">
      <c r="Y714" s="32"/>
    </row>
    <row r="715" ht="15.75" customHeight="1">
      <c r="Y715" s="32"/>
    </row>
    <row r="716" ht="15.75" customHeight="1">
      <c r="Y716" s="32"/>
    </row>
    <row r="717" ht="15.75" customHeight="1">
      <c r="Y717" s="32"/>
    </row>
    <row r="718" ht="15.75" customHeight="1">
      <c r="Y718" s="32"/>
    </row>
    <row r="719" ht="15.75" customHeight="1">
      <c r="Y719" s="32"/>
    </row>
    <row r="720" ht="15.75" customHeight="1">
      <c r="Y720" s="32"/>
    </row>
    <row r="721" ht="15.75" customHeight="1">
      <c r="Y721" s="32"/>
    </row>
    <row r="722" ht="15.75" customHeight="1">
      <c r="Y722" s="32"/>
    </row>
    <row r="723" ht="15.75" customHeight="1">
      <c r="Y723" s="32"/>
    </row>
    <row r="724" ht="15.75" customHeight="1">
      <c r="Y724" s="32"/>
    </row>
    <row r="725" ht="15.75" customHeight="1">
      <c r="Y725" s="32"/>
    </row>
    <row r="726" ht="15.75" customHeight="1">
      <c r="Y726" s="32"/>
    </row>
    <row r="727" ht="15.75" customHeight="1">
      <c r="Y727" s="32"/>
    </row>
    <row r="728" ht="15.75" customHeight="1">
      <c r="Y728" s="32"/>
    </row>
    <row r="729" ht="15.75" customHeight="1">
      <c r="Y729" s="32"/>
    </row>
    <row r="730" ht="15.75" customHeight="1">
      <c r="Y730" s="32"/>
    </row>
    <row r="731" ht="15.75" customHeight="1">
      <c r="Y731" s="32"/>
    </row>
    <row r="732" ht="15.75" customHeight="1">
      <c r="Y732" s="32"/>
    </row>
    <row r="733" ht="15.75" customHeight="1">
      <c r="Y733" s="32"/>
    </row>
    <row r="734" ht="15.75" customHeight="1">
      <c r="Y734" s="32"/>
    </row>
    <row r="735" ht="15.75" customHeight="1">
      <c r="Y735" s="32"/>
    </row>
    <row r="736" ht="15.75" customHeight="1">
      <c r="Y736" s="32"/>
    </row>
    <row r="737" ht="15.75" customHeight="1">
      <c r="Y737" s="32"/>
    </row>
    <row r="738" ht="15.75" customHeight="1">
      <c r="Y738" s="32"/>
    </row>
    <row r="739" ht="15.75" customHeight="1">
      <c r="Y739" s="32"/>
    </row>
    <row r="740" ht="15.75" customHeight="1">
      <c r="Y740" s="32"/>
    </row>
    <row r="741" ht="15.75" customHeight="1">
      <c r="Y741" s="32"/>
    </row>
    <row r="742" ht="15.75" customHeight="1">
      <c r="Y742" s="32"/>
    </row>
    <row r="743" ht="15.75" customHeight="1">
      <c r="Y743" s="32"/>
    </row>
    <row r="744" ht="15.75" customHeight="1">
      <c r="Y744" s="32"/>
    </row>
    <row r="745" ht="15.75" customHeight="1">
      <c r="Y745" s="32"/>
    </row>
    <row r="746" ht="15.75" customHeight="1">
      <c r="Y746" s="32"/>
    </row>
    <row r="747" ht="15.75" customHeight="1">
      <c r="Y747" s="32"/>
    </row>
    <row r="748" ht="15.75" customHeight="1">
      <c r="Y748" s="32"/>
    </row>
    <row r="749" ht="15.75" customHeight="1">
      <c r="Y749" s="32"/>
    </row>
    <row r="750" ht="15.75" customHeight="1">
      <c r="Y750" s="32"/>
    </row>
    <row r="751" ht="15.75" customHeight="1">
      <c r="Y751" s="32"/>
    </row>
    <row r="752" ht="15.75" customHeight="1">
      <c r="Y752" s="32"/>
    </row>
    <row r="753" ht="15.75" customHeight="1">
      <c r="Y753" s="32"/>
    </row>
    <row r="754" ht="15.75" customHeight="1">
      <c r="Y754" s="32"/>
    </row>
    <row r="755" ht="15.75" customHeight="1">
      <c r="Y755" s="32"/>
    </row>
    <row r="756" ht="15.75" customHeight="1">
      <c r="Y756" s="32"/>
    </row>
    <row r="757" ht="15.75" customHeight="1">
      <c r="Y757" s="32"/>
    </row>
    <row r="758" ht="15.75" customHeight="1">
      <c r="Y758" s="32"/>
    </row>
    <row r="759" ht="15.75" customHeight="1">
      <c r="Y759" s="32"/>
    </row>
    <row r="760" ht="15.75" customHeight="1">
      <c r="Y760" s="32"/>
    </row>
    <row r="761" ht="15.75" customHeight="1">
      <c r="Y761" s="32"/>
    </row>
    <row r="762" ht="15.75" customHeight="1">
      <c r="Y762" s="32"/>
    </row>
    <row r="763" ht="15.75" customHeight="1">
      <c r="Y763" s="32"/>
    </row>
    <row r="764" ht="15.75" customHeight="1">
      <c r="Y764" s="32"/>
    </row>
    <row r="765" ht="15.75" customHeight="1">
      <c r="Y765" s="32"/>
    </row>
    <row r="766" ht="15.75" customHeight="1">
      <c r="Y766" s="32"/>
    </row>
    <row r="767" ht="15.75" customHeight="1">
      <c r="Y767" s="32"/>
    </row>
    <row r="768" ht="15.75" customHeight="1">
      <c r="Y768" s="32"/>
    </row>
    <row r="769" ht="15.75" customHeight="1">
      <c r="Y769" s="32"/>
    </row>
    <row r="770" ht="15.75" customHeight="1">
      <c r="Y770" s="32"/>
    </row>
    <row r="771" ht="15.75" customHeight="1">
      <c r="Y771" s="32"/>
    </row>
    <row r="772" ht="15.75" customHeight="1">
      <c r="Y772" s="32"/>
    </row>
    <row r="773" ht="15.75" customHeight="1">
      <c r="Y773" s="32"/>
    </row>
    <row r="774" ht="15.75" customHeight="1">
      <c r="Y774" s="32"/>
    </row>
    <row r="775" ht="15.75" customHeight="1">
      <c r="Y775" s="32"/>
    </row>
    <row r="776" ht="15.75" customHeight="1">
      <c r="Y776" s="32"/>
    </row>
    <row r="777" ht="15.75" customHeight="1">
      <c r="Y777" s="32"/>
    </row>
    <row r="778" ht="15.75" customHeight="1">
      <c r="Y778" s="32"/>
    </row>
    <row r="779" ht="15.75" customHeight="1">
      <c r="Y779" s="32"/>
    </row>
    <row r="780" ht="15.75" customHeight="1">
      <c r="Y780" s="32"/>
    </row>
    <row r="781" ht="15.75" customHeight="1">
      <c r="Y781" s="32"/>
    </row>
    <row r="782" ht="15.75" customHeight="1">
      <c r="Y782" s="32"/>
    </row>
    <row r="783" ht="15.75" customHeight="1">
      <c r="Y783" s="32"/>
    </row>
    <row r="784" ht="15.75" customHeight="1">
      <c r="Y784" s="32"/>
    </row>
    <row r="785" ht="15.75" customHeight="1">
      <c r="Y785" s="32"/>
    </row>
    <row r="786" ht="15.75" customHeight="1">
      <c r="Y786" s="32"/>
    </row>
    <row r="787" ht="15.75" customHeight="1">
      <c r="Y787" s="32"/>
    </row>
    <row r="788" ht="15.75" customHeight="1">
      <c r="Y788" s="32"/>
    </row>
    <row r="789" ht="15.75" customHeight="1">
      <c r="Y789" s="32"/>
    </row>
    <row r="790" ht="15.75" customHeight="1">
      <c r="Y790" s="32"/>
    </row>
    <row r="791" ht="15.75" customHeight="1">
      <c r="Y791" s="32"/>
    </row>
    <row r="792" ht="15.75" customHeight="1">
      <c r="Y792" s="32"/>
    </row>
    <row r="793" ht="15.75" customHeight="1">
      <c r="Y793" s="32"/>
    </row>
    <row r="794" ht="15.75" customHeight="1">
      <c r="Y794" s="32"/>
    </row>
    <row r="795" ht="15.75" customHeight="1">
      <c r="Y795" s="32"/>
    </row>
    <row r="796" ht="15.75" customHeight="1">
      <c r="Y796" s="32"/>
    </row>
    <row r="797" ht="15.75" customHeight="1">
      <c r="Y797" s="32"/>
    </row>
    <row r="798" ht="15.75" customHeight="1">
      <c r="Y798" s="32"/>
    </row>
    <row r="799" ht="15.75" customHeight="1">
      <c r="Y799" s="32"/>
    </row>
    <row r="800" ht="15.75" customHeight="1">
      <c r="Y800" s="32"/>
    </row>
    <row r="801" ht="15.75" customHeight="1">
      <c r="Y801" s="32"/>
    </row>
    <row r="802" ht="15.75" customHeight="1">
      <c r="Y802" s="32"/>
    </row>
    <row r="803" ht="15.75" customHeight="1">
      <c r="Y803" s="32"/>
    </row>
    <row r="804" ht="15.75" customHeight="1">
      <c r="Y804" s="32"/>
    </row>
    <row r="805" ht="15.75" customHeight="1">
      <c r="Y805" s="32"/>
    </row>
    <row r="806" ht="15.75" customHeight="1">
      <c r="Y806" s="32"/>
    </row>
    <row r="807" ht="15.75" customHeight="1">
      <c r="Y807" s="32"/>
    </row>
    <row r="808" ht="15.75" customHeight="1">
      <c r="Y808" s="32"/>
    </row>
    <row r="809" ht="15.75" customHeight="1">
      <c r="Y809" s="32"/>
    </row>
    <row r="810" ht="15.75" customHeight="1">
      <c r="Y810" s="32"/>
    </row>
    <row r="811" ht="15.75" customHeight="1">
      <c r="Y811" s="32"/>
    </row>
    <row r="812" ht="15.75" customHeight="1">
      <c r="Y812" s="32"/>
    </row>
    <row r="813" ht="15.75" customHeight="1">
      <c r="Y813" s="32"/>
    </row>
    <row r="814" ht="15.75" customHeight="1">
      <c r="Y814" s="32"/>
    </row>
    <row r="815" ht="15.75" customHeight="1">
      <c r="Y815" s="32"/>
    </row>
    <row r="816" ht="15.75" customHeight="1">
      <c r="Y816" s="32"/>
    </row>
    <row r="817" ht="15.75" customHeight="1">
      <c r="Y817" s="32"/>
    </row>
    <row r="818" ht="15.75" customHeight="1">
      <c r="Y818" s="32"/>
    </row>
    <row r="819" ht="15.75" customHeight="1">
      <c r="Y819" s="32"/>
    </row>
    <row r="820" ht="15.75" customHeight="1">
      <c r="Y820" s="32"/>
    </row>
    <row r="821" ht="15.75" customHeight="1">
      <c r="Y821" s="32"/>
    </row>
    <row r="822" ht="15.75" customHeight="1">
      <c r="Y822" s="32"/>
    </row>
    <row r="823" ht="15.75" customHeight="1">
      <c r="Y823" s="32"/>
    </row>
    <row r="824" ht="15.75" customHeight="1">
      <c r="Y824" s="32"/>
    </row>
    <row r="825" ht="15.75" customHeight="1">
      <c r="Y825" s="32"/>
    </row>
    <row r="826" ht="15.75" customHeight="1">
      <c r="Y826" s="32"/>
    </row>
    <row r="827" ht="15.75" customHeight="1">
      <c r="Y827" s="32"/>
    </row>
    <row r="828" ht="15.75" customHeight="1">
      <c r="Y828" s="32"/>
    </row>
    <row r="829" ht="15.75" customHeight="1">
      <c r="Y829" s="32"/>
    </row>
    <row r="830" ht="15.75" customHeight="1">
      <c r="Y830" s="32"/>
    </row>
    <row r="831" ht="15.75" customHeight="1">
      <c r="Y831" s="32"/>
    </row>
    <row r="832" ht="15.75" customHeight="1">
      <c r="Y832" s="32"/>
    </row>
    <row r="833" ht="15.75" customHeight="1">
      <c r="Y833" s="32"/>
    </row>
    <row r="834" ht="15.75" customHeight="1">
      <c r="Y834" s="32"/>
    </row>
    <row r="835" ht="15.75" customHeight="1">
      <c r="Y835" s="32"/>
    </row>
    <row r="836" ht="15.75" customHeight="1">
      <c r="Y836" s="32"/>
    </row>
    <row r="837" ht="15.75" customHeight="1">
      <c r="Y837" s="32"/>
    </row>
    <row r="838" ht="15.75" customHeight="1">
      <c r="Y838" s="32"/>
    </row>
    <row r="839" ht="15.75" customHeight="1">
      <c r="Y839" s="32"/>
    </row>
    <row r="840" ht="15.75" customHeight="1">
      <c r="Y840" s="32"/>
    </row>
    <row r="841" ht="15.75" customHeight="1">
      <c r="Y841" s="32"/>
    </row>
    <row r="842" ht="15.75" customHeight="1">
      <c r="Y842" s="32"/>
    </row>
    <row r="843" ht="15.75" customHeight="1">
      <c r="Y843" s="32"/>
    </row>
    <row r="844" ht="15.75" customHeight="1">
      <c r="Y844" s="32"/>
    </row>
    <row r="845" ht="15.75" customHeight="1">
      <c r="Y845" s="32"/>
    </row>
    <row r="846" ht="15.75" customHeight="1">
      <c r="Y846" s="32"/>
    </row>
    <row r="847" ht="15.75" customHeight="1">
      <c r="Y847" s="32"/>
    </row>
    <row r="848" ht="15.75" customHeight="1">
      <c r="Y848" s="32"/>
    </row>
    <row r="849" ht="15.75" customHeight="1">
      <c r="Y849" s="32"/>
    </row>
    <row r="850" ht="15.75" customHeight="1">
      <c r="Y850" s="32"/>
    </row>
    <row r="851" ht="15.75" customHeight="1">
      <c r="Y851" s="32"/>
    </row>
    <row r="852" ht="15.75" customHeight="1">
      <c r="Y852" s="32"/>
    </row>
    <row r="853" ht="15.75" customHeight="1">
      <c r="Y853" s="32"/>
    </row>
    <row r="854" ht="15.75" customHeight="1">
      <c r="Y854" s="32"/>
    </row>
    <row r="855" ht="15.75" customHeight="1">
      <c r="Y855" s="32"/>
    </row>
    <row r="856" ht="15.75" customHeight="1">
      <c r="Y856" s="32"/>
    </row>
    <row r="857" ht="15.75" customHeight="1">
      <c r="Y857" s="32"/>
    </row>
    <row r="858" ht="15.75" customHeight="1">
      <c r="Y858" s="32"/>
    </row>
    <row r="859" ht="15.75" customHeight="1">
      <c r="Y859" s="32"/>
    </row>
    <row r="860" ht="15.75" customHeight="1">
      <c r="Y860" s="32"/>
    </row>
    <row r="861" ht="15.75" customHeight="1">
      <c r="Y861" s="32"/>
    </row>
    <row r="862" ht="15.75" customHeight="1">
      <c r="Y862" s="32"/>
    </row>
    <row r="863" ht="15.75" customHeight="1">
      <c r="Y863" s="32"/>
    </row>
    <row r="864" ht="15.75" customHeight="1">
      <c r="Y864" s="32"/>
    </row>
    <row r="865" ht="15.75" customHeight="1">
      <c r="Y865" s="32"/>
    </row>
    <row r="866" ht="15.75" customHeight="1">
      <c r="Y866" s="32"/>
    </row>
    <row r="867" ht="15.75" customHeight="1">
      <c r="Y867" s="32"/>
    </row>
    <row r="868" ht="15.75" customHeight="1">
      <c r="Y868" s="32"/>
    </row>
    <row r="869" ht="15.75" customHeight="1">
      <c r="Y869" s="32"/>
    </row>
    <row r="870" ht="15.75" customHeight="1">
      <c r="Y870" s="32"/>
    </row>
    <row r="871" ht="15.75" customHeight="1">
      <c r="Y871" s="32"/>
    </row>
    <row r="872" ht="15.75" customHeight="1">
      <c r="Y872" s="32"/>
    </row>
    <row r="873" ht="15.75" customHeight="1">
      <c r="Y873" s="32"/>
    </row>
    <row r="874" ht="15.75" customHeight="1">
      <c r="Y874" s="32"/>
    </row>
    <row r="875" ht="15.75" customHeight="1">
      <c r="Y875" s="32"/>
    </row>
    <row r="876" ht="15.75" customHeight="1">
      <c r="Y876" s="32"/>
    </row>
    <row r="877" ht="15.75" customHeight="1">
      <c r="Y877" s="32"/>
    </row>
    <row r="878" ht="15.75" customHeight="1">
      <c r="Y878" s="32"/>
    </row>
    <row r="879" ht="15.75" customHeight="1">
      <c r="Y879" s="32"/>
    </row>
    <row r="880" ht="15.75" customHeight="1">
      <c r="Y880" s="32"/>
    </row>
    <row r="881" ht="15.75" customHeight="1">
      <c r="Y881" s="32"/>
    </row>
    <row r="882" ht="15.75" customHeight="1">
      <c r="Y882" s="32"/>
    </row>
    <row r="883" ht="15.75" customHeight="1">
      <c r="Y883" s="32"/>
    </row>
    <row r="884" ht="15.75" customHeight="1">
      <c r="Y884" s="32"/>
    </row>
    <row r="885" ht="15.75" customHeight="1">
      <c r="Y885" s="32"/>
    </row>
    <row r="886" ht="15.75" customHeight="1">
      <c r="Y886" s="32"/>
    </row>
    <row r="887" ht="15.75" customHeight="1">
      <c r="Y887" s="32"/>
    </row>
    <row r="888" ht="15.75" customHeight="1">
      <c r="Y888" s="32"/>
    </row>
    <row r="889" ht="15.75" customHeight="1">
      <c r="Y889" s="32"/>
    </row>
    <row r="890" ht="15.75" customHeight="1">
      <c r="Y890" s="32"/>
    </row>
    <row r="891" ht="15.75" customHeight="1">
      <c r="Y891" s="32"/>
    </row>
    <row r="892" ht="15.75" customHeight="1">
      <c r="Y892" s="32"/>
    </row>
    <row r="893" ht="15.75" customHeight="1">
      <c r="Y893" s="32"/>
    </row>
    <row r="894" ht="15.75" customHeight="1">
      <c r="Y894" s="32"/>
    </row>
    <row r="895" ht="15.75" customHeight="1">
      <c r="Y895" s="32"/>
    </row>
    <row r="896" ht="15.75" customHeight="1">
      <c r="Y896" s="32"/>
    </row>
    <row r="897" ht="15.75" customHeight="1">
      <c r="Y897" s="32"/>
    </row>
    <row r="898" ht="15.75" customHeight="1">
      <c r="Y898" s="32"/>
    </row>
    <row r="899" ht="15.75" customHeight="1">
      <c r="Y899" s="32"/>
    </row>
    <row r="900" ht="15.75" customHeight="1">
      <c r="Y900" s="32"/>
    </row>
    <row r="901" ht="15.75" customHeight="1">
      <c r="Y901" s="32"/>
    </row>
    <row r="902" ht="15.75" customHeight="1">
      <c r="Y902" s="32"/>
    </row>
    <row r="903" ht="15.75" customHeight="1">
      <c r="Y903" s="32"/>
    </row>
    <row r="904" ht="15.75" customHeight="1">
      <c r="Y904" s="32"/>
    </row>
    <row r="905" ht="15.75" customHeight="1">
      <c r="Y905" s="32"/>
    </row>
    <row r="906" ht="15.75" customHeight="1">
      <c r="Y906" s="32"/>
    </row>
    <row r="907" ht="15.75" customHeight="1">
      <c r="Y907" s="32"/>
    </row>
    <row r="908" ht="15.75" customHeight="1">
      <c r="Y908" s="32"/>
    </row>
    <row r="909" ht="15.75" customHeight="1">
      <c r="Y909" s="32"/>
    </row>
    <row r="910" ht="15.75" customHeight="1">
      <c r="Y910" s="32"/>
    </row>
    <row r="911" ht="15.75" customHeight="1">
      <c r="Y911" s="32"/>
    </row>
    <row r="912" ht="15.75" customHeight="1">
      <c r="Y912" s="32"/>
    </row>
    <row r="913" ht="15.75" customHeight="1">
      <c r="Y913" s="32"/>
    </row>
    <row r="914" ht="15.75" customHeight="1">
      <c r="Y914" s="32"/>
    </row>
    <row r="915" ht="15.75" customHeight="1">
      <c r="Y915" s="32"/>
    </row>
    <row r="916" ht="15.75" customHeight="1">
      <c r="Y916" s="32"/>
    </row>
    <row r="917" ht="15.75" customHeight="1">
      <c r="Y917" s="32"/>
    </row>
    <row r="918" ht="15.75" customHeight="1">
      <c r="Y918" s="32"/>
    </row>
    <row r="919" ht="15.75" customHeight="1">
      <c r="Y919" s="32"/>
    </row>
    <row r="920" ht="15.75" customHeight="1">
      <c r="Y920" s="32"/>
    </row>
    <row r="921" ht="15.75" customHeight="1">
      <c r="Y921" s="32"/>
    </row>
    <row r="922" ht="15.75" customHeight="1">
      <c r="Y922" s="32"/>
    </row>
    <row r="923" ht="15.75" customHeight="1">
      <c r="Y923" s="32"/>
    </row>
    <row r="924" ht="15.75" customHeight="1">
      <c r="Y924" s="32"/>
    </row>
    <row r="925" ht="15.75" customHeight="1">
      <c r="Y925" s="32"/>
    </row>
    <row r="926" ht="15.75" customHeight="1">
      <c r="Y926" s="32"/>
    </row>
    <row r="927" ht="15.75" customHeight="1">
      <c r="Y927" s="32"/>
    </row>
    <row r="928" ht="15.75" customHeight="1">
      <c r="Y928" s="32"/>
    </row>
    <row r="929" ht="15.75" customHeight="1">
      <c r="Y929" s="32"/>
    </row>
    <row r="930" ht="15.75" customHeight="1">
      <c r="Y930" s="32"/>
    </row>
    <row r="931" ht="15.75" customHeight="1">
      <c r="Y931" s="32"/>
    </row>
    <row r="932" ht="15.75" customHeight="1">
      <c r="Y932" s="32"/>
    </row>
    <row r="933" ht="15.75" customHeight="1">
      <c r="Y933" s="32"/>
    </row>
    <row r="934" ht="15.75" customHeight="1">
      <c r="Y934" s="32"/>
    </row>
    <row r="935" ht="15.75" customHeight="1">
      <c r="Y935" s="32"/>
    </row>
    <row r="936" ht="15.75" customHeight="1">
      <c r="Y936" s="32"/>
    </row>
    <row r="937" ht="15.75" customHeight="1">
      <c r="Y937" s="32"/>
    </row>
    <row r="938" ht="15.75" customHeight="1">
      <c r="Y938" s="32"/>
    </row>
    <row r="939" ht="15.75" customHeight="1">
      <c r="Y939" s="32"/>
    </row>
    <row r="940" ht="15.75" customHeight="1">
      <c r="Y940" s="32"/>
    </row>
    <row r="941" ht="15.75" customHeight="1">
      <c r="Y941" s="32"/>
    </row>
    <row r="942" ht="15.75" customHeight="1">
      <c r="Y942" s="32"/>
    </row>
    <row r="943" ht="15.75" customHeight="1">
      <c r="Y943" s="32"/>
    </row>
    <row r="944" ht="15.75" customHeight="1">
      <c r="Y944" s="32"/>
    </row>
    <row r="945" ht="15.75" customHeight="1">
      <c r="Y945" s="32"/>
    </row>
    <row r="946" ht="15.75" customHeight="1">
      <c r="Y946" s="32"/>
    </row>
    <row r="947" ht="15.75" customHeight="1">
      <c r="Y947" s="32"/>
    </row>
    <row r="948" ht="15.75" customHeight="1">
      <c r="Y948" s="32"/>
    </row>
    <row r="949" ht="15.75" customHeight="1">
      <c r="Y949" s="32"/>
    </row>
    <row r="950" ht="15.75" customHeight="1">
      <c r="Y950" s="32"/>
    </row>
    <row r="951" ht="15.75" customHeight="1">
      <c r="Y951" s="32"/>
    </row>
    <row r="952" ht="15.75" customHeight="1">
      <c r="Y952" s="32"/>
    </row>
    <row r="953" ht="15.75" customHeight="1">
      <c r="Y953" s="32"/>
    </row>
    <row r="954" ht="15.75" customHeight="1">
      <c r="Y954" s="32"/>
    </row>
    <row r="955" ht="15.75" customHeight="1">
      <c r="Y955" s="32"/>
    </row>
    <row r="956" ht="15.75" customHeight="1">
      <c r="Y956" s="32"/>
    </row>
    <row r="957" ht="15.75" customHeight="1">
      <c r="Y957" s="32"/>
    </row>
    <row r="958" ht="15.75" customHeight="1">
      <c r="Y958" s="32"/>
    </row>
    <row r="959" ht="15.75" customHeight="1">
      <c r="Y959" s="32"/>
    </row>
    <row r="960" ht="15.75" customHeight="1">
      <c r="Y960" s="32"/>
    </row>
    <row r="961" ht="15.75" customHeight="1">
      <c r="Y961" s="32"/>
    </row>
    <row r="962" ht="15.75" customHeight="1">
      <c r="Y962" s="32"/>
    </row>
    <row r="963" ht="15.75" customHeight="1">
      <c r="Y963" s="32"/>
    </row>
    <row r="964" ht="15.75" customHeight="1">
      <c r="Y964" s="32"/>
    </row>
    <row r="965" ht="15.75" customHeight="1">
      <c r="Y965" s="32"/>
    </row>
    <row r="966" ht="15.75" customHeight="1">
      <c r="Y966" s="32"/>
    </row>
    <row r="967" ht="15.75" customHeight="1">
      <c r="Y967" s="32"/>
    </row>
    <row r="968" ht="15.75" customHeight="1">
      <c r="Y968" s="32"/>
    </row>
    <row r="969" ht="15.75" customHeight="1">
      <c r="Y969" s="32"/>
    </row>
    <row r="970" ht="15.75" customHeight="1">
      <c r="Y970" s="32"/>
    </row>
    <row r="971" ht="15.75" customHeight="1">
      <c r="Y971" s="32"/>
    </row>
    <row r="972" ht="15.75" customHeight="1">
      <c r="Y972" s="32"/>
    </row>
    <row r="973" ht="15.75" customHeight="1">
      <c r="Y973" s="32"/>
    </row>
    <row r="974" ht="15.75" customHeight="1">
      <c r="Y974" s="32"/>
    </row>
    <row r="975" ht="15.75" customHeight="1">
      <c r="Y975" s="32"/>
    </row>
    <row r="976" ht="15.75" customHeight="1">
      <c r="Y976" s="32"/>
    </row>
    <row r="977" ht="15.75" customHeight="1">
      <c r="Y977" s="32"/>
    </row>
    <row r="978" ht="15.75" customHeight="1">
      <c r="Y978" s="32"/>
    </row>
    <row r="979" ht="15.75" customHeight="1">
      <c r="Y979" s="32"/>
    </row>
    <row r="980" ht="15.75" customHeight="1">
      <c r="Y980" s="32"/>
    </row>
    <row r="981" ht="15.75" customHeight="1">
      <c r="Y981" s="32"/>
    </row>
    <row r="982" ht="15.75" customHeight="1">
      <c r="Y982" s="32"/>
    </row>
    <row r="983" ht="15.75" customHeight="1">
      <c r="Y983" s="32"/>
    </row>
    <row r="984" ht="15.75" customHeight="1">
      <c r="Y984" s="32"/>
    </row>
    <row r="985" ht="15.75" customHeight="1">
      <c r="Y985" s="32"/>
    </row>
    <row r="986" ht="15.75" customHeight="1">
      <c r="Y986" s="32"/>
    </row>
    <row r="987" ht="15.75" customHeight="1">
      <c r="Y987" s="32"/>
    </row>
    <row r="988" ht="15.75" customHeight="1">
      <c r="Y988" s="32"/>
    </row>
    <row r="989" ht="15.75" customHeight="1">
      <c r="Y989" s="32"/>
    </row>
    <row r="990" ht="15.75" customHeight="1">
      <c r="Y990" s="32"/>
    </row>
    <row r="991" ht="15.75" customHeight="1">
      <c r="Y991" s="32"/>
    </row>
    <row r="992" ht="15.75" customHeight="1">
      <c r="Y992" s="32"/>
    </row>
    <row r="993" ht="15.75" customHeight="1">
      <c r="Y993" s="32"/>
    </row>
    <row r="994" ht="15.75" customHeight="1">
      <c r="Y994" s="32"/>
    </row>
    <row r="995" ht="15.75" customHeight="1">
      <c r="Y995" s="32"/>
    </row>
    <row r="996" ht="15.75" customHeight="1">
      <c r="Y996" s="32"/>
    </row>
    <row r="997" ht="15.75" customHeight="1">
      <c r="Y997" s="32"/>
    </row>
    <row r="998" ht="15.75" customHeight="1">
      <c r="Y998" s="32"/>
    </row>
  </sheetData>
  <customSheetViews>
    <customSheetView guid="{8962E7D7-C85B-48EB-8DD4-5594EA7A93D9}" filter="1" showAutoFilter="1">
      <autoFilter ref="$A$10:$S$38"/>
    </customSheetView>
  </customSheetViews>
  <conditionalFormatting sqref="M11:U39">
    <cfRule type="containsText" dxfId="2" priority="1" operator="containsText" text="OK">
      <formula>NOT(ISERROR(SEARCH(("OK"),(M11))))</formula>
    </cfRule>
  </conditionalFormatting>
  <conditionalFormatting sqref="M11:U39">
    <cfRule type="cellIs" dxfId="3" priority="2" operator="equal">
      <formula>"NG"</formula>
    </cfRule>
  </conditionalFormatting>
  <conditionalFormatting sqref="M11:U39">
    <cfRule type="cellIs" dxfId="4" priority="3" operator="equal">
      <formula>"NT"</formula>
    </cfRule>
  </conditionalFormatting>
  <conditionalFormatting sqref="M11:U39">
    <cfRule type="cellIs" dxfId="5" priority="4" operator="equal">
      <formula>"BK"</formula>
    </cfRule>
  </conditionalFormatting>
  <conditionalFormatting sqref="C11:K89">
    <cfRule type="expression" dxfId="6" priority="5">
      <formula>C10=C11</formula>
    </cfRule>
  </conditionalFormatting>
  <conditionalFormatting sqref="L11">
    <cfRule type="colorScale" priority="6">
      <colorScale>
        <cfvo type="min"/>
        <cfvo type="max"/>
        <color rgb="FFFFFFFF"/>
        <color rgb="FF57BB8A"/>
      </colorScale>
    </cfRule>
  </conditionalFormatting>
  <conditionalFormatting sqref="M11:U39">
    <cfRule type="cellIs" dxfId="4" priority="7" operator="equal">
      <formula>"対象外"</formula>
    </cfRule>
  </conditionalFormatting>
  <dataValidations>
    <dataValidation type="list" allowBlank="1" showErrorMessage="1" sqref="N2 R2 V2">
      <formula1>"Windows10,Android(SP),Android(TB)"</formula1>
    </dataValidation>
    <dataValidation type="list" allowBlank="1" sqref="M11:M39 Q11:Q39 U11:U39">
      <formula1>"OK,NG→OK,NG,保留,NT,対象外,BK"</formula1>
    </dataValidation>
  </dataValidation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4.86"/>
    <col customWidth="1" min="3" max="3" width="11.57"/>
    <col customWidth="1" min="4" max="4" width="8.43"/>
    <col customWidth="1" min="5" max="5" width="22.14"/>
    <col customWidth="1" min="6" max="7" width="14.29"/>
    <col customWidth="1" min="8" max="8" width="41.43"/>
    <col customWidth="1" min="9" max="9" width="32.57"/>
  </cols>
  <sheetData>
    <row r="1">
      <c r="E1" s="53"/>
      <c r="H1" s="53"/>
    </row>
    <row r="2">
      <c r="B2" s="112" t="s">
        <v>2</v>
      </c>
      <c r="C2" s="113" t="s">
        <v>137</v>
      </c>
      <c r="D2" s="113" t="s">
        <v>138</v>
      </c>
      <c r="E2" s="113" t="s">
        <v>139</v>
      </c>
      <c r="F2" s="113" t="s">
        <v>140</v>
      </c>
      <c r="G2" s="113" t="s">
        <v>141</v>
      </c>
      <c r="H2" s="113" t="s">
        <v>142</v>
      </c>
      <c r="I2" s="113" t="s">
        <v>143</v>
      </c>
    </row>
    <row r="3">
      <c r="B3" s="114">
        <f t="shared" ref="B3:B12" si="1">ROW()-ROW($B$2)</f>
        <v>1</v>
      </c>
      <c r="C3" s="115">
        <v>45518.0</v>
      </c>
      <c r="D3" s="116" t="s">
        <v>144</v>
      </c>
      <c r="E3" s="117" t="s">
        <v>22</v>
      </c>
      <c r="F3" s="116" t="s">
        <v>145</v>
      </c>
      <c r="G3" s="116" t="s">
        <v>43</v>
      </c>
      <c r="H3" s="117" t="s">
        <v>146</v>
      </c>
      <c r="I3" s="116" t="s">
        <v>147</v>
      </c>
    </row>
    <row r="4">
      <c r="B4" s="114">
        <f t="shared" si="1"/>
        <v>2</v>
      </c>
      <c r="C4" s="115">
        <v>45518.0</v>
      </c>
      <c r="D4" s="116" t="s">
        <v>144</v>
      </c>
      <c r="E4" s="117" t="s">
        <v>22</v>
      </c>
      <c r="F4" s="116" t="s">
        <v>148</v>
      </c>
      <c r="G4" s="116" t="s">
        <v>42</v>
      </c>
      <c r="H4" s="117" t="s">
        <v>149</v>
      </c>
      <c r="I4" s="116" t="s">
        <v>147</v>
      </c>
    </row>
    <row r="5">
      <c r="B5" s="114">
        <f t="shared" si="1"/>
        <v>3</v>
      </c>
      <c r="C5" s="118">
        <v>45518.0</v>
      </c>
      <c r="D5" s="119" t="s">
        <v>144</v>
      </c>
      <c r="E5" s="120" t="s">
        <v>22</v>
      </c>
      <c r="F5" s="116" t="s">
        <v>150</v>
      </c>
      <c r="G5" s="116" t="s">
        <v>151</v>
      </c>
      <c r="H5" s="117" t="s">
        <v>152</v>
      </c>
      <c r="I5" s="116" t="s">
        <v>147</v>
      </c>
    </row>
    <row r="6">
      <c r="B6" s="114">
        <f t="shared" si="1"/>
        <v>4</v>
      </c>
      <c r="C6" s="118">
        <v>45518.0</v>
      </c>
      <c r="D6" s="119" t="s">
        <v>144</v>
      </c>
      <c r="E6" s="120" t="s">
        <v>22</v>
      </c>
      <c r="F6" s="116" t="s">
        <v>153</v>
      </c>
      <c r="G6" s="116" t="s">
        <v>43</v>
      </c>
      <c r="H6" s="117" t="s">
        <v>154</v>
      </c>
      <c r="I6" s="116" t="s">
        <v>147</v>
      </c>
    </row>
    <row r="7">
      <c r="B7" s="114">
        <f t="shared" si="1"/>
        <v>5</v>
      </c>
      <c r="C7" s="115"/>
      <c r="D7" s="116"/>
      <c r="E7" s="117"/>
      <c r="F7" s="116"/>
      <c r="G7" s="116"/>
      <c r="H7" s="117"/>
      <c r="I7" s="116"/>
    </row>
    <row r="8">
      <c r="B8" s="114">
        <f t="shared" si="1"/>
        <v>6</v>
      </c>
      <c r="C8" s="115"/>
      <c r="D8" s="116"/>
      <c r="E8" s="117"/>
      <c r="F8" s="116"/>
      <c r="G8" s="116"/>
      <c r="H8" s="117"/>
      <c r="I8" s="116"/>
    </row>
    <row r="9">
      <c r="B9" s="114">
        <f t="shared" si="1"/>
        <v>7</v>
      </c>
      <c r="C9" s="115"/>
      <c r="D9" s="116"/>
      <c r="E9" s="117"/>
      <c r="F9" s="116"/>
      <c r="G9" s="116"/>
      <c r="H9" s="117"/>
      <c r="I9" s="116"/>
    </row>
    <row r="10">
      <c r="B10" s="114">
        <f t="shared" si="1"/>
        <v>8</v>
      </c>
      <c r="C10" s="115"/>
      <c r="D10" s="116"/>
      <c r="E10" s="117"/>
      <c r="F10" s="116"/>
      <c r="G10" s="116"/>
      <c r="H10" s="117"/>
      <c r="I10" s="116"/>
    </row>
    <row r="11">
      <c r="B11" s="114">
        <f t="shared" si="1"/>
        <v>9</v>
      </c>
      <c r="C11" s="115"/>
      <c r="D11" s="116"/>
      <c r="E11" s="117"/>
      <c r="F11" s="116"/>
      <c r="G11" s="116"/>
      <c r="H11" s="117"/>
      <c r="I11" s="116"/>
    </row>
    <row r="12">
      <c r="B12" s="114">
        <f t="shared" si="1"/>
        <v>10</v>
      </c>
      <c r="C12" s="115"/>
      <c r="D12" s="116"/>
      <c r="E12" s="117"/>
      <c r="F12" s="116"/>
      <c r="G12" s="116"/>
      <c r="H12" s="117"/>
      <c r="I12" s="116"/>
    </row>
    <row r="13">
      <c r="E13" s="53"/>
      <c r="H13" s="53"/>
    </row>
    <row r="14">
      <c r="E14" s="53"/>
      <c r="H14" s="53"/>
    </row>
    <row r="15">
      <c r="E15" s="53"/>
      <c r="H15" s="53"/>
    </row>
    <row r="16">
      <c r="E16" s="53"/>
      <c r="H16" s="53"/>
    </row>
    <row r="17">
      <c r="E17" s="53"/>
      <c r="H17" s="53"/>
    </row>
    <row r="18">
      <c r="E18" s="53"/>
      <c r="H18" s="53"/>
    </row>
    <row r="19">
      <c r="E19" s="53"/>
      <c r="H19" s="53"/>
    </row>
    <row r="20">
      <c r="E20" s="53"/>
      <c r="H20" s="53"/>
    </row>
    <row r="21" ht="15.75" customHeight="1">
      <c r="E21" s="53"/>
      <c r="H21" s="53"/>
    </row>
    <row r="22" ht="15.75" customHeight="1">
      <c r="E22" s="53"/>
      <c r="H22" s="53"/>
    </row>
    <row r="23" ht="15.75" customHeight="1">
      <c r="E23" s="53"/>
      <c r="H23" s="53"/>
    </row>
    <row r="24" ht="15.75" customHeight="1">
      <c r="E24" s="53"/>
      <c r="H24" s="53"/>
    </row>
    <row r="25" ht="15.75" customHeight="1">
      <c r="E25" s="53"/>
      <c r="H25" s="53"/>
    </row>
    <row r="26" ht="15.75" customHeight="1">
      <c r="E26" s="53"/>
      <c r="H26" s="53"/>
    </row>
    <row r="27" ht="15.75" customHeight="1">
      <c r="E27" s="53"/>
      <c r="H27" s="53"/>
    </row>
    <row r="28" ht="15.75" customHeight="1">
      <c r="E28" s="53"/>
      <c r="H28" s="53"/>
    </row>
    <row r="29" ht="15.75" customHeight="1">
      <c r="E29" s="53"/>
      <c r="H29" s="53"/>
    </row>
    <row r="30" ht="15.75" customHeight="1">
      <c r="E30" s="53"/>
      <c r="H30" s="53"/>
    </row>
    <row r="31" ht="15.75" customHeight="1">
      <c r="E31" s="53"/>
      <c r="H31" s="53"/>
    </row>
    <row r="32" ht="15.75" customHeight="1">
      <c r="E32" s="53"/>
      <c r="H32" s="53"/>
    </row>
    <row r="33" ht="15.75" customHeight="1">
      <c r="E33" s="53"/>
      <c r="H33" s="53"/>
    </row>
    <row r="34" ht="15.75" customHeight="1">
      <c r="E34" s="53"/>
      <c r="H34" s="53"/>
    </row>
    <row r="35" ht="15.75" customHeight="1">
      <c r="E35" s="53"/>
      <c r="H35" s="53"/>
    </row>
    <row r="36" ht="15.75" customHeight="1">
      <c r="E36" s="53"/>
      <c r="H36" s="53"/>
    </row>
    <row r="37" ht="15.75" customHeight="1">
      <c r="E37" s="53"/>
      <c r="H37" s="53"/>
    </row>
    <row r="38" ht="15.75" customHeight="1">
      <c r="E38" s="53"/>
      <c r="H38" s="53"/>
    </row>
    <row r="39" ht="15.75" customHeight="1">
      <c r="E39" s="53"/>
      <c r="H39" s="53"/>
    </row>
    <row r="40" ht="15.75" customHeight="1">
      <c r="E40" s="53"/>
      <c r="H40" s="53"/>
    </row>
    <row r="41" ht="15.75" customHeight="1">
      <c r="E41" s="53"/>
      <c r="H41" s="53"/>
    </row>
    <row r="42" ht="15.75" customHeight="1">
      <c r="E42" s="53"/>
      <c r="H42" s="53"/>
    </row>
    <row r="43" ht="15.75" customHeight="1">
      <c r="E43" s="53"/>
      <c r="H43" s="53"/>
    </row>
    <row r="44" ht="15.75" customHeight="1">
      <c r="E44" s="53"/>
      <c r="H44" s="53"/>
    </row>
    <row r="45" ht="15.75" customHeight="1">
      <c r="E45" s="53"/>
      <c r="H45" s="53"/>
    </row>
    <row r="46" ht="15.75" customHeight="1">
      <c r="E46" s="53"/>
      <c r="H46" s="53"/>
    </row>
    <row r="47" ht="15.75" customHeight="1">
      <c r="E47" s="53"/>
      <c r="H47" s="53"/>
    </row>
    <row r="48" ht="15.75" customHeight="1">
      <c r="E48" s="53"/>
      <c r="H48" s="53"/>
    </row>
    <row r="49" ht="15.75" customHeight="1">
      <c r="E49" s="53"/>
      <c r="H49" s="53"/>
    </row>
    <row r="50" ht="15.75" customHeight="1">
      <c r="E50" s="53"/>
      <c r="H50" s="53"/>
    </row>
    <row r="51" ht="15.75" customHeight="1">
      <c r="E51" s="53"/>
      <c r="H51" s="53"/>
    </row>
    <row r="52" ht="15.75" customHeight="1">
      <c r="E52" s="53"/>
      <c r="H52" s="53"/>
    </row>
    <row r="53" ht="15.75" customHeight="1">
      <c r="E53" s="53"/>
      <c r="H53" s="53"/>
    </row>
    <row r="54" ht="15.75" customHeight="1">
      <c r="E54" s="53"/>
      <c r="H54" s="53"/>
    </row>
    <row r="55" ht="15.75" customHeight="1">
      <c r="E55" s="53"/>
      <c r="H55" s="53"/>
    </row>
    <row r="56" ht="15.75" customHeight="1">
      <c r="E56" s="53"/>
      <c r="H56" s="53"/>
    </row>
    <row r="57" ht="15.75" customHeight="1">
      <c r="E57" s="53"/>
      <c r="H57" s="53"/>
    </row>
    <row r="58" ht="15.75" customHeight="1">
      <c r="E58" s="53"/>
      <c r="H58" s="53"/>
    </row>
    <row r="59" ht="15.75" customHeight="1">
      <c r="E59" s="53"/>
      <c r="H59" s="53"/>
    </row>
    <row r="60" ht="15.75" customHeight="1">
      <c r="E60" s="53"/>
      <c r="H60" s="53"/>
    </row>
    <row r="61" ht="15.75" customHeight="1">
      <c r="E61" s="53"/>
      <c r="H61" s="53"/>
    </row>
    <row r="62" ht="15.75" customHeight="1">
      <c r="E62" s="53"/>
      <c r="H62" s="53"/>
    </row>
    <row r="63" ht="15.75" customHeight="1">
      <c r="E63" s="53"/>
      <c r="H63" s="53"/>
    </row>
    <row r="64" ht="15.75" customHeight="1">
      <c r="E64" s="53"/>
      <c r="H64" s="53"/>
    </row>
    <row r="65" ht="15.75" customHeight="1">
      <c r="E65" s="53"/>
      <c r="H65" s="53"/>
    </row>
    <row r="66" ht="15.75" customHeight="1">
      <c r="E66" s="53"/>
      <c r="H66" s="53"/>
    </row>
    <row r="67" ht="15.75" customHeight="1">
      <c r="E67" s="53"/>
      <c r="H67" s="53"/>
    </row>
    <row r="68" ht="15.75" customHeight="1">
      <c r="E68" s="53"/>
      <c r="H68" s="53"/>
    </row>
    <row r="69" ht="15.75" customHeight="1">
      <c r="E69" s="53"/>
      <c r="H69" s="53"/>
    </row>
    <row r="70" ht="15.75" customHeight="1">
      <c r="E70" s="53"/>
      <c r="H70" s="53"/>
    </row>
    <row r="71" ht="15.75" customHeight="1">
      <c r="E71" s="53"/>
      <c r="H71" s="53"/>
    </row>
    <row r="72" ht="15.75" customHeight="1">
      <c r="E72" s="53"/>
      <c r="H72" s="53"/>
    </row>
    <row r="73" ht="15.75" customHeight="1">
      <c r="E73" s="53"/>
      <c r="H73" s="53"/>
    </row>
    <row r="74" ht="15.75" customHeight="1">
      <c r="E74" s="53"/>
      <c r="H74" s="53"/>
    </row>
    <row r="75" ht="15.75" customHeight="1">
      <c r="E75" s="53"/>
      <c r="H75" s="53"/>
    </row>
    <row r="76" ht="15.75" customHeight="1">
      <c r="E76" s="53"/>
      <c r="H76" s="53"/>
    </row>
    <row r="77" ht="15.75" customHeight="1">
      <c r="E77" s="53"/>
      <c r="H77" s="53"/>
    </row>
    <row r="78" ht="15.75" customHeight="1">
      <c r="E78" s="53"/>
      <c r="H78" s="53"/>
    </row>
    <row r="79" ht="15.75" customHeight="1">
      <c r="E79" s="53"/>
      <c r="H79" s="53"/>
    </row>
    <row r="80" ht="15.75" customHeight="1">
      <c r="E80" s="53"/>
      <c r="H80" s="53"/>
    </row>
    <row r="81" ht="15.75" customHeight="1">
      <c r="E81" s="53"/>
      <c r="H81" s="53"/>
    </row>
    <row r="82" ht="15.75" customHeight="1">
      <c r="E82" s="53"/>
      <c r="H82" s="53"/>
    </row>
    <row r="83" ht="15.75" customHeight="1">
      <c r="E83" s="53"/>
      <c r="H83" s="53"/>
    </row>
    <row r="84" ht="15.75" customHeight="1">
      <c r="E84" s="53"/>
      <c r="H84" s="53"/>
    </row>
    <row r="85" ht="15.75" customHeight="1">
      <c r="E85" s="53"/>
      <c r="H85" s="53"/>
    </row>
    <row r="86" ht="15.75" customHeight="1">
      <c r="E86" s="53"/>
      <c r="H86" s="53"/>
    </row>
    <row r="87" ht="15.75" customHeight="1">
      <c r="E87" s="53"/>
      <c r="H87" s="53"/>
    </row>
    <row r="88" ht="15.75" customHeight="1">
      <c r="E88" s="53"/>
      <c r="H88" s="53"/>
    </row>
    <row r="89" ht="15.75" customHeight="1">
      <c r="E89" s="53"/>
      <c r="H89" s="53"/>
    </row>
    <row r="90" ht="15.75" customHeight="1">
      <c r="E90" s="53"/>
      <c r="H90" s="53"/>
    </row>
    <row r="91" ht="15.75" customHeight="1">
      <c r="E91" s="53"/>
      <c r="H91" s="53"/>
    </row>
    <row r="92" ht="15.75" customHeight="1">
      <c r="E92" s="53"/>
      <c r="H92" s="53"/>
    </row>
    <row r="93" ht="15.75" customHeight="1">
      <c r="E93" s="53"/>
      <c r="H93" s="53"/>
    </row>
    <row r="94" ht="15.75" customHeight="1">
      <c r="E94" s="53"/>
      <c r="H94" s="53"/>
    </row>
    <row r="95" ht="15.75" customHeight="1">
      <c r="E95" s="53"/>
      <c r="H95" s="53"/>
    </row>
    <row r="96" ht="15.75" customHeight="1">
      <c r="E96" s="53"/>
      <c r="H96" s="53"/>
    </row>
    <row r="97" ht="15.75" customHeight="1">
      <c r="E97" s="53"/>
      <c r="H97" s="53"/>
    </row>
    <row r="98" ht="15.75" customHeight="1">
      <c r="E98" s="53"/>
      <c r="H98" s="53"/>
    </row>
    <row r="99" ht="15.75" customHeight="1">
      <c r="E99" s="53"/>
      <c r="H99" s="53"/>
    </row>
    <row r="100" ht="15.75" customHeight="1">
      <c r="E100" s="53"/>
      <c r="H100" s="53"/>
    </row>
    <row r="101" ht="15.75" customHeight="1">
      <c r="E101" s="53"/>
      <c r="H101" s="53"/>
    </row>
    <row r="102" ht="15.75" customHeight="1">
      <c r="E102" s="53"/>
      <c r="H102" s="53"/>
    </row>
    <row r="103" ht="15.75" customHeight="1">
      <c r="E103" s="53"/>
      <c r="H103" s="53"/>
    </row>
    <row r="104" ht="15.75" customHeight="1">
      <c r="E104" s="53"/>
      <c r="H104" s="53"/>
    </row>
    <row r="105" ht="15.75" customHeight="1">
      <c r="E105" s="53"/>
      <c r="H105" s="53"/>
    </row>
    <row r="106" ht="15.75" customHeight="1">
      <c r="E106" s="53"/>
      <c r="H106" s="53"/>
    </row>
    <row r="107" ht="15.75" customHeight="1">
      <c r="E107" s="53"/>
      <c r="H107" s="53"/>
    </row>
    <row r="108" ht="15.75" customHeight="1">
      <c r="E108" s="53"/>
      <c r="H108" s="53"/>
    </row>
    <row r="109" ht="15.75" customHeight="1">
      <c r="E109" s="53"/>
      <c r="H109" s="53"/>
    </row>
    <row r="110" ht="15.75" customHeight="1">
      <c r="E110" s="53"/>
      <c r="H110" s="53"/>
    </row>
    <row r="111" ht="15.75" customHeight="1">
      <c r="E111" s="53"/>
      <c r="H111" s="53"/>
    </row>
    <row r="112" ht="15.75" customHeight="1">
      <c r="E112" s="53"/>
      <c r="H112" s="53"/>
    </row>
    <row r="113" ht="15.75" customHeight="1">
      <c r="E113" s="53"/>
      <c r="H113" s="53"/>
    </row>
    <row r="114" ht="15.75" customHeight="1">
      <c r="E114" s="53"/>
      <c r="H114" s="53"/>
    </row>
    <row r="115" ht="15.75" customHeight="1">
      <c r="E115" s="53"/>
      <c r="H115" s="53"/>
    </row>
    <row r="116" ht="15.75" customHeight="1">
      <c r="E116" s="53"/>
      <c r="H116" s="53"/>
    </row>
    <row r="117" ht="15.75" customHeight="1">
      <c r="E117" s="53"/>
      <c r="H117" s="53"/>
    </row>
    <row r="118" ht="15.75" customHeight="1">
      <c r="E118" s="53"/>
      <c r="H118" s="53"/>
    </row>
    <row r="119" ht="15.75" customHeight="1">
      <c r="E119" s="53"/>
      <c r="H119" s="53"/>
    </row>
    <row r="120" ht="15.75" customHeight="1">
      <c r="E120" s="53"/>
      <c r="H120" s="53"/>
    </row>
    <row r="121" ht="15.75" customHeight="1">
      <c r="E121" s="53"/>
      <c r="H121" s="53"/>
    </row>
    <row r="122" ht="15.75" customHeight="1">
      <c r="E122" s="53"/>
      <c r="H122" s="53"/>
    </row>
    <row r="123" ht="15.75" customHeight="1">
      <c r="E123" s="53"/>
      <c r="H123" s="53"/>
    </row>
    <row r="124" ht="15.75" customHeight="1">
      <c r="E124" s="53"/>
      <c r="H124" s="53"/>
    </row>
    <row r="125" ht="15.75" customHeight="1">
      <c r="E125" s="53"/>
      <c r="H125" s="53"/>
    </row>
    <row r="126" ht="15.75" customHeight="1">
      <c r="E126" s="53"/>
      <c r="H126" s="53"/>
    </row>
    <row r="127" ht="15.75" customHeight="1">
      <c r="E127" s="53"/>
      <c r="H127" s="53"/>
    </row>
    <row r="128" ht="15.75" customHeight="1">
      <c r="E128" s="53"/>
      <c r="H128" s="53"/>
    </row>
    <row r="129" ht="15.75" customHeight="1">
      <c r="E129" s="53"/>
      <c r="H129" s="53"/>
    </row>
    <row r="130" ht="15.75" customHeight="1">
      <c r="E130" s="53"/>
      <c r="H130" s="53"/>
    </row>
    <row r="131" ht="15.75" customHeight="1">
      <c r="E131" s="53"/>
      <c r="H131" s="53"/>
    </row>
    <row r="132" ht="15.75" customHeight="1">
      <c r="E132" s="53"/>
      <c r="H132" s="53"/>
    </row>
    <row r="133" ht="15.75" customHeight="1">
      <c r="E133" s="53"/>
      <c r="H133" s="53"/>
    </row>
    <row r="134" ht="15.75" customHeight="1">
      <c r="E134" s="53"/>
      <c r="H134" s="53"/>
    </row>
    <row r="135" ht="15.75" customHeight="1">
      <c r="E135" s="53"/>
      <c r="H135" s="53"/>
    </row>
    <row r="136" ht="15.75" customHeight="1">
      <c r="E136" s="53"/>
      <c r="H136" s="53"/>
    </row>
    <row r="137" ht="15.75" customHeight="1">
      <c r="E137" s="53"/>
      <c r="H137" s="53"/>
    </row>
    <row r="138" ht="15.75" customHeight="1">
      <c r="E138" s="53"/>
      <c r="H138" s="53"/>
    </row>
    <row r="139" ht="15.75" customHeight="1">
      <c r="E139" s="53"/>
      <c r="H139" s="53"/>
    </row>
    <row r="140" ht="15.75" customHeight="1">
      <c r="E140" s="53"/>
      <c r="H140" s="53"/>
    </row>
    <row r="141" ht="15.75" customHeight="1">
      <c r="E141" s="53"/>
      <c r="H141" s="53"/>
    </row>
    <row r="142" ht="15.75" customHeight="1">
      <c r="E142" s="53"/>
      <c r="H142" s="53"/>
    </row>
    <row r="143" ht="15.75" customHeight="1">
      <c r="E143" s="53"/>
      <c r="H143" s="53"/>
    </row>
    <row r="144" ht="15.75" customHeight="1">
      <c r="E144" s="53"/>
      <c r="H144" s="53"/>
    </row>
    <row r="145" ht="15.75" customHeight="1">
      <c r="E145" s="53"/>
      <c r="H145" s="53"/>
    </row>
    <row r="146" ht="15.75" customHeight="1">
      <c r="E146" s="53"/>
      <c r="H146" s="53"/>
    </row>
    <row r="147" ht="15.75" customHeight="1">
      <c r="E147" s="53"/>
      <c r="H147" s="53"/>
    </row>
    <row r="148" ht="15.75" customHeight="1">
      <c r="E148" s="53"/>
      <c r="H148" s="53"/>
    </row>
    <row r="149" ht="15.75" customHeight="1">
      <c r="E149" s="53"/>
      <c r="H149" s="53"/>
    </row>
    <row r="150" ht="15.75" customHeight="1">
      <c r="E150" s="53"/>
      <c r="H150" s="53"/>
    </row>
    <row r="151" ht="15.75" customHeight="1">
      <c r="E151" s="53"/>
      <c r="H151" s="53"/>
    </row>
    <row r="152" ht="15.75" customHeight="1">
      <c r="E152" s="53"/>
      <c r="H152" s="53"/>
    </row>
    <row r="153" ht="15.75" customHeight="1">
      <c r="E153" s="53"/>
      <c r="H153" s="53"/>
    </row>
    <row r="154" ht="15.75" customHeight="1">
      <c r="E154" s="53"/>
      <c r="H154" s="53"/>
    </row>
    <row r="155" ht="15.75" customHeight="1">
      <c r="E155" s="53"/>
      <c r="H155" s="53"/>
    </row>
    <row r="156" ht="15.75" customHeight="1">
      <c r="E156" s="53"/>
      <c r="H156" s="53"/>
    </row>
    <row r="157" ht="15.75" customHeight="1">
      <c r="E157" s="53"/>
      <c r="H157" s="53"/>
    </row>
    <row r="158" ht="15.75" customHeight="1">
      <c r="E158" s="53"/>
      <c r="H158" s="53"/>
    </row>
    <row r="159" ht="15.75" customHeight="1">
      <c r="E159" s="53"/>
      <c r="H159" s="53"/>
    </row>
    <row r="160" ht="15.75" customHeight="1">
      <c r="E160" s="53"/>
      <c r="H160" s="53"/>
    </row>
    <row r="161" ht="15.75" customHeight="1">
      <c r="E161" s="53"/>
      <c r="H161" s="53"/>
    </row>
    <row r="162" ht="15.75" customHeight="1">
      <c r="E162" s="53"/>
      <c r="H162" s="53"/>
    </row>
    <row r="163" ht="15.75" customHeight="1">
      <c r="E163" s="53"/>
      <c r="H163" s="53"/>
    </row>
    <row r="164" ht="15.75" customHeight="1">
      <c r="E164" s="53"/>
      <c r="H164" s="53"/>
    </row>
    <row r="165" ht="15.75" customHeight="1">
      <c r="E165" s="53"/>
      <c r="H165" s="53"/>
    </row>
    <row r="166" ht="15.75" customHeight="1">
      <c r="E166" s="53"/>
      <c r="H166" s="53"/>
    </row>
    <row r="167" ht="15.75" customHeight="1">
      <c r="E167" s="53"/>
      <c r="H167" s="53"/>
    </row>
    <row r="168" ht="15.75" customHeight="1">
      <c r="E168" s="53"/>
      <c r="H168" s="53"/>
    </row>
    <row r="169" ht="15.75" customHeight="1">
      <c r="E169" s="53"/>
      <c r="H169" s="53"/>
    </row>
    <row r="170" ht="15.75" customHeight="1">
      <c r="E170" s="53"/>
      <c r="H170" s="53"/>
    </row>
    <row r="171" ht="15.75" customHeight="1">
      <c r="E171" s="53"/>
      <c r="H171" s="53"/>
    </row>
    <row r="172" ht="15.75" customHeight="1">
      <c r="E172" s="53"/>
      <c r="H172" s="53"/>
    </row>
    <row r="173" ht="15.75" customHeight="1">
      <c r="E173" s="53"/>
      <c r="H173" s="53"/>
    </row>
    <row r="174" ht="15.75" customHeight="1">
      <c r="E174" s="53"/>
      <c r="H174" s="53"/>
    </row>
    <row r="175" ht="15.75" customHeight="1">
      <c r="E175" s="53"/>
      <c r="H175" s="53"/>
    </row>
    <row r="176" ht="15.75" customHeight="1">
      <c r="E176" s="53"/>
      <c r="H176" s="53"/>
    </row>
    <row r="177" ht="15.75" customHeight="1">
      <c r="E177" s="53"/>
      <c r="H177" s="53"/>
    </row>
    <row r="178" ht="15.75" customHeight="1">
      <c r="E178" s="53"/>
      <c r="H178" s="53"/>
    </row>
    <row r="179" ht="15.75" customHeight="1">
      <c r="E179" s="53"/>
      <c r="H179" s="53"/>
    </row>
    <row r="180" ht="15.75" customHeight="1">
      <c r="E180" s="53"/>
      <c r="H180" s="53"/>
    </row>
    <row r="181" ht="15.75" customHeight="1">
      <c r="E181" s="53"/>
      <c r="H181" s="53"/>
    </row>
    <row r="182" ht="15.75" customHeight="1">
      <c r="E182" s="53"/>
      <c r="H182" s="53"/>
    </row>
    <row r="183" ht="15.75" customHeight="1">
      <c r="E183" s="53"/>
      <c r="H183" s="53"/>
    </row>
    <row r="184" ht="15.75" customHeight="1">
      <c r="E184" s="53"/>
      <c r="H184" s="53"/>
    </row>
    <row r="185" ht="15.75" customHeight="1">
      <c r="E185" s="53"/>
      <c r="H185" s="53"/>
    </row>
    <row r="186" ht="15.75" customHeight="1">
      <c r="E186" s="53"/>
      <c r="H186" s="53"/>
    </row>
    <row r="187" ht="15.75" customHeight="1">
      <c r="E187" s="53"/>
      <c r="H187" s="53"/>
    </row>
    <row r="188" ht="15.75" customHeight="1">
      <c r="E188" s="53"/>
      <c r="H188" s="53"/>
    </row>
    <row r="189" ht="15.75" customHeight="1">
      <c r="E189" s="53"/>
      <c r="H189" s="53"/>
    </row>
    <row r="190" ht="15.75" customHeight="1">
      <c r="E190" s="53"/>
      <c r="H190" s="53"/>
    </row>
    <row r="191" ht="15.75" customHeight="1">
      <c r="E191" s="53"/>
      <c r="H191" s="53"/>
    </row>
    <row r="192" ht="15.75" customHeight="1">
      <c r="E192" s="53"/>
      <c r="H192" s="53"/>
    </row>
    <row r="193" ht="15.75" customHeight="1">
      <c r="E193" s="53"/>
      <c r="H193" s="53"/>
    </row>
    <row r="194" ht="15.75" customHeight="1">
      <c r="E194" s="53"/>
      <c r="H194" s="53"/>
    </row>
    <row r="195" ht="15.75" customHeight="1">
      <c r="E195" s="53"/>
      <c r="H195" s="53"/>
    </row>
    <row r="196" ht="15.75" customHeight="1">
      <c r="E196" s="53"/>
      <c r="H196" s="53"/>
    </row>
    <row r="197" ht="15.75" customHeight="1">
      <c r="E197" s="53"/>
      <c r="H197" s="53"/>
    </row>
    <row r="198" ht="15.75" customHeight="1">
      <c r="E198" s="53"/>
      <c r="H198" s="53"/>
    </row>
    <row r="199" ht="15.75" customHeight="1">
      <c r="E199" s="53"/>
      <c r="H199" s="53"/>
    </row>
    <row r="200" ht="15.75" customHeight="1">
      <c r="E200" s="53"/>
      <c r="H200" s="53"/>
    </row>
    <row r="201" ht="15.75" customHeight="1">
      <c r="E201" s="53"/>
      <c r="H201" s="53"/>
    </row>
    <row r="202" ht="15.75" customHeight="1">
      <c r="E202" s="53"/>
      <c r="H202" s="53"/>
    </row>
    <row r="203" ht="15.75" customHeight="1">
      <c r="E203" s="53"/>
      <c r="H203" s="53"/>
    </row>
    <row r="204" ht="15.75" customHeight="1">
      <c r="E204" s="53"/>
      <c r="H204" s="53"/>
    </row>
    <row r="205" ht="15.75" customHeight="1">
      <c r="E205" s="53"/>
      <c r="H205" s="53"/>
    </row>
    <row r="206" ht="15.75" customHeight="1">
      <c r="E206" s="53"/>
      <c r="H206" s="53"/>
    </row>
    <row r="207" ht="15.75" customHeight="1">
      <c r="E207" s="53"/>
      <c r="H207" s="53"/>
    </row>
    <row r="208" ht="15.75" customHeight="1">
      <c r="E208" s="53"/>
      <c r="H208" s="53"/>
    </row>
    <row r="209" ht="15.75" customHeight="1">
      <c r="E209" s="53"/>
      <c r="H209" s="53"/>
    </row>
    <row r="210" ht="15.75" customHeight="1">
      <c r="E210" s="53"/>
      <c r="H210" s="53"/>
    </row>
    <row r="211" ht="15.75" customHeight="1">
      <c r="E211" s="53"/>
      <c r="H211" s="53"/>
    </row>
    <row r="212" ht="15.75" customHeight="1">
      <c r="E212" s="53"/>
      <c r="H212" s="53"/>
    </row>
    <row r="213" ht="15.75" customHeight="1">
      <c r="E213" s="53"/>
      <c r="H213" s="53"/>
    </row>
    <row r="214" ht="15.75" customHeight="1">
      <c r="E214" s="53"/>
      <c r="H214" s="53"/>
    </row>
    <row r="215" ht="15.75" customHeight="1">
      <c r="E215" s="53"/>
      <c r="H215" s="53"/>
    </row>
    <row r="216" ht="15.75" customHeight="1">
      <c r="E216" s="53"/>
      <c r="H216" s="53"/>
    </row>
    <row r="217" ht="15.75" customHeight="1">
      <c r="E217" s="53"/>
      <c r="H217" s="53"/>
    </row>
    <row r="218" ht="15.75" customHeight="1">
      <c r="E218" s="53"/>
      <c r="H218" s="53"/>
    </row>
    <row r="219" ht="15.75" customHeight="1">
      <c r="E219" s="53"/>
      <c r="H219" s="53"/>
    </row>
    <row r="220" ht="15.75" customHeight="1">
      <c r="E220" s="53"/>
      <c r="H220" s="53"/>
    </row>
    <row r="221" ht="15.75" customHeight="1">
      <c r="E221" s="53"/>
      <c r="H221" s="53"/>
    </row>
    <row r="222" ht="15.75" customHeight="1">
      <c r="E222" s="53"/>
      <c r="H222" s="53"/>
    </row>
    <row r="223" ht="15.75" customHeight="1">
      <c r="E223" s="53"/>
      <c r="H223" s="53"/>
    </row>
    <row r="224" ht="15.75" customHeight="1">
      <c r="E224" s="53"/>
      <c r="H224" s="53"/>
    </row>
    <row r="225" ht="15.75" customHeight="1">
      <c r="E225" s="53"/>
      <c r="H225" s="53"/>
    </row>
    <row r="226" ht="15.75" customHeight="1">
      <c r="E226" s="53"/>
      <c r="H226" s="53"/>
    </row>
    <row r="227" ht="15.75" customHeight="1">
      <c r="E227" s="53"/>
      <c r="H227" s="53"/>
    </row>
    <row r="228" ht="15.75" customHeight="1">
      <c r="E228" s="53"/>
      <c r="H228" s="53"/>
    </row>
    <row r="229" ht="15.75" customHeight="1">
      <c r="E229" s="53"/>
      <c r="H229" s="53"/>
    </row>
    <row r="230" ht="15.75" customHeight="1">
      <c r="E230" s="53"/>
      <c r="H230" s="53"/>
    </row>
    <row r="231" ht="15.75" customHeight="1">
      <c r="E231" s="53"/>
      <c r="H231" s="53"/>
    </row>
    <row r="232" ht="15.75" customHeight="1">
      <c r="E232" s="53"/>
      <c r="H232" s="53"/>
    </row>
    <row r="233" ht="15.75" customHeight="1">
      <c r="E233" s="53"/>
      <c r="H233" s="53"/>
    </row>
    <row r="234" ht="15.75" customHeight="1">
      <c r="E234" s="53"/>
      <c r="H234" s="53"/>
    </row>
    <row r="235" ht="15.75" customHeight="1">
      <c r="E235" s="53"/>
      <c r="H235" s="53"/>
    </row>
    <row r="236" ht="15.75" customHeight="1">
      <c r="E236" s="53"/>
      <c r="H236" s="53"/>
    </row>
    <row r="237" ht="15.75" customHeight="1">
      <c r="E237" s="53"/>
      <c r="H237" s="53"/>
    </row>
    <row r="238" ht="15.75" customHeight="1">
      <c r="E238" s="53"/>
      <c r="H238" s="53"/>
    </row>
    <row r="239" ht="15.75" customHeight="1">
      <c r="E239" s="53"/>
      <c r="H239" s="53"/>
    </row>
    <row r="240" ht="15.75" customHeight="1">
      <c r="E240" s="53"/>
      <c r="H240" s="53"/>
    </row>
    <row r="241" ht="15.75" customHeight="1">
      <c r="E241" s="53"/>
      <c r="H241" s="53"/>
    </row>
    <row r="242" ht="15.75" customHeight="1">
      <c r="E242" s="53"/>
      <c r="H242" s="53"/>
    </row>
    <row r="243" ht="15.75" customHeight="1">
      <c r="E243" s="53"/>
      <c r="H243" s="53"/>
    </row>
    <row r="244" ht="15.75" customHeight="1">
      <c r="E244" s="53"/>
      <c r="H244" s="53"/>
    </row>
    <row r="245" ht="15.75" customHeight="1">
      <c r="E245" s="53"/>
      <c r="H245" s="53"/>
    </row>
    <row r="246" ht="15.75" customHeight="1">
      <c r="E246" s="53"/>
      <c r="H246" s="53"/>
    </row>
    <row r="247" ht="15.75" customHeight="1">
      <c r="E247" s="53"/>
      <c r="H247" s="53"/>
    </row>
    <row r="248" ht="15.75" customHeight="1">
      <c r="E248" s="53"/>
      <c r="H248" s="53"/>
    </row>
    <row r="249" ht="15.75" customHeight="1">
      <c r="E249" s="53"/>
      <c r="H249" s="53"/>
    </row>
    <row r="250" ht="15.75" customHeight="1">
      <c r="E250" s="53"/>
      <c r="H250" s="53"/>
    </row>
    <row r="251" ht="15.75" customHeight="1">
      <c r="E251" s="53"/>
      <c r="H251" s="53"/>
    </row>
    <row r="252" ht="15.75" customHeight="1">
      <c r="E252" s="53"/>
      <c r="H252" s="53"/>
    </row>
    <row r="253" ht="15.75" customHeight="1">
      <c r="E253" s="53"/>
      <c r="H253" s="53"/>
    </row>
    <row r="254" ht="15.75" customHeight="1">
      <c r="E254" s="53"/>
      <c r="H254" s="53"/>
    </row>
    <row r="255" ht="15.75" customHeight="1">
      <c r="E255" s="53"/>
      <c r="H255" s="53"/>
    </row>
    <row r="256" ht="15.75" customHeight="1">
      <c r="E256" s="53"/>
      <c r="H256" s="53"/>
    </row>
    <row r="257" ht="15.75" customHeight="1">
      <c r="E257" s="53"/>
      <c r="H257" s="53"/>
    </row>
    <row r="258" ht="15.75" customHeight="1">
      <c r="E258" s="53"/>
      <c r="H258" s="53"/>
    </row>
    <row r="259" ht="15.75" customHeight="1">
      <c r="E259" s="53"/>
      <c r="H259" s="53"/>
    </row>
    <row r="260" ht="15.75" customHeight="1">
      <c r="E260" s="53"/>
      <c r="H260" s="53"/>
    </row>
    <row r="261" ht="15.75" customHeight="1">
      <c r="E261" s="53"/>
      <c r="H261" s="53"/>
    </row>
    <row r="262" ht="15.75" customHeight="1">
      <c r="E262" s="53"/>
      <c r="H262" s="53"/>
    </row>
    <row r="263" ht="15.75" customHeight="1">
      <c r="E263" s="53"/>
      <c r="H263" s="53"/>
    </row>
    <row r="264" ht="15.75" customHeight="1">
      <c r="E264" s="53"/>
      <c r="H264" s="53"/>
    </row>
    <row r="265" ht="15.75" customHeight="1">
      <c r="E265" s="53"/>
      <c r="H265" s="53"/>
    </row>
    <row r="266" ht="15.75" customHeight="1">
      <c r="E266" s="53"/>
      <c r="H266" s="53"/>
    </row>
    <row r="267" ht="15.75" customHeight="1">
      <c r="E267" s="53"/>
      <c r="H267" s="53"/>
    </row>
    <row r="268" ht="15.75" customHeight="1">
      <c r="E268" s="53"/>
      <c r="H268" s="53"/>
    </row>
    <row r="269" ht="15.75" customHeight="1">
      <c r="E269" s="53"/>
      <c r="H269" s="53"/>
    </row>
    <row r="270" ht="15.75" customHeight="1">
      <c r="E270" s="53"/>
      <c r="H270" s="53"/>
    </row>
    <row r="271" ht="15.75" customHeight="1">
      <c r="E271" s="53"/>
      <c r="H271" s="53"/>
    </row>
    <row r="272" ht="15.75" customHeight="1">
      <c r="E272" s="53"/>
      <c r="H272" s="53"/>
    </row>
    <row r="273" ht="15.75" customHeight="1">
      <c r="E273" s="53"/>
      <c r="H273" s="53"/>
    </row>
    <row r="274" ht="15.75" customHeight="1">
      <c r="E274" s="53"/>
      <c r="H274" s="53"/>
    </row>
    <row r="275" ht="15.75" customHeight="1">
      <c r="E275" s="53"/>
      <c r="H275" s="53"/>
    </row>
    <row r="276" ht="15.75" customHeight="1">
      <c r="E276" s="53"/>
      <c r="H276" s="53"/>
    </row>
    <row r="277" ht="15.75" customHeight="1">
      <c r="E277" s="53"/>
      <c r="H277" s="53"/>
    </row>
    <row r="278" ht="15.75" customHeight="1">
      <c r="E278" s="53"/>
      <c r="H278" s="53"/>
    </row>
    <row r="279" ht="15.75" customHeight="1">
      <c r="E279" s="53"/>
      <c r="H279" s="53"/>
    </row>
    <row r="280" ht="15.75" customHeight="1">
      <c r="E280" s="53"/>
      <c r="H280" s="53"/>
    </row>
    <row r="281" ht="15.75" customHeight="1">
      <c r="E281" s="53"/>
      <c r="H281" s="53"/>
    </row>
    <row r="282" ht="15.75" customHeight="1">
      <c r="E282" s="53"/>
      <c r="H282" s="53"/>
    </row>
    <row r="283" ht="15.75" customHeight="1">
      <c r="E283" s="53"/>
      <c r="H283" s="53"/>
    </row>
    <row r="284" ht="15.75" customHeight="1">
      <c r="E284" s="53"/>
      <c r="H284" s="53"/>
    </row>
    <row r="285" ht="15.75" customHeight="1">
      <c r="E285" s="53"/>
      <c r="H285" s="53"/>
    </row>
    <row r="286" ht="15.75" customHeight="1">
      <c r="E286" s="53"/>
      <c r="H286" s="53"/>
    </row>
    <row r="287" ht="15.75" customHeight="1">
      <c r="E287" s="53"/>
      <c r="H287" s="53"/>
    </row>
    <row r="288" ht="15.75" customHeight="1">
      <c r="E288" s="53"/>
      <c r="H288" s="53"/>
    </row>
    <row r="289" ht="15.75" customHeight="1">
      <c r="E289" s="53"/>
      <c r="H289" s="53"/>
    </row>
    <row r="290" ht="15.75" customHeight="1">
      <c r="E290" s="53"/>
      <c r="H290" s="53"/>
    </row>
    <row r="291" ht="15.75" customHeight="1">
      <c r="E291" s="53"/>
      <c r="H291" s="53"/>
    </row>
    <row r="292" ht="15.75" customHeight="1">
      <c r="E292" s="53"/>
      <c r="H292" s="53"/>
    </row>
    <row r="293" ht="15.75" customHeight="1">
      <c r="E293" s="53"/>
      <c r="H293" s="53"/>
    </row>
    <row r="294" ht="15.75" customHeight="1">
      <c r="E294" s="53"/>
      <c r="H294" s="53"/>
    </row>
    <row r="295" ht="15.75" customHeight="1">
      <c r="E295" s="53"/>
      <c r="H295" s="53"/>
    </row>
    <row r="296" ht="15.75" customHeight="1">
      <c r="E296" s="53"/>
      <c r="H296" s="53"/>
    </row>
    <row r="297" ht="15.75" customHeight="1">
      <c r="E297" s="53"/>
      <c r="H297" s="53"/>
    </row>
    <row r="298" ht="15.75" customHeight="1">
      <c r="E298" s="53"/>
      <c r="H298" s="53"/>
    </row>
    <row r="299" ht="15.75" customHeight="1">
      <c r="E299" s="53"/>
      <c r="H299" s="53"/>
    </row>
    <row r="300" ht="15.75" customHeight="1">
      <c r="E300" s="53"/>
      <c r="H300" s="53"/>
    </row>
    <row r="301" ht="15.75" customHeight="1">
      <c r="E301" s="53"/>
      <c r="H301" s="53"/>
    </row>
    <row r="302" ht="15.75" customHeight="1">
      <c r="E302" s="53"/>
      <c r="H302" s="53"/>
    </row>
    <row r="303" ht="15.75" customHeight="1">
      <c r="E303" s="53"/>
      <c r="H303" s="53"/>
    </row>
    <row r="304" ht="15.75" customHeight="1">
      <c r="E304" s="53"/>
      <c r="H304" s="53"/>
    </row>
    <row r="305" ht="15.75" customHeight="1">
      <c r="E305" s="53"/>
      <c r="H305" s="53"/>
    </row>
    <row r="306" ht="15.75" customHeight="1">
      <c r="E306" s="53"/>
      <c r="H306" s="53"/>
    </row>
    <row r="307" ht="15.75" customHeight="1">
      <c r="E307" s="53"/>
      <c r="H307" s="53"/>
    </row>
    <row r="308" ht="15.75" customHeight="1">
      <c r="E308" s="53"/>
      <c r="H308" s="53"/>
    </row>
    <row r="309" ht="15.75" customHeight="1">
      <c r="E309" s="53"/>
      <c r="H309" s="53"/>
    </row>
    <row r="310" ht="15.75" customHeight="1">
      <c r="E310" s="53"/>
      <c r="H310" s="53"/>
    </row>
    <row r="311" ht="15.75" customHeight="1">
      <c r="E311" s="53"/>
      <c r="H311" s="53"/>
    </row>
    <row r="312" ht="15.75" customHeight="1">
      <c r="E312" s="53"/>
      <c r="H312" s="53"/>
    </row>
    <row r="313" ht="15.75" customHeight="1">
      <c r="E313" s="53"/>
      <c r="H313" s="53"/>
    </row>
    <row r="314" ht="15.75" customHeight="1">
      <c r="E314" s="53"/>
      <c r="H314" s="53"/>
    </row>
    <row r="315" ht="15.75" customHeight="1">
      <c r="E315" s="53"/>
      <c r="H315" s="53"/>
    </row>
    <row r="316" ht="15.75" customHeight="1">
      <c r="E316" s="53"/>
      <c r="H316" s="53"/>
    </row>
    <row r="317" ht="15.75" customHeight="1">
      <c r="E317" s="53"/>
      <c r="H317" s="53"/>
    </row>
    <row r="318" ht="15.75" customHeight="1">
      <c r="E318" s="53"/>
      <c r="H318" s="53"/>
    </row>
    <row r="319" ht="15.75" customHeight="1">
      <c r="E319" s="53"/>
      <c r="H319" s="53"/>
    </row>
    <row r="320" ht="15.75" customHeight="1">
      <c r="E320" s="53"/>
      <c r="H320" s="53"/>
    </row>
    <row r="321" ht="15.75" customHeight="1">
      <c r="E321" s="53"/>
      <c r="H321" s="53"/>
    </row>
    <row r="322" ht="15.75" customHeight="1">
      <c r="E322" s="53"/>
      <c r="H322" s="53"/>
    </row>
    <row r="323" ht="15.75" customHeight="1">
      <c r="E323" s="53"/>
      <c r="H323" s="53"/>
    </row>
    <row r="324" ht="15.75" customHeight="1">
      <c r="E324" s="53"/>
      <c r="H324" s="53"/>
    </row>
    <row r="325" ht="15.75" customHeight="1">
      <c r="E325" s="53"/>
      <c r="H325" s="53"/>
    </row>
    <row r="326" ht="15.75" customHeight="1">
      <c r="E326" s="53"/>
      <c r="H326" s="53"/>
    </row>
    <row r="327" ht="15.75" customHeight="1">
      <c r="E327" s="53"/>
      <c r="H327" s="53"/>
    </row>
    <row r="328" ht="15.75" customHeight="1">
      <c r="E328" s="53"/>
      <c r="H328" s="53"/>
    </row>
    <row r="329" ht="15.75" customHeight="1">
      <c r="E329" s="53"/>
      <c r="H329" s="53"/>
    </row>
    <row r="330" ht="15.75" customHeight="1">
      <c r="E330" s="53"/>
      <c r="H330" s="53"/>
    </row>
    <row r="331" ht="15.75" customHeight="1">
      <c r="E331" s="53"/>
      <c r="H331" s="53"/>
    </row>
    <row r="332" ht="15.75" customHeight="1">
      <c r="E332" s="53"/>
      <c r="H332" s="53"/>
    </row>
    <row r="333" ht="15.75" customHeight="1">
      <c r="E333" s="53"/>
      <c r="H333" s="53"/>
    </row>
    <row r="334" ht="15.75" customHeight="1">
      <c r="E334" s="53"/>
      <c r="H334" s="53"/>
    </row>
    <row r="335" ht="15.75" customHeight="1">
      <c r="E335" s="53"/>
      <c r="H335" s="53"/>
    </row>
    <row r="336" ht="15.75" customHeight="1">
      <c r="E336" s="53"/>
      <c r="H336" s="53"/>
    </row>
    <row r="337" ht="15.75" customHeight="1">
      <c r="E337" s="53"/>
      <c r="H337" s="53"/>
    </row>
    <row r="338" ht="15.75" customHeight="1">
      <c r="E338" s="53"/>
      <c r="H338" s="53"/>
    </row>
    <row r="339" ht="15.75" customHeight="1">
      <c r="E339" s="53"/>
      <c r="H339" s="53"/>
    </row>
    <row r="340" ht="15.75" customHeight="1">
      <c r="E340" s="53"/>
      <c r="H340" s="53"/>
    </row>
    <row r="341" ht="15.75" customHeight="1">
      <c r="E341" s="53"/>
      <c r="H341" s="53"/>
    </row>
    <row r="342" ht="15.75" customHeight="1">
      <c r="E342" s="53"/>
      <c r="H342" s="53"/>
    </row>
    <row r="343" ht="15.75" customHeight="1">
      <c r="E343" s="53"/>
      <c r="H343" s="53"/>
    </row>
    <row r="344" ht="15.75" customHeight="1">
      <c r="E344" s="53"/>
      <c r="H344" s="53"/>
    </row>
    <row r="345" ht="15.75" customHeight="1">
      <c r="E345" s="53"/>
      <c r="H345" s="53"/>
    </row>
    <row r="346" ht="15.75" customHeight="1">
      <c r="E346" s="53"/>
      <c r="H346" s="53"/>
    </row>
    <row r="347" ht="15.75" customHeight="1">
      <c r="E347" s="53"/>
      <c r="H347" s="53"/>
    </row>
    <row r="348" ht="15.75" customHeight="1">
      <c r="E348" s="53"/>
      <c r="H348" s="53"/>
    </row>
    <row r="349" ht="15.75" customHeight="1">
      <c r="E349" s="53"/>
      <c r="H349" s="53"/>
    </row>
    <row r="350" ht="15.75" customHeight="1">
      <c r="E350" s="53"/>
      <c r="H350" s="53"/>
    </row>
    <row r="351" ht="15.75" customHeight="1">
      <c r="E351" s="53"/>
      <c r="H351" s="53"/>
    </row>
    <row r="352" ht="15.75" customHeight="1">
      <c r="E352" s="53"/>
      <c r="H352" s="53"/>
    </row>
    <row r="353" ht="15.75" customHeight="1">
      <c r="E353" s="53"/>
      <c r="H353" s="53"/>
    </row>
    <row r="354" ht="15.75" customHeight="1">
      <c r="E354" s="53"/>
      <c r="H354" s="53"/>
    </row>
    <row r="355" ht="15.75" customHeight="1">
      <c r="E355" s="53"/>
      <c r="H355" s="53"/>
    </row>
    <row r="356" ht="15.75" customHeight="1">
      <c r="E356" s="53"/>
      <c r="H356" s="53"/>
    </row>
    <row r="357" ht="15.75" customHeight="1">
      <c r="E357" s="53"/>
      <c r="H357" s="53"/>
    </row>
    <row r="358" ht="15.75" customHeight="1">
      <c r="E358" s="53"/>
      <c r="H358" s="53"/>
    </row>
    <row r="359" ht="15.75" customHeight="1">
      <c r="E359" s="53"/>
      <c r="H359" s="53"/>
    </row>
    <row r="360" ht="15.75" customHeight="1">
      <c r="E360" s="53"/>
      <c r="H360" s="53"/>
    </row>
    <row r="361" ht="15.75" customHeight="1">
      <c r="E361" s="53"/>
      <c r="H361" s="53"/>
    </row>
    <row r="362" ht="15.75" customHeight="1">
      <c r="E362" s="53"/>
      <c r="H362" s="53"/>
    </row>
    <row r="363" ht="15.75" customHeight="1">
      <c r="E363" s="53"/>
      <c r="H363" s="53"/>
    </row>
    <row r="364" ht="15.75" customHeight="1">
      <c r="E364" s="53"/>
      <c r="H364" s="53"/>
    </row>
    <row r="365" ht="15.75" customHeight="1">
      <c r="E365" s="53"/>
      <c r="H365" s="53"/>
    </row>
    <row r="366" ht="15.75" customHeight="1">
      <c r="E366" s="53"/>
      <c r="H366" s="53"/>
    </row>
    <row r="367" ht="15.75" customHeight="1">
      <c r="E367" s="53"/>
      <c r="H367" s="53"/>
    </row>
    <row r="368" ht="15.75" customHeight="1">
      <c r="E368" s="53"/>
      <c r="H368" s="53"/>
    </row>
    <row r="369" ht="15.75" customHeight="1">
      <c r="E369" s="53"/>
      <c r="H369" s="53"/>
    </row>
    <row r="370" ht="15.75" customHeight="1">
      <c r="E370" s="53"/>
      <c r="H370" s="53"/>
    </row>
    <row r="371" ht="15.75" customHeight="1">
      <c r="E371" s="53"/>
      <c r="H371" s="53"/>
    </row>
    <row r="372" ht="15.75" customHeight="1">
      <c r="E372" s="53"/>
      <c r="H372" s="53"/>
    </row>
    <row r="373" ht="15.75" customHeight="1">
      <c r="E373" s="53"/>
      <c r="H373" s="53"/>
    </row>
    <row r="374" ht="15.75" customHeight="1">
      <c r="E374" s="53"/>
      <c r="H374" s="53"/>
    </row>
    <row r="375" ht="15.75" customHeight="1">
      <c r="E375" s="53"/>
      <c r="H375" s="53"/>
    </row>
    <row r="376" ht="15.75" customHeight="1">
      <c r="E376" s="53"/>
      <c r="H376" s="53"/>
    </row>
    <row r="377" ht="15.75" customHeight="1">
      <c r="E377" s="53"/>
      <c r="H377" s="53"/>
    </row>
    <row r="378" ht="15.75" customHeight="1">
      <c r="E378" s="53"/>
      <c r="H378" s="53"/>
    </row>
    <row r="379" ht="15.75" customHeight="1">
      <c r="E379" s="53"/>
      <c r="H379" s="53"/>
    </row>
    <row r="380" ht="15.75" customHeight="1">
      <c r="E380" s="53"/>
      <c r="H380" s="53"/>
    </row>
    <row r="381" ht="15.75" customHeight="1">
      <c r="E381" s="53"/>
      <c r="H381" s="53"/>
    </row>
    <row r="382" ht="15.75" customHeight="1">
      <c r="E382" s="53"/>
      <c r="H382" s="53"/>
    </row>
    <row r="383" ht="15.75" customHeight="1">
      <c r="E383" s="53"/>
      <c r="H383" s="53"/>
    </row>
    <row r="384" ht="15.75" customHeight="1">
      <c r="E384" s="53"/>
      <c r="H384" s="53"/>
    </row>
    <row r="385" ht="15.75" customHeight="1">
      <c r="E385" s="53"/>
      <c r="H385" s="53"/>
    </row>
    <row r="386" ht="15.75" customHeight="1">
      <c r="E386" s="53"/>
      <c r="H386" s="53"/>
    </row>
    <row r="387" ht="15.75" customHeight="1">
      <c r="E387" s="53"/>
      <c r="H387" s="53"/>
    </row>
    <row r="388" ht="15.75" customHeight="1">
      <c r="E388" s="53"/>
      <c r="H388" s="53"/>
    </row>
    <row r="389" ht="15.75" customHeight="1">
      <c r="E389" s="53"/>
      <c r="H389" s="53"/>
    </row>
    <row r="390" ht="15.75" customHeight="1">
      <c r="E390" s="53"/>
      <c r="H390" s="53"/>
    </row>
    <row r="391" ht="15.75" customHeight="1">
      <c r="E391" s="53"/>
      <c r="H391" s="53"/>
    </row>
    <row r="392" ht="15.75" customHeight="1">
      <c r="E392" s="53"/>
      <c r="H392" s="53"/>
    </row>
    <row r="393" ht="15.75" customHeight="1">
      <c r="E393" s="53"/>
      <c r="H393" s="53"/>
    </row>
    <row r="394" ht="15.75" customHeight="1">
      <c r="E394" s="53"/>
      <c r="H394" s="53"/>
    </row>
    <row r="395" ht="15.75" customHeight="1">
      <c r="E395" s="53"/>
      <c r="H395" s="53"/>
    </row>
    <row r="396" ht="15.75" customHeight="1">
      <c r="E396" s="53"/>
      <c r="H396" s="53"/>
    </row>
    <row r="397" ht="15.75" customHeight="1">
      <c r="E397" s="53"/>
      <c r="H397" s="53"/>
    </row>
    <row r="398" ht="15.75" customHeight="1">
      <c r="E398" s="53"/>
      <c r="H398" s="53"/>
    </row>
    <row r="399" ht="15.75" customHeight="1">
      <c r="E399" s="53"/>
      <c r="H399" s="53"/>
    </row>
    <row r="400" ht="15.75" customHeight="1">
      <c r="E400" s="53"/>
      <c r="H400" s="53"/>
    </row>
    <row r="401" ht="15.75" customHeight="1">
      <c r="E401" s="53"/>
      <c r="H401" s="53"/>
    </row>
    <row r="402" ht="15.75" customHeight="1">
      <c r="E402" s="53"/>
      <c r="H402" s="53"/>
    </row>
    <row r="403" ht="15.75" customHeight="1">
      <c r="E403" s="53"/>
      <c r="H403" s="53"/>
    </row>
    <row r="404" ht="15.75" customHeight="1">
      <c r="E404" s="53"/>
      <c r="H404" s="53"/>
    </row>
    <row r="405" ht="15.75" customHeight="1">
      <c r="E405" s="53"/>
      <c r="H405" s="53"/>
    </row>
    <row r="406" ht="15.75" customHeight="1">
      <c r="E406" s="53"/>
      <c r="H406" s="53"/>
    </row>
    <row r="407" ht="15.75" customHeight="1">
      <c r="E407" s="53"/>
      <c r="H407" s="53"/>
    </row>
    <row r="408" ht="15.75" customHeight="1">
      <c r="E408" s="53"/>
      <c r="H408" s="53"/>
    </row>
    <row r="409" ht="15.75" customHeight="1">
      <c r="E409" s="53"/>
      <c r="H409" s="53"/>
    </row>
    <row r="410" ht="15.75" customHeight="1">
      <c r="E410" s="53"/>
      <c r="H410" s="53"/>
    </row>
    <row r="411" ht="15.75" customHeight="1">
      <c r="E411" s="53"/>
      <c r="H411" s="53"/>
    </row>
    <row r="412" ht="15.75" customHeight="1">
      <c r="E412" s="53"/>
      <c r="H412" s="53"/>
    </row>
    <row r="413" ht="15.75" customHeight="1">
      <c r="E413" s="53"/>
      <c r="H413" s="53"/>
    </row>
    <row r="414" ht="15.75" customHeight="1">
      <c r="E414" s="53"/>
      <c r="H414" s="53"/>
    </row>
    <row r="415" ht="15.75" customHeight="1">
      <c r="E415" s="53"/>
      <c r="H415" s="53"/>
    </row>
    <row r="416" ht="15.75" customHeight="1">
      <c r="E416" s="53"/>
      <c r="H416" s="53"/>
    </row>
    <row r="417" ht="15.75" customHeight="1">
      <c r="E417" s="53"/>
      <c r="H417" s="53"/>
    </row>
    <row r="418" ht="15.75" customHeight="1">
      <c r="E418" s="53"/>
      <c r="H418" s="53"/>
    </row>
    <row r="419" ht="15.75" customHeight="1">
      <c r="E419" s="53"/>
      <c r="H419" s="53"/>
    </row>
    <row r="420" ht="15.75" customHeight="1">
      <c r="E420" s="53"/>
      <c r="H420" s="53"/>
    </row>
    <row r="421" ht="15.75" customHeight="1">
      <c r="E421" s="53"/>
      <c r="H421" s="53"/>
    </row>
    <row r="422" ht="15.75" customHeight="1">
      <c r="E422" s="53"/>
      <c r="H422" s="53"/>
    </row>
    <row r="423" ht="15.75" customHeight="1">
      <c r="E423" s="53"/>
      <c r="H423" s="53"/>
    </row>
    <row r="424" ht="15.75" customHeight="1">
      <c r="E424" s="53"/>
      <c r="H424" s="53"/>
    </row>
    <row r="425" ht="15.75" customHeight="1">
      <c r="E425" s="53"/>
      <c r="H425" s="53"/>
    </row>
    <row r="426" ht="15.75" customHeight="1">
      <c r="E426" s="53"/>
      <c r="H426" s="53"/>
    </row>
    <row r="427" ht="15.75" customHeight="1">
      <c r="E427" s="53"/>
      <c r="H427" s="53"/>
    </row>
    <row r="428" ht="15.75" customHeight="1">
      <c r="E428" s="53"/>
      <c r="H428" s="53"/>
    </row>
    <row r="429" ht="15.75" customHeight="1">
      <c r="E429" s="53"/>
      <c r="H429" s="53"/>
    </row>
    <row r="430" ht="15.75" customHeight="1">
      <c r="E430" s="53"/>
      <c r="H430" s="53"/>
    </row>
    <row r="431" ht="15.75" customHeight="1">
      <c r="E431" s="53"/>
      <c r="H431" s="53"/>
    </row>
    <row r="432" ht="15.75" customHeight="1">
      <c r="E432" s="53"/>
      <c r="H432" s="53"/>
    </row>
    <row r="433" ht="15.75" customHeight="1">
      <c r="E433" s="53"/>
      <c r="H433" s="53"/>
    </row>
    <row r="434" ht="15.75" customHeight="1">
      <c r="E434" s="53"/>
      <c r="H434" s="53"/>
    </row>
    <row r="435" ht="15.75" customHeight="1">
      <c r="E435" s="53"/>
      <c r="H435" s="53"/>
    </row>
    <row r="436" ht="15.75" customHeight="1">
      <c r="E436" s="53"/>
      <c r="H436" s="53"/>
    </row>
    <row r="437" ht="15.75" customHeight="1">
      <c r="E437" s="53"/>
      <c r="H437" s="53"/>
    </row>
    <row r="438" ht="15.75" customHeight="1">
      <c r="E438" s="53"/>
      <c r="H438" s="53"/>
    </row>
    <row r="439" ht="15.75" customHeight="1">
      <c r="E439" s="53"/>
      <c r="H439" s="53"/>
    </row>
    <row r="440" ht="15.75" customHeight="1">
      <c r="E440" s="53"/>
      <c r="H440" s="53"/>
    </row>
    <row r="441" ht="15.75" customHeight="1">
      <c r="E441" s="53"/>
      <c r="H441" s="53"/>
    </row>
    <row r="442" ht="15.75" customHeight="1">
      <c r="E442" s="53"/>
      <c r="H442" s="53"/>
    </row>
    <row r="443" ht="15.75" customHeight="1">
      <c r="E443" s="53"/>
      <c r="H443" s="53"/>
    </row>
    <row r="444" ht="15.75" customHeight="1">
      <c r="E444" s="53"/>
      <c r="H444" s="53"/>
    </row>
    <row r="445" ht="15.75" customHeight="1">
      <c r="E445" s="53"/>
      <c r="H445" s="53"/>
    </row>
    <row r="446" ht="15.75" customHeight="1">
      <c r="E446" s="53"/>
      <c r="H446" s="53"/>
    </row>
    <row r="447" ht="15.75" customHeight="1">
      <c r="E447" s="53"/>
      <c r="H447" s="53"/>
    </row>
    <row r="448" ht="15.75" customHeight="1">
      <c r="E448" s="53"/>
      <c r="H448" s="53"/>
    </row>
    <row r="449" ht="15.75" customHeight="1">
      <c r="E449" s="53"/>
      <c r="H449" s="53"/>
    </row>
    <row r="450" ht="15.75" customHeight="1">
      <c r="E450" s="53"/>
      <c r="H450" s="53"/>
    </row>
    <row r="451" ht="15.75" customHeight="1">
      <c r="E451" s="53"/>
      <c r="H451" s="53"/>
    </row>
    <row r="452" ht="15.75" customHeight="1">
      <c r="E452" s="53"/>
      <c r="H452" s="53"/>
    </row>
    <row r="453" ht="15.75" customHeight="1">
      <c r="E453" s="53"/>
      <c r="H453" s="53"/>
    </row>
    <row r="454" ht="15.75" customHeight="1">
      <c r="E454" s="53"/>
      <c r="H454" s="53"/>
    </row>
    <row r="455" ht="15.75" customHeight="1">
      <c r="E455" s="53"/>
      <c r="H455" s="53"/>
    </row>
    <row r="456" ht="15.75" customHeight="1">
      <c r="E456" s="53"/>
      <c r="H456" s="53"/>
    </row>
    <row r="457" ht="15.75" customHeight="1">
      <c r="E457" s="53"/>
      <c r="H457" s="53"/>
    </row>
    <row r="458" ht="15.75" customHeight="1">
      <c r="E458" s="53"/>
      <c r="H458" s="53"/>
    </row>
    <row r="459" ht="15.75" customHeight="1">
      <c r="E459" s="53"/>
      <c r="H459" s="53"/>
    </row>
    <row r="460" ht="15.75" customHeight="1">
      <c r="E460" s="53"/>
      <c r="H460" s="53"/>
    </row>
    <row r="461" ht="15.75" customHeight="1">
      <c r="E461" s="53"/>
      <c r="H461" s="53"/>
    </row>
    <row r="462" ht="15.75" customHeight="1">
      <c r="E462" s="53"/>
      <c r="H462" s="53"/>
    </row>
    <row r="463" ht="15.75" customHeight="1">
      <c r="E463" s="53"/>
      <c r="H463" s="53"/>
    </row>
    <row r="464" ht="15.75" customHeight="1">
      <c r="E464" s="53"/>
      <c r="H464" s="53"/>
    </row>
    <row r="465" ht="15.75" customHeight="1">
      <c r="E465" s="53"/>
      <c r="H465" s="53"/>
    </row>
    <row r="466" ht="15.75" customHeight="1">
      <c r="E466" s="53"/>
      <c r="H466" s="53"/>
    </row>
    <row r="467" ht="15.75" customHeight="1">
      <c r="E467" s="53"/>
      <c r="H467" s="53"/>
    </row>
    <row r="468" ht="15.75" customHeight="1">
      <c r="E468" s="53"/>
      <c r="H468" s="53"/>
    </row>
    <row r="469" ht="15.75" customHeight="1">
      <c r="E469" s="53"/>
      <c r="H469" s="53"/>
    </row>
    <row r="470" ht="15.75" customHeight="1">
      <c r="E470" s="53"/>
      <c r="H470" s="53"/>
    </row>
    <row r="471" ht="15.75" customHeight="1">
      <c r="E471" s="53"/>
      <c r="H471" s="53"/>
    </row>
    <row r="472" ht="15.75" customHeight="1">
      <c r="E472" s="53"/>
      <c r="H472" s="53"/>
    </row>
    <row r="473" ht="15.75" customHeight="1">
      <c r="E473" s="53"/>
      <c r="H473" s="53"/>
    </row>
    <row r="474" ht="15.75" customHeight="1">
      <c r="E474" s="53"/>
      <c r="H474" s="53"/>
    </row>
    <row r="475" ht="15.75" customHeight="1">
      <c r="E475" s="53"/>
      <c r="H475" s="53"/>
    </row>
    <row r="476" ht="15.75" customHeight="1">
      <c r="E476" s="53"/>
      <c r="H476" s="53"/>
    </row>
    <row r="477" ht="15.75" customHeight="1">
      <c r="E477" s="53"/>
      <c r="H477" s="53"/>
    </row>
    <row r="478" ht="15.75" customHeight="1">
      <c r="E478" s="53"/>
      <c r="H478" s="53"/>
    </row>
    <row r="479" ht="15.75" customHeight="1">
      <c r="E479" s="53"/>
      <c r="H479" s="53"/>
    </row>
    <row r="480" ht="15.75" customHeight="1">
      <c r="E480" s="53"/>
      <c r="H480" s="53"/>
    </row>
    <row r="481" ht="15.75" customHeight="1">
      <c r="E481" s="53"/>
      <c r="H481" s="53"/>
    </row>
    <row r="482" ht="15.75" customHeight="1">
      <c r="E482" s="53"/>
      <c r="H482" s="53"/>
    </row>
    <row r="483" ht="15.75" customHeight="1">
      <c r="E483" s="53"/>
      <c r="H483" s="53"/>
    </row>
    <row r="484" ht="15.75" customHeight="1">
      <c r="E484" s="53"/>
      <c r="H484" s="53"/>
    </row>
    <row r="485" ht="15.75" customHeight="1">
      <c r="E485" s="53"/>
      <c r="H485" s="53"/>
    </row>
    <row r="486" ht="15.75" customHeight="1">
      <c r="E486" s="53"/>
      <c r="H486" s="53"/>
    </row>
    <row r="487" ht="15.75" customHeight="1">
      <c r="E487" s="53"/>
      <c r="H487" s="53"/>
    </row>
    <row r="488" ht="15.75" customHeight="1">
      <c r="E488" s="53"/>
      <c r="H488" s="53"/>
    </row>
    <row r="489" ht="15.75" customHeight="1">
      <c r="E489" s="53"/>
      <c r="H489" s="53"/>
    </row>
    <row r="490" ht="15.75" customHeight="1">
      <c r="E490" s="53"/>
      <c r="H490" s="53"/>
    </row>
    <row r="491" ht="15.75" customHeight="1">
      <c r="E491" s="53"/>
      <c r="H491" s="53"/>
    </row>
    <row r="492" ht="15.75" customHeight="1">
      <c r="E492" s="53"/>
      <c r="H492" s="53"/>
    </row>
    <row r="493" ht="15.75" customHeight="1">
      <c r="E493" s="53"/>
      <c r="H493" s="53"/>
    </row>
    <row r="494" ht="15.75" customHeight="1">
      <c r="E494" s="53"/>
      <c r="H494" s="53"/>
    </row>
    <row r="495" ht="15.75" customHeight="1">
      <c r="E495" s="53"/>
      <c r="H495" s="53"/>
    </row>
    <row r="496" ht="15.75" customHeight="1">
      <c r="E496" s="53"/>
      <c r="H496" s="53"/>
    </row>
    <row r="497" ht="15.75" customHeight="1">
      <c r="E497" s="53"/>
      <c r="H497" s="53"/>
    </row>
    <row r="498" ht="15.75" customHeight="1">
      <c r="E498" s="53"/>
      <c r="H498" s="53"/>
    </row>
    <row r="499" ht="15.75" customHeight="1">
      <c r="E499" s="53"/>
      <c r="H499" s="53"/>
    </row>
    <row r="500" ht="15.75" customHeight="1">
      <c r="E500" s="53"/>
      <c r="H500" s="53"/>
    </row>
    <row r="501" ht="15.75" customHeight="1">
      <c r="E501" s="53"/>
      <c r="H501" s="53"/>
    </row>
    <row r="502" ht="15.75" customHeight="1">
      <c r="E502" s="53"/>
      <c r="H502" s="53"/>
    </row>
    <row r="503" ht="15.75" customHeight="1">
      <c r="E503" s="53"/>
      <c r="H503" s="53"/>
    </row>
    <row r="504" ht="15.75" customHeight="1">
      <c r="E504" s="53"/>
      <c r="H504" s="53"/>
    </row>
    <row r="505" ht="15.75" customHeight="1">
      <c r="E505" s="53"/>
      <c r="H505" s="53"/>
    </row>
    <row r="506" ht="15.75" customHeight="1">
      <c r="E506" s="53"/>
      <c r="H506" s="53"/>
    </row>
    <row r="507" ht="15.75" customHeight="1">
      <c r="E507" s="53"/>
      <c r="H507" s="53"/>
    </row>
    <row r="508" ht="15.75" customHeight="1">
      <c r="E508" s="53"/>
      <c r="H508" s="53"/>
    </row>
    <row r="509" ht="15.75" customHeight="1">
      <c r="E509" s="53"/>
      <c r="H509" s="53"/>
    </row>
    <row r="510" ht="15.75" customHeight="1">
      <c r="E510" s="53"/>
      <c r="H510" s="53"/>
    </row>
    <row r="511" ht="15.75" customHeight="1">
      <c r="E511" s="53"/>
      <c r="H511" s="53"/>
    </row>
    <row r="512" ht="15.75" customHeight="1">
      <c r="E512" s="53"/>
      <c r="H512" s="53"/>
    </row>
    <row r="513" ht="15.75" customHeight="1">
      <c r="E513" s="53"/>
      <c r="H513" s="53"/>
    </row>
    <row r="514" ht="15.75" customHeight="1">
      <c r="E514" s="53"/>
      <c r="H514" s="53"/>
    </row>
    <row r="515" ht="15.75" customHeight="1">
      <c r="E515" s="53"/>
      <c r="H515" s="53"/>
    </row>
    <row r="516" ht="15.75" customHeight="1">
      <c r="E516" s="53"/>
      <c r="H516" s="53"/>
    </row>
    <row r="517" ht="15.75" customHeight="1">
      <c r="E517" s="53"/>
      <c r="H517" s="53"/>
    </row>
    <row r="518" ht="15.75" customHeight="1">
      <c r="E518" s="53"/>
      <c r="H518" s="53"/>
    </row>
    <row r="519" ht="15.75" customHeight="1">
      <c r="E519" s="53"/>
      <c r="H519" s="53"/>
    </row>
    <row r="520" ht="15.75" customHeight="1">
      <c r="E520" s="53"/>
      <c r="H520" s="53"/>
    </row>
    <row r="521" ht="15.75" customHeight="1">
      <c r="E521" s="53"/>
      <c r="H521" s="53"/>
    </row>
    <row r="522" ht="15.75" customHeight="1">
      <c r="E522" s="53"/>
      <c r="H522" s="53"/>
    </row>
    <row r="523" ht="15.75" customHeight="1">
      <c r="E523" s="53"/>
      <c r="H523" s="53"/>
    </row>
    <row r="524" ht="15.75" customHeight="1">
      <c r="E524" s="53"/>
      <c r="H524" s="53"/>
    </row>
    <row r="525" ht="15.75" customHeight="1">
      <c r="E525" s="53"/>
      <c r="H525" s="53"/>
    </row>
    <row r="526" ht="15.75" customHeight="1">
      <c r="E526" s="53"/>
      <c r="H526" s="53"/>
    </row>
    <row r="527" ht="15.75" customHeight="1">
      <c r="E527" s="53"/>
      <c r="H527" s="53"/>
    </row>
    <row r="528" ht="15.75" customHeight="1">
      <c r="E528" s="53"/>
      <c r="H528" s="53"/>
    </row>
    <row r="529" ht="15.75" customHeight="1">
      <c r="E529" s="53"/>
      <c r="H529" s="53"/>
    </row>
    <row r="530" ht="15.75" customHeight="1">
      <c r="E530" s="53"/>
      <c r="H530" s="53"/>
    </row>
    <row r="531" ht="15.75" customHeight="1">
      <c r="E531" s="53"/>
      <c r="H531" s="53"/>
    </row>
    <row r="532" ht="15.75" customHeight="1">
      <c r="E532" s="53"/>
      <c r="H532" s="53"/>
    </row>
    <row r="533" ht="15.75" customHeight="1">
      <c r="E533" s="53"/>
      <c r="H533" s="53"/>
    </row>
    <row r="534" ht="15.75" customHeight="1">
      <c r="E534" s="53"/>
      <c r="H534" s="53"/>
    </row>
    <row r="535" ht="15.75" customHeight="1">
      <c r="E535" s="53"/>
      <c r="H535" s="53"/>
    </row>
    <row r="536" ht="15.75" customHeight="1">
      <c r="E536" s="53"/>
      <c r="H536" s="53"/>
    </row>
    <row r="537" ht="15.75" customHeight="1">
      <c r="E537" s="53"/>
      <c r="H537" s="53"/>
    </row>
    <row r="538" ht="15.75" customHeight="1">
      <c r="E538" s="53"/>
      <c r="H538" s="53"/>
    </row>
    <row r="539" ht="15.75" customHeight="1">
      <c r="E539" s="53"/>
      <c r="H539" s="53"/>
    </row>
    <row r="540" ht="15.75" customHeight="1">
      <c r="E540" s="53"/>
      <c r="H540" s="53"/>
    </row>
    <row r="541" ht="15.75" customHeight="1">
      <c r="E541" s="53"/>
      <c r="H541" s="53"/>
    </row>
    <row r="542" ht="15.75" customHeight="1">
      <c r="E542" s="53"/>
      <c r="H542" s="53"/>
    </row>
    <row r="543" ht="15.75" customHeight="1">
      <c r="E543" s="53"/>
      <c r="H543" s="53"/>
    </row>
    <row r="544" ht="15.75" customHeight="1">
      <c r="E544" s="53"/>
      <c r="H544" s="53"/>
    </row>
    <row r="545" ht="15.75" customHeight="1">
      <c r="E545" s="53"/>
      <c r="H545" s="53"/>
    </row>
    <row r="546" ht="15.75" customHeight="1">
      <c r="E546" s="53"/>
      <c r="H546" s="53"/>
    </row>
    <row r="547" ht="15.75" customHeight="1">
      <c r="E547" s="53"/>
      <c r="H547" s="53"/>
    </row>
    <row r="548" ht="15.75" customHeight="1">
      <c r="E548" s="53"/>
      <c r="H548" s="53"/>
    </row>
    <row r="549" ht="15.75" customHeight="1">
      <c r="E549" s="53"/>
      <c r="H549" s="53"/>
    </row>
    <row r="550" ht="15.75" customHeight="1">
      <c r="E550" s="53"/>
      <c r="H550" s="53"/>
    </row>
    <row r="551" ht="15.75" customHeight="1">
      <c r="E551" s="53"/>
      <c r="H551" s="53"/>
    </row>
    <row r="552" ht="15.75" customHeight="1">
      <c r="E552" s="53"/>
      <c r="H552" s="53"/>
    </row>
    <row r="553" ht="15.75" customHeight="1">
      <c r="E553" s="53"/>
      <c r="H553" s="53"/>
    </row>
    <row r="554" ht="15.75" customHeight="1">
      <c r="E554" s="53"/>
      <c r="H554" s="53"/>
    </row>
    <row r="555" ht="15.75" customHeight="1">
      <c r="E555" s="53"/>
      <c r="H555" s="53"/>
    </row>
    <row r="556" ht="15.75" customHeight="1">
      <c r="E556" s="53"/>
      <c r="H556" s="53"/>
    </row>
    <row r="557" ht="15.75" customHeight="1">
      <c r="E557" s="53"/>
      <c r="H557" s="53"/>
    </row>
    <row r="558" ht="15.75" customHeight="1">
      <c r="E558" s="53"/>
      <c r="H558" s="53"/>
    </row>
    <row r="559" ht="15.75" customHeight="1">
      <c r="E559" s="53"/>
      <c r="H559" s="53"/>
    </row>
    <row r="560" ht="15.75" customHeight="1">
      <c r="E560" s="53"/>
      <c r="H560" s="53"/>
    </row>
    <row r="561" ht="15.75" customHeight="1">
      <c r="E561" s="53"/>
      <c r="H561" s="53"/>
    </row>
    <row r="562" ht="15.75" customHeight="1">
      <c r="E562" s="53"/>
      <c r="H562" s="53"/>
    </row>
    <row r="563" ht="15.75" customHeight="1">
      <c r="E563" s="53"/>
      <c r="H563" s="53"/>
    </row>
    <row r="564" ht="15.75" customHeight="1">
      <c r="E564" s="53"/>
      <c r="H564" s="53"/>
    </row>
    <row r="565" ht="15.75" customHeight="1">
      <c r="E565" s="53"/>
      <c r="H565" s="53"/>
    </row>
    <row r="566" ht="15.75" customHeight="1">
      <c r="E566" s="53"/>
      <c r="H566" s="53"/>
    </row>
    <row r="567" ht="15.75" customHeight="1">
      <c r="E567" s="53"/>
      <c r="H567" s="53"/>
    </row>
    <row r="568" ht="15.75" customHeight="1">
      <c r="E568" s="53"/>
      <c r="H568" s="53"/>
    </row>
    <row r="569" ht="15.75" customHeight="1">
      <c r="E569" s="53"/>
      <c r="H569" s="53"/>
    </row>
    <row r="570" ht="15.75" customHeight="1">
      <c r="E570" s="53"/>
      <c r="H570" s="53"/>
    </row>
    <row r="571" ht="15.75" customHeight="1">
      <c r="E571" s="53"/>
      <c r="H571" s="53"/>
    </row>
    <row r="572" ht="15.75" customHeight="1">
      <c r="E572" s="53"/>
      <c r="H572" s="53"/>
    </row>
    <row r="573" ht="15.75" customHeight="1">
      <c r="E573" s="53"/>
      <c r="H573" s="53"/>
    </row>
    <row r="574" ht="15.75" customHeight="1">
      <c r="E574" s="53"/>
      <c r="H574" s="53"/>
    </row>
    <row r="575" ht="15.75" customHeight="1">
      <c r="E575" s="53"/>
      <c r="H575" s="53"/>
    </row>
    <row r="576" ht="15.75" customHeight="1">
      <c r="E576" s="53"/>
      <c r="H576" s="53"/>
    </row>
    <row r="577" ht="15.75" customHeight="1">
      <c r="E577" s="53"/>
      <c r="H577" s="53"/>
    </row>
    <row r="578" ht="15.75" customHeight="1">
      <c r="E578" s="53"/>
      <c r="H578" s="53"/>
    </row>
    <row r="579" ht="15.75" customHeight="1">
      <c r="E579" s="53"/>
      <c r="H579" s="53"/>
    </row>
    <row r="580" ht="15.75" customHeight="1">
      <c r="E580" s="53"/>
      <c r="H580" s="53"/>
    </row>
    <row r="581" ht="15.75" customHeight="1">
      <c r="E581" s="53"/>
      <c r="H581" s="53"/>
    </row>
    <row r="582" ht="15.75" customHeight="1">
      <c r="E582" s="53"/>
      <c r="H582" s="53"/>
    </row>
    <row r="583" ht="15.75" customHeight="1">
      <c r="E583" s="53"/>
      <c r="H583" s="53"/>
    </row>
    <row r="584" ht="15.75" customHeight="1">
      <c r="E584" s="53"/>
      <c r="H584" s="53"/>
    </row>
    <row r="585" ht="15.75" customHeight="1">
      <c r="E585" s="53"/>
      <c r="H585" s="53"/>
    </row>
    <row r="586" ht="15.75" customHeight="1">
      <c r="E586" s="53"/>
      <c r="H586" s="53"/>
    </row>
    <row r="587" ht="15.75" customHeight="1">
      <c r="E587" s="53"/>
      <c r="H587" s="53"/>
    </row>
    <row r="588" ht="15.75" customHeight="1">
      <c r="E588" s="53"/>
      <c r="H588" s="53"/>
    </row>
    <row r="589" ht="15.75" customHeight="1">
      <c r="E589" s="53"/>
      <c r="H589" s="53"/>
    </row>
    <row r="590" ht="15.75" customHeight="1">
      <c r="E590" s="53"/>
      <c r="H590" s="53"/>
    </row>
    <row r="591" ht="15.75" customHeight="1">
      <c r="E591" s="53"/>
      <c r="H591" s="53"/>
    </row>
    <row r="592" ht="15.75" customHeight="1">
      <c r="E592" s="53"/>
      <c r="H592" s="53"/>
    </row>
    <row r="593" ht="15.75" customHeight="1">
      <c r="E593" s="53"/>
      <c r="H593" s="53"/>
    </row>
    <row r="594" ht="15.75" customHeight="1">
      <c r="E594" s="53"/>
      <c r="H594" s="53"/>
    </row>
    <row r="595" ht="15.75" customHeight="1">
      <c r="E595" s="53"/>
      <c r="H595" s="53"/>
    </row>
    <row r="596" ht="15.75" customHeight="1">
      <c r="E596" s="53"/>
      <c r="H596" s="53"/>
    </row>
    <row r="597" ht="15.75" customHeight="1">
      <c r="E597" s="53"/>
      <c r="H597" s="53"/>
    </row>
    <row r="598" ht="15.75" customHeight="1">
      <c r="E598" s="53"/>
      <c r="H598" s="53"/>
    </row>
    <row r="599" ht="15.75" customHeight="1">
      <c r="E599" s="53"/>
      <c r="H599" s="53"/>
    </row>
    <row r="600" ht="15.75" customHeight="1">
      <c r="E600" s="53"/>
      <c r="H600" s="53"/>
    </row>
    <row r="601" ht="15.75" customHeight="1">
      <c r="E601" s="53"/>
      <c r="H601" s="53"/>
    </row>
    <row r="602" ht="15.75" customHeight="1">
      <c r="E602" s="53"/>
      <c r="H602" s="53"/>
    </row>
    <row r="603" ht="15.75" customHeight="1">
      <c r="E603" s="53"/>
      <c r="H603" s="53"/>
    </row>
    <row r="604" ht="15.75" customHeight="1">
      <c r="E604" s="53"/>
      <c r="H604" s="53"/>
    </row>
    <row r="605" ht="15.75" customHeight="1">
      <c r="E605" s="53"/>
      <c r="H605" s="53"/>
    </row>
    <row r="606" ht="15.75" customHeight="1">
      <c r="E606" s="53"/>
      <c r="H606" s="53"/>
    </row>
    <row r="607" ht="15.75" customHeight="1">
      <c r="E607" s="53"/>
      <c r="H607" s="53"/>
    </row>
    <row r="608" ht="15.75" customHeight="1">
      <c r="E608" s="53"/>
      <c r="H608" s="53"/>
    </row>
    <row r="609" ht="15.75" customHeight="1">
      <c r="E609" s="53"/>
      <c r="H609" s="53"/>
    </row>
    <row r="610" ht="15.75" customHeight="1">
      <c r="E610" s="53"/>
      <c r="H610" s="53"/>
    </row>
    <row r="611" ht="15.75" customHeight="1">
      <c r="E611" s="53"/>
      <c r="H611" s="53"/>
    </row>
    <row r="612" ht="15.75" customHeight="1">
      <c r="E612" s="53"/>
      <c r="H612" s="53"/>
    </row>
    <row r="613" ht="15.75" customHeight="1">
      <c r="E613" s="53"/>
      <c r="H613" s="53"/>
    </row>
    <row r="614" ht="15.75" customHeight="1">
      <c r="E614" s="53"/>
      <c r="H614" s="53"/>
    </row>
    <row r="615" ht="15.75" customHeight="1">
      <c r="E615" s="53"/>
      <c r="H615" s="53"/>
    </row>
    <row r="616" ht="15.75" customHeight="1">
      <c r="E616" s="53"/>
      <c r="H616" s="53"/>
    </row>
    <row r="617" ht="15.75" customHeight="1">
      <c r="E617" s="53"/>
      <c r="H617" s="53"/>
    </row>
    <row r="618" ht="15.75" customHeight="1">
      <c r="E618" s="53"/>
      <c r="H618" s="53"/>
    </row>
    <row r="619" ht="15.75" customHeight="1">
      <c r="E619" s="53"/>
      <c r="H619" s="53"/>
    </row>
    <row r="620" ht="15.75" customHeight="1">
      <c r="E620" s="53"/>
      <c r="H620" s="53"/>
    </row>
    <row r="621" ht="15.75" customHeight="1">
      <c r="E621" s="53"/>
      <c r="H621" s="53"/>
    </row>
    <row r="622" ht="15.75" customHeight="1">
      <c r="E622" s="53"/>
      <c r="H622" s="53"/>
    </row>
    <row r="623" ht="15.75" customHeight="1">
      <c r="E623" s="53"/>
      <c r="H623" s="53"/>
    </row>
    <row r="624" ht="15.75" customHeight="1">
      <c r="E624" s="53"/>
      <c r="H624" s="53"/>
    </row>
    <row r="625" ht="15.75" customHeight="1">
      <c r="E625" s="53"/>
      <c r="H625" s="53"/>
    </row>
    <row r="626" ht="15.75" customHeight="1">
      <c r="E626" s="53"/>
      <c r="H626" s="53"/>
    </row>
    <row r="627" ht="15.75" customHeight="1">
      <c r="E627" s="53"/>
      <c r="H627" s="53"/>
    </row>
    <row r="628" ht="15.75" customHeight="1">
      <c r="E628" s="53"/>
      <c r="H628" s="53"/>
    </row>
    <row r="629" ht="15.75" customHeight="1">
      <c r="E629" s="53"/>
      <c r="H629" s="53"/>
    </row>
    <row r="630" ht="15.75" customHeight="1">
      <c r="E630" s="53"/>
      <c r="H630" s="53"/>
    </row>
    <row r="631" ht="15.75" customHeight="1">
      <c r="E631" s="53"/>
      <c r="H631" s="53"/>
    </row>
    <row r="632" ht="15.75" customHeight="1">
      <c r="E632" s="53"/>
      <c r="H632" s="53"/>
    </row>
    <row r="633" ht="15.75" customHeight="1">
      <c r="E633" s="53"/>
      <c r="H633" s="53"/>
    </row>
    <row r="634" ht="15.75" customHeight="1">
      <c r="E634" s="53"/>
      <c r="H634" s="53"/>
    </row>
    <row r="635" ht="15.75" customHeight="1">
      <c r="E635" s="53"/>
      <c r="H635" s="53"/>
    </row>
    <row r="636" ht="15.75" customHeight="1">
      <c r="E636" s="53"/>
      <c r="H636" s="53"/>
    </row>
    <row r="637" ht="15.75" customHeight="1">
      <c r="E637" s="53"/>
      <c r="H637" s="53"/>
    </row>
    <row r="638" ht="15.75" customHeight="1">
      <c r="E638" s="53"/>
      <c r="H638" s="53"/>
    </row>
    <row r="639" ht="15.75" customHeight="1">
      <c r="E639" s="53"/>
      <c r="H639" s="53"/>
    </row>
    <row r="640" ht="15.75" customHeight="1">
      <c r="E640" s="53"/>
      <c r="H640" s="53"/>
    </row>
    <row r="641" ht="15.75" customHeight="1">
      <c r="E641" s="53"/>
      <c r="H641" s="53"/>
    </row>
    <row r="642" ht="15.75" customHeight="1">
      <c r="E642" s="53"/>
      <c r="H642" s="53"/>
    </row>
    <row r="643" ht="15.75" customHeight="1">
      <c r="E643" s="53"/>
      <c r="H643" s="53"/>
    </row>
    <row r="644" ht="15.75" customHeight="1">
      <c r="E644" s="53"/>
      <c r="H644" s="53"/>
    </row>
    <row r="645" ht="15.75" customHeight="1">
      <c r="E645" s="53"/>
      <c r="H645" s="53"/>
    </row>
    <row r="646" ht="15.75" customHeight="1">
      <c r="E646" s="53"/>
      <c r="H646" s="53"/>
    </row>
    <row r="647" ht="15.75" customHeight="1">
      <c r="E647" s="53"/>
      <c r="H647" s="53"/>
    </row>
    <row r="648" ht="15.75" customHeight="1">
      <c r="E648" s="53"/>
      <c r="H648" s="53"/>
    </row>
    <row r="649" ht="15.75" customHeight="1">
      <c r="E649" s="53"/>
      <c r="H649" s="53"/>
    </row>
    <row r="650" ht="15.75" customHeight="1">
      <c r="E650" s="53"/>
      <c r="H650" s="53"/>
    </row>
    <row r="651" ht="15.75" customHeight="1">
      <c r="E651" s="53"/>
      <c r="H651" s="53"/>
    </row>
    <row r="652" ht="15.75" customHeight="1">
      <c r="E652" s="53"/>
      <c r="H652" s="53"/>
    </row>
    <row r="653" ht="15.75" customHeight="1">
      <c r="E653" s="53"/>
      <c r="H653" s="53"/>
    </row>
    <row r="654" ht="15.75" customHeight="1">
      <c r="E654" s="53"/>
      <c r="H654" s="53"/>
    </row>
    <row r="655" ht="15.75" customHeight="1">
      <c r="E655" s="53"/>
      <c r="H655" s="53"/>
    </row>
    <row r="656" ht="15.75" customHeight="1">
      <c r="E656" s="53"/>
      <c r="H656" s="53"/>
    </row>
    <row r="657" ht="15.75" customHeight="1">
      <c r="E657" s="53"/>
      <c r="H657" s="53"/>
    </row>
    <row r="658" ht="15.75" customHeight="1">
      <c r="E658" s="53"/>
      <c r="H658" s="53"/>
    </row>
    <row r="659" ht="15.75" customHeight="1">
      <c r="E659" s="53"/>
      <c r="H659" s="53"/>
    </row>
    <row r="660" ht="15.75" customHeight="1">
      <c r="E660" s="53"/>
      <c r="H660" s="53"/>
    </row>
    <row r="661" ht="15.75" customHeight="1">
      <c r="E661" s="53"/>
      <c r="H661" s="53"/>
    </row>
    <row r="662" ht="15.75" customHeight="1">
      <c r="E662" s="53"/>
      <c r="H662" s="53"/>
    </row>
    <row r="663" ht="15.75" customHeight="1">
      <c r="E663" s="53"/>
      <c r="H663" s="53"/>
    </row>
    <row r="664" ht="15.75" customHeight="1">
      <c r="E664" s="53"/>
      <c r="H664" s="53"/>
    </row>
    <row r="665" ht="15.75" customHeight="1">
      <c r="E665" s="53"/>
      <c r="H665" s="53"/>
    </row>
    <row r="666" ht="15.75" customHeight="1">
      <c r="E666" s="53"/>
      <c r="H666" s="53"/>
    </row>
    <row r="667" ht="15.75" customHeight="1">
      <c r="E667" s="53"/>
      <c r="H667" s="53"/>
    </row>
    <row r="668" ht="15.75" customHeight="1">
      <c r="E668" s="53"/>
      <c r="H668" s="53"/>
    </row>
    <row r="669" ht="15.75" customHeight="1">
      <c r="E669" s="53"/>
      <c r="H669" s="53"/>
    </row>
    <row r="670" ht="15.75" customHeight="1">
      <c r="E670" s="53"/>
      <c r="H670" s="53"/>
    </row>
    <row r="671" ht="15.75" customHeight="1">
      <c r="E671" s="53"/>
      <c r="H671" s="53"/>
    </row>
    <row r="672" ht="15.75" customHeight="1">
      <c r="E672" s="53"/>
      <c r="H672" s="53"/>
    </row>
    <row r="673" ht="15.75" customHeight="1">
      <c r="E673" s="53"/>
      <c r="H673" s="53"/>
    </row>
    <row r="674" ht="15.75" customHeight="1">
      <c r="E674" s="53"/>
      <c r="H674" s="53"/>
    </row>
    <row r="675" ht="15.75" customHeight="1">
      <c r="E675" s="53"/>
      <c r="H675" s="53"/>
    </row>
    <row r="676" ht="15.75" customHeight="1">
      <c r="E676" s="53"/>
      <c r="H676" s="53"/>
    </row>
    <row r="677" ht="15.75" customHeight="1">
      <c r="E677" s="53"/>
      <c r="H677" s="53"/>
    </row>
    <row r="678" ht="15.75" customHeight="1">
      <c r="E678" s="53"/>
      <c r="H678" s="53"/>
    </row>
    <row r="679" ht="15.75" customHeight="1">
      <c r="E679" s="53"/>
      <c r="H679" s="53"/>
    </row>
    <row r="680" ht="15.75" customHeight="1">
      <c r="E680" s="53"/>
      <c r="H680" s="53"/>
    </row>
    <row r="681" ht="15.75" customHeight="1">
      <c r="E681" s="53"/>
      <c r="H681" s="53"/>
    </row>
    <row r="682" ht="15.75" customHeight="1">
      <c r="E682" s="53"/>
      <c r="H682" s="53"/>
    </row>
    <row r="683" ht="15.75" customHeight="1">
      <c r="E683" s="53"/>
      <c r="H683" s="53"/>
    </row>
    <row r="684" ht="15.75" customHeight="1">
      <c r="E684" s="53"/>
      <c r="H684" s="53"/>
    </row>
    <row r="685" ht="15.75" customHeight="1">
      <c r="E685" s="53"/>
      <c r="H685" s="53"/>
    </row>
    <row r="686" ht="15.75" customHeight="1">
      <c r="E686" s="53"/>
      <c r="H686" s="53"/>
    </row>
    <row r="687" ht="15.75" customHeight="1">
      <c r="E687" s="53"/>
      <c r="H687" s="53"/>
    </row>
    <row r="688" ht="15.75" customHeight="1">
      <c r="E688" s="53"/>
      <c r="H688" s="53"/>
    </row>
    <row r="689" ht="15.75" customHeight="1">
      <c r="E689" s="53"/>
      <c r="H689" s="53"/>
    </row>
    <row r="690" ht="15.75" customHeight="1">
      <c r="E690" s="53"/>
      <c r="H690" s="53"/>
    </row>
    <row r="691" ht="15.75" customHeight="1">
      <c r="E691" s="53"/>
      <c r="H691" s="53"/>
    </row>
    <row r="692" ht="15.75" customHeight="1">
      <c r="E692" s="53"/>
      <c r="H692" s="53"/>
    </row>
    <row r="693" ht="15.75" customHeight="1">
      <c r="E693" s="53"/>
      <c r="H693" s="53"/>
    </row>
    <row r="694" ht="15.75" customHeight="1">
      <c r="E694" s="53"/>
      <c r="H694" s="53"/>
    </row>
    <row r="695" ht="15.75" customHeight="1">
      <c r="E695" s="53"/>
      <c r="H695" s="53"/>
    </row>
    <row r="696" ht="15.75" customHeight="1">
      <c r="E696" s="53"/>
      <c r="H696" s="53"/>
    </row>
    <row r="697" ht="15.75" customHeight="1">
      <c r="E697" s="53"/>
      <c r="H697" s="53"/>
    </row>
    <row r="698" ht="15.75" customHeight="1">
      <c r="E698" s="53"/>
      <c r="H698" s="53"/>
    </row>
    <row r="699" ht="15.75" customHeight="1">
      <c r="E699" s="53"/>
      <c r="H699" s="53"/>
    </row>
    <row r="700" ht="15.75" customHeight="1">
      <c r="E700" s="53"/>
      <c r="H700" s="53"/>
    </row>
    <row r="701" ht="15.75" customHeight="1">
      <c r="E701" s="53"/>
      <c r="H701" s="53"/>
    </row>
    <row r="702" ht="15.75" customHeight="1">
      <c r="E702" s="53"/>
      <c r="H702" s="53"/>
    </row>
    <row r="703" ht="15.75" customHeight="1">
      <c r="E703" s="53"/>
      <c r="H703" s="53"/>
    </row>
    <row r="704" ht="15.75" customHeight="1">
      <c r="E704" s="53"/>
      <c r="H704" s="53"/>
    </row>
    <row r="705" ht="15.75" customHeight="1">
      <c r="E705" s="53"/>
      <c r="H705" s="53"/>
    </row>
    <row r="706" ht="15.75" customHeight="1">
      <c r="E706" s="53"/>
      <c r="H706" s="53"/>
    </row>
    <row r="707" ht="15.75" customHeight="1">
      <c r="E707" s="53"/>
      <c r="H707" s="53"/>
    </row>
    <row r="708" ht="15.75" customHeight="1">
      <c r="E708" s="53"/>
      <c r="H708" s="53"/>
    </row>
    <row r="709" ht="15.75" customHeight="1">
      <c r="E709" s="53"/>
      <c r="H709" s="53"/>
    </row>
    <row r="710" ht="15.75" customHeight="1">
      <c r="E710" s="53"/>
      <c r="H710" s="53"/>
    </row>
    <row r="711" ht="15.75" customHeight="1">
      <c r="E711" s="53"/>
      <c r="H711" s="53"/>
    </row>
    <row r="712" ht="15.75" customHeight="1">
      <c r="E712" s="53"/>
      <c r="H712" s="53"/>
    </row>
    <row r="713" ht="15.75" customHeight="1">
      <c r="E713" s="53"/>
      <c r="H713" s="53"/>
    </row>
    <row r="714" ht="15.75" customHeight="1">
      <c r="E714" s="53"/>
      <c r="H714" s="53"/>
    </row>
    <row r="715" ht="15.75" customHeight="1">
      <c r="E715" s="53"/>
      <c r="H715" s="53"/>
    </row>
    <row r="716" ht="15.75" customHeight="1">
      <c r="E716" s="53"/>
      <c r="H716" s="53"/>
    </row>
    <row r="717" ht="15.75" customHeight="1">
      <c r="E717" s="53"/>
      <c r="H717" s="53"/>
    </row>
    <row r="718" ht="15.75" customHeight="1">
      <c r="E718" s="53"/>
      <c r="H718" s="53"/>
    </row>
    <row r="719" ht="15.75" customHeight="1">
      <c r="E719" s="53"/>
      <c r="H719" s="53"/>
    </row>
    <row r="720" ht="15.75" customHeight="1">
      <c r="E720" s="53"/>
      <c r="H720" s="53"/>
    </row>
    <row r="721" ht="15.75" customHeight="1">
      <c r="E721" s="53"/>
      <c r="H721" s="53"/>
    </row>
    <row r="722" ht="15.75" customHeight="1">
      <c r="E722" s="53"/>
      <c r="H722" s="53"/>
    </row>
    <row r="723" ht="15.75" customHeight="1">
      <c r="E723" s="53"/>
      <c r="H723" s="53"/>
    </row>
    <row r="724" ht="15.75" customHeight="1">
      <c r="E724" s="53"/>
      <c r="H724" s="53"/>
    </row>
    <row r="725" ht="15.75" customHeight="1">
      <c r="E725" s="53"/>
      <c r="H725" s="53"/>
    </row>
    <row r="726" ht="15.75" customHeight="1">
      <c r="E726" s="53"/>
      <c r="H726" s="53"/>
    </row>
    <row r="727" ht="15.75" customHeight="1">
      <c r="E727" s="53"/>
      <c r="H727" s="53"/>
    </row>
    <row r="728" ht="15.75" customHeight="1">
      <c r="E728" s="53"/>
      <c r="H728" s="53"/>
    </row>
    <row r="729" ht="15.75" customHeight="1">
      <c r="E729" s="53"/>
      <c r="H729" s="53"/>
    </row>
    <row r="730" ht="15.75" customHeight="1">
      <c r="E730" s="53"/>
      <c r="H730" s="53"/>
    </row>
    <row r="731" ht="15.75" customHeight="1">
      <c r="E731" s="53"/>
      <c r="H731" s="53"/>
    </row>
    <row r="732" ht="15.75" customHeight="1">
      <c r="E732" s="53"/>
      <c r="H732" s="53"/>
    </row>
    <row r="733" ht="15.75" customHeight="1">
      <c r="E733" s="53"/>
      <c r="H733" s="53"/>
    </row>
    <row r="734" ht="15.75" customHeight="1">
      <c r="E734" s="53"/>
      <c r="H734" s="53"/>
    </row>
    <row r="735" ht="15.75" customHeight="1">
      <c r="E735" s="53"/>
      <c r="H735" s="53"/>
    </row>
    <row r="736" ht="15.75" customHeight="1">
      <c r="E736" s="53"/>
      <c r="H736" s="53"/>
    </row>
    <row r="737" ht="15.75" customHeight="1">
      <c r="E737" s="53"/>
      <c r="H737" s="53"/>
    </row>
    <row r="738" ht="15.75" customHeight="1">
      <c r="E738" s="53"/>
      <c r="H738" s="53"/>
    </row>
    <row r="739" ht="15.75" customHeight="1">
      <c r="E739" s="53"/>
      <c r="H739" s="53"/>
    </row>
    <row r="740" ht="15.75" customHeight="1">
      <c r="E740" s="53"/>
      <c r="H740" s="53"/>
    </row>
    <row r="741" ht="15.75" customHeight="1">
      <c r="E741" s="53"/>
      <c r="H741" s="53"/>
    </row>
    <row r="742" ht="15.75" customHeight="1">
      <c r="E742" s="53"/>
      <c r="H742" s="53"/>
    </row>
    <row r="743" ht="15.75" customHeight="1">
      <c r="E743" s="53"/>
      <c r="H743" s="53"/>
    </row>
    <row r="744" ht="15.75" customHeight="1">
      <c r="E744" s="53"/>
      <c r="H744" s="53"/>
    </row>
    <row r="745" ht="15.75" customHeight="1">
      <c r="E745" s="53"/>
      <c r="H745" s="53"/>
    </row>
    <row r="746" ht="15.75" customHeight="1">
      <c r="E746" s="53"/>
      <c r="H746" s="53"/>
    </row>
    <row r="747" ht="15.75" customHeight="1">
      <c r="E747" s="53"/>
      <c r="H747" s="53"/>
    </row>
    <row r="748" ht="15.75" customHeight="1">
      <c r="E748" s="53"/>
      <c r="H748" s="53"/>
    </row>
    <row r="749" ht="15.75" customHeight="1">
      <c r="E749" s="53"/>
      <c r="H749" s="53"/>
    </row>
    <row r="750" ht="15.75" customHeight="1">
      <c r="E750" s="53"/>
      <c r="H750" s="53"/>
    </row>
    <row r="751" ht="15.75" customHeight="1">
      <c r="E751" s="53"/>
      <c r="H751" s="53"/>
    </row>
    <row r="752" ht="15.75" customHeight="1">
      <c r="E752" s="53"/>
      <c r="H752" s="53"/>
    </row>
    <row r="753" ht="15.75" customHeight="1">
      <c r="E753" s="53"/>
      <c r="H753" s="53"/>
    </row>
    <row r="754" ht="15.75" customHeight="1">
      <c r="E754" s="53"/>
      <c r="H754" s="53"/>
    </row>
    <row r="755" ht="15.75" customHeight="1">
      <c r="E755" s="53"/>
      <c r="H755" s="53"/>
    </row>
    <row r="756" ht="15.75" customHeight="1">
      <c r="E756" s="53"/>
      <c r="H756" s="53"/>
    </row>
    <row r="757" ht="15.75" customHeight="1">
      <c r="E757" s="53"/>
      <c r="H757" s="53"/>
    </row>
    <row r="758" ht="15.75" customHeight="1">
      <c r="E758" s="53"/>
      <c r="H758" s="53"/>
    </row>
    <row r="759" ht="15.75" customHeight="1">
      <c r="E759" s="53"/>
      <c r="H759" s="53"/>
    </row>
    <row r="760" ht="15.75" customHeight="1">
      <c r="E760" s="53"/>
      <c r="H760" s="53"/>
    </row>
    <row r="761" ht="15.75" customHeight="1">
      <c r="E761" s="53"/>
      <c r="H761" s="53"/>
    </row>
    <row r="762" ht="15.75" customHeight="1">
      <c r="E762" s="53"/>
      <c r="H762" s="53"/>
    </row>
    <row r="763" ht="15.75" customHeight="1">
      <c r="E763" s="53"/>
      <c r="H763" s="53"/>
    </row>
    <row r="764" ht="15.75" customHeight="1">
      <c r="E764" s="53"/>
      <c r="H764" s="53"/>
    </row>
    <row r="765" ht="15.75" customHeight="1">
      <c r="E765" s="53"/>
      <c r="H765" s="53"/>
    </row>
    <row r="766" ht="15.75" customHeight="1">
      <c r="E766" s="53"/>
      <c r="H766" s="53"/>
    </row>
    <row r="767" ht="15.75" customHeight="1">
      <c r="E767" s="53"/>
      <c r="H767" s="53"/>
    </row>
    <row r="768" ht="15.75" customHeight="1">
      <c r="E768" s="53"/>
      <c r="H768" s="53"/>
    </row>
    <row r="769" ht="15.75" customHeight="1">
      <c r="E769" s="53"/>
      <c r="H769" s="53"/>
    </row>
    <row r="770" ht="15.75" customHeight="1">
      <c r="E770" s="53"/>
      <c r="H770" s="53"/>
    </row>
    <row r="771" ht="15.75" customHeight="1">
      <c r="E771" s="53"/>
      <c r="H771" s="53"/>
    </row>
    <row r="772" ht="15.75" customHeight="1">
      <c r="E772" s="53"/>
      <c r="H772" s="53"/>
    </row>
    <row r="773" ht="15.75" customHeight="1">
      <c r="E773" s="53"/>
      <c r="H773" s="53"/>
    </row>
    <row r="774" ht="15.75" customHeight="1">
      <c r="E774" s="53"/>
      <c r="H774" s="53"/>
    </row>
    <row r="775" ht="15.75" customHeight="1">
      <c r="E775" s="53"/>
      <c r="H775" s="53"/>
    </row>
    <row r="776" ht="15.75" customHeight="1">
      <c r="E776" s="53"/>
      <c r="H776" s="53"/>
    </row>
    <row r="777" ht="15.75" customHeight="1">
      <c r="E777" s="53"/>
      <c r="H777" s="53"/>
    </row>
    <row r="778" ht="15.75" customHeight="1">
      <c r="E778" s="53"/>
      <c r="H778" s="53"/>
    </row>
    <row r="779" ht="15.75" customHeight="1">
      <c r="E779" s="53"/>
      <c r="H779" s="53"/>
    </row>
    <row r="780" ht="15.75" customHeight="1">
      <c r="E780" s="53"/>
      <c r="H780" s="53"/>
    </row>
    <row r="781" ht="15.75" customHeight="1">
      <c r="E781" s="53"/>
      <c r="H781" s="53"/>
    </row>
    <row r="782" ht="15.75" customHeight="1">
      <c r="E782" s="53"/>
      <c r="H782" s="53"/>
    </row>
    <row r="783" ht="15.75" customHeight="1">
      <c r="E783" s="53"/>
      <c r="H783" s="53"/>
    </row>
    <row r="784" ht="15.75" customHeight="1">
      <c r="E784" s="53"/>
      <c r="H784" s="53"/>
    </row>
    <row r="785" ht="15.75" customHeight="1">
      <c r="E785" s="53"/>
      <c r="H785" s="53"/>
    </row>
    <row r="786" ht="15.75" customHeight="1">
      <c r="E786" s="53"/>
      <c r="H786" s="53"/>
    </row>
    <row r="787" ht="15.75" customHeight="1">
      <c r="E787" s="53"/>
      <c r="H787" s="53"/>
    </row>
    <row r="788" ht="15.75" customHeight="1">
      <c r="E788" s="53"/>
      <c r="H788" s="53"/>
    </row>
    <row r="789" ht="15.75" customHeight="1">
      <c r="E789" s="53"/>
      <c r="H789" s="53"/>
    </row>
    <row r="790" ht="15.75" customHeight="1">
      <c r="E790" s="53"/>
      <c r="H790" s="53"/>
    </row>
    <row r="791" ht="15.75" customHeight="1">
      <c r="E791" s="53"/>
      <c r="H791" s="53"/>
    </row>
    <row r="792" ht="15.75" customHeight="1">
      <c r="E792" s="53"/>
      <c r="H792" s="53"/>
    </row>
    <row r="793" ht="15.75" customHeight="1">
      <c r="E793" s="53"/>
      <c r="H793" s="53"/>
    </row>
    <row r="794" ht="15.75" customHeight="1">
      <c r="E794" s="53"/>
      <c r="H794" s="53"/>
    </row>
    <row r="795" ht="15.75" customHeight="1">
      <c r="E795" s="53"/>
      <c r="H795" s="53"/>
    </row>
    <row r="796" ht="15.75" customHeight="1">
      <c r="E796" s="53"/>
      <c r="H796" s="53"/>
    </row>
    <row r="797" ht="15.75" customHeight="1">
      <c r="E797" s="53"/>
      <c r="H797" s="53"/>
    </row>
    <row r="798" ht="15.75" customHeight="1">
      <c r="E798" s="53"/>
      <c r="H798" s="53"/>
    </row>
    <row r="799" ht="15.75" customHeight="1">
      <c r="E799" s="53"/>
      <c r="H799" s="53"/>
    </row>
    <row r="800" ht="15.75" customHeight="1">
      <c r="E800" s="53"/>
      <c r="H800" s="53"/>
    </row>
    <row r="801" ht="15.75" customHeight="1">
      <c r="E801" s="53"/>
      <c r="H801" s="53"/>
    </row>
    <row r="802" ht="15.75" customHeight="1">
      <c r="E802" s="53"/>
      <c r="H802" s="53"/>
    </row>
    <row r="803" ht="15.75" customHeight="1">
      <c r="E803" s="53"/>
      <c r="H803" s="53"/>
    </row>
    <row r="804" ht="15.75" customHeight="1">
      <c r="E804" s="53"/>
      <c r="H804" s="53"/>
    </row>
    <row r="805" ht="15.75" customHeight="1">
      <c r="E805" s="53"/>
      <c r="H805" s="53"/>
    </row>
    <row r="806" ht="15.75" customHeight="1">
      <c r="E806" s="53"/>
      <c r="H806" s="53"/>
    </row>
    <row r="807" ht="15.75" customHeight="1">
      <c r="E807" s="53"/>
      <c r="H807" s="53"/>
    </row>
    <row r="808" ht="15.75" customHeight="1">
      <c r="E808" s="53"/>
      <c r="H808" s="53"/>
    </row>
    <row r="809" ht="15.75" customHeight="1">
      <c r="E809" s="53"/>
      <c r="H809" s="53"/>
    </row>
    <row r="810" ht="15.75" customHeight="1">
      <c r="E810" s="53"/>
      <c r="H810" s="53"/>
    </row>
    <row r="811" ht="15.75" customHeight="1">
      <c r="E811" s="53"/>
      <c r="H811" s="53"/>
    </row>
    <row r="812" ht="15.75" customHeight="1">
      <c r="E812" s="53"/>
      <c r="H812" s="53"/>
    </row>
    <row r="813" ht="15.75" customHeight="1">
      <c r="E813" s="53"/>
      <c r="H813" s="53"/>
    </row>
    <row r="814" ht="15.75" customHeight="1">
      <c r="E814" s="53"/>
      <c r="H814" s="53"/>
    </row>
    <row r="815" ht="15.75" customHeight="1">
      <c r="E815" s="53"/>
      <c r="H815" s="53"/>
    </row>
    <row r="816" ht="15.75" customHeight="1">
      <c r="E816" s="53"/>
      <c r="H816" s="53"/>
    </row>
    <row r="817" ht="15.75" customHeight="1">
      <c r="E817" s="53"/>
      <c r="H817" s="53"/>
    </row>
    <row r="818" ht="15.75" customHeight="1">
      <c r="E818" s="53"/>
      <c r="H818" s="53"/>
    </row>
    <row r="819" ht="15.75" customHeight="1">
      <c r="E819" s="53"/>
      <c r="H819" s="53"/>
    </row>
    <row r="820" ht="15.75" customHeight="1">
      <c r="E820" s="53"/>
      <c r="H820" s="53"/>
    </row>
    <row r="821" ht="15.75" customHeight="1">
      <c r="E821" s="53"/>
      <c r="H821" s="53"/>
    </row>
    <row r="822" ht="15.75" customHeight="1">
      <c r="E822" s="53"/>
      <c r="H822" s="53"/>
    </row>
    <row r="823" ht="15.75" customHeight="1">
      <c r="E823" s="53"/>
      <c r="H823" s="53"/>
    </row>
    <row r="824" ht="15.75" customHeight="1">
      <c r="E824" s="53"/>
      <c r="H824" s="53"/>
    </row>
    <row r="825" ht="15.75" customHeight="1">
      <c r="E825" s="53"/>
      <c r="H825" s="53"/>
    </row>
    <row r="826" ht="15.75" customHeight="1">
      <c r="E826" s="53"/>
      <c r="H826" s="53"/>
    </row>
    <row r="827" ht="15.75" customHeight="1">
      <c r="E827" s="53"/>
      <c r="H827" s="53"/>
    </row>
    <row r="828" ht="15.75" customHeight="1">
      <c r="E828" s="53"/>
      <c r="H828" s="53"/>
    </row>
    <row r="829" ht="15.75" customHeight="1">
      <c r="E829" s="53"/>
      <c r="H829" s="53"/>
    </row>
    <row r="830" ht="15.75" customHeight="1">
      <c r="E830" s="53"/>
      <c r="H830" s="53"/>
    </row>
    <row r="831" ht="15.75" customHeight="1">
      <c r="E831" s="53"/>
      <c r="H831" s="53"/>
    </row>
    <row r="832" ht="15.75" customHeight="1">
      <c r="E832" s="53"/>
      <c r="H832" s="53"/>
    </row>
    <row r="833" ht="15.75" customHeight="1">
      <c r="E833" s="53"/>
      <c r="H833" s="53"/>
    </row>
    <row r="834" ht="15.75" customHeight="1">
      <c r="E834" s="53"/>
      <c r="H834" s="53"/>
    </row>
    <row r="835" ht="15.75" customHeight="1">
      <c r="E835" s="53"/>
      <c r="H835" s="53"/>
    </row>
    <row r="836" ht="15.75" customHeight="1">
      <c r="E836" s="53"/>
      <c r="H836" s="53"/>
    </row>
    <row r="837" ht="15.75" customHeight="1">
      <c r="E837" s="53"/>
      <c r="H837" s="53"/>
    </row>
    <row r="838" ht="15.75" customHeight="1">
      <c r="E838" s="53"/>
      <c r="H838" s="53"/>
    </row>
    <row r="839" ht="15.75" customHeight="1">
      <c r="E839" s="53"/>
      <c r="H839" s="53"/>
    </row>
    <row r="840" ht="15.75" customHeight="1">
      <c r="E840" s="53"/>
      <c r="H840" s="53"/>
    </row>
    <row r="841" ht="15.75" customHeight="1">
      <c r="E841" s="53"/>
      <c r="H841" s="53"/>
    </row>
    <row r="842" ht="15.75" customHeight="1">
      <c r="E842" s="53"/>
      <c r="H842" s="53"/>
    </row>
    <row r="843" ht="15.75" customHeight="1">
      <c r="E843" s="53"/>
      <c r="H843" s="53"/>
    </row>
    <row r="844" ht="15.75" customHeight="1">
      <c r="E844" s="53"/>
      <c r="H844" s="53"/>
    </row>
    <row r="845" ht="15.75" customHeight="1">
      <c r="E845" s="53"/>
      <c r="H845" s="53"/>
    </row>
    <row r="846" ht="15.75" customHeight="1">
      <c r="E846" s="53"/>
      <c r="H846" s="53"/>
    </row>
    <row r="847" ht="15.75" customHeight="1">
      <c r="E847" s="53"/>
      <c r="H847" s="53"/>
    </row>
    <row r="848" ht="15.75" customHeight="1">
      <c r="E848" s="53"/>
      <c r="H848" s="53"/>
    </row>
    <row r="849" ht="15.75" customHeight="1">
      <c r="E849" s="53"/>
      <c r="H849" s="53"/>
    </row>
    <row r="850" ht="15.75" customHeight="1">
      <c r="E850" s="53"/>
      <c r="H850" s="53"/>
    </row>
    <row r="851" ht="15.75" customHeight="1">
      <c r="E851" s="53"/>
      <c r="H851" s="53"/>
    </row>
    <row r="852" ht="15.75" customHeight="1">
      <c r="E852" s="53"/>
      <c r="H852" s="53"/>
    </row>
    <row r="853" ht="15.75" customHeight="1">
      <c r="E853" s="53"/>
      <c r="H853" s="53"/>
    </row>
    <row r="854" ht="15.75" customHeight="1">
      <c r="E854" s="53"/>
      <c r="H854" s="53"/>
    </row>
    <row r="855" ht="15.75" customHeight="1">
      <c r="E855" s="53"/>
      <c r="H855" s="53"/>
    </row>
    <row r="856" ht="15.75" customHeight="1">
      <c r="E856" s="53"/>
      <c r="H856" s="53"/>
    </row>
    <row r="857" ht="15.75" customHeight="1">
      <c r="E857" s="53"/>
      <c r="H857" s="53"/>
    </row>
    <row r="858" ht="15.75" customHeight="1">
      <c r="E858" s="53"/>
      <c r="H858" s="53"/>
    </row>
    <row r="859" ht="15.75" customHeight="1">
      <c r="E859" s="53"/>
      <c r="H859" s="53"/>
    </row>
    <row r="860" ht="15.75" customHeight="1">
      <c r="E860" s="53"/>
      <c r="H860" s="53"/>
    </row>
    <row r="861" ht="15.75" customHeight="1">
      <c r="E861" s="53"/>
      <c r="H861" s="53"/>
    </row>
    <row r="862" ht="15.75" customHeight="1">
      <c r="E862" s="53"/>
      <c r="H862" s="53"/>
    </row>
    <row r="863" ht="15.75" customHeight="1">
      <c r="E863" s="53"/>
      <c r="H863" s="53"/>
    </row>
    <row r="864" ht="15.75" customHeight="1">
      <c r="E864" s="53"/>
      <c r="H864" s="53"/>
    </row>
    <row r="865" ht="15.75" customHeight="1">
      <c r="E865" s="53"/>
      <c r="H865" s="53"/>
    </row>
    <row r="866" ht="15.75" customHeight="1">
      <c r="E866" s="53"/>
      <c r="H866" s="53"/>
    </row>
    <row r="867" ht="15.75" customHeight="1">
      <c r="E867" s="53"/>
      <c r="H867" s="53"/>
    </row>
    <row r="868" ht="15.75" customHeight="1">
      <c r="E868" s="53"/>
      <c r="H868" s="53"/>
    </row>
    <row r="869" ht="15.75" customHeight="1">
      <c r="E869" s="53"/>
      <c r="H869" s="53"/>
    </row>
    <row r="870" ht="15.75" customHeight="1">
      <c r="E870" s="53"/>
      <c r="H870" s="53"/>
    </row>
    <row r="871" ht="15.75" customHeight="1">
      <c r="E871" s="53"/>
      <c r="H871" s="53"/>
    </row>
    <row r="872" ht="15.75" customHeight="1">
      <c r="E872" s="53"/>
      <c r="H872" s="53"/>
    </row>
    <row r="873" ht="15.75" customHeight="1">
      <c r="E873" s="53"/>
      <c r="H873" s="53"/>
    </row>
    <row r="874" ht="15.75" customHeight="1">
      <c r="E874" s="53"/>
      <c r="H874" s="53"/>
    </row>
    <row r="875" ht="15.75" customHeight="1">
      <c r="E875" s="53"/>
      <c r="H875" s="53"/>
    </row>
    <row r="876" ht="15.75" customHeight="1">
      <c r="E876" s="53"/>
      <c r="H876" s="53"/>
    </row>
    <row r="877" ht="15.75" customHeight="1">
      <c r="E877" s="53"/>
      <c r="H877" s="53"/>
    </row>
    <row r="878" ht="15.75" customHeight="1">
      <c r="E878" s="53"/>
      <c r="H878" s="53"/>
    </row>
    <row r="879" ht="15.75" customHeight="1">
      <c r="E879" s="53"/>
      <c r="H879" s="53"/>
    </row>
    <row r="880" ht="15.75" customHeight="1">
      <c r="E880" s="53"/>
      <c r="H880" s="53"/>
    </row>
    <row r="881" ht="15.75" customHeight="1">
      <c r="E881" s="53"/>
      <c r="H881" s="53"/>
    </row>
    <row r="882" ht="15.75" customHeight="1">
      <c r="E882" s="53"/>
      <c r="H882" s="53"/>
    </row>
    <row r="883" ht="15.75" customHeight="1">
      <c r="E883" s="53"/>
      <c r="H883" s="53"/>
    </row>
    <row r="884" ht="15.75" customHeight="1">
      <c r="E884" s="53"/>
      <c r="H884" s="53"/>
    </row>
    <row r="885" ht="15.75" customHeight="1">
      <c r="E885" s="53"/>
      <c r="H885" s="53"/>
    </row>
    <row r="886" ht="15.75" customHeight="1">
      <c r="E886" s="53"/>
      <c r="H886" s="53"/>
    </row>
    <row r="887" ht="15.75" customHeight="1">
      <c r="E887" s="53"/>
      <c r="H887" s="53"/>
    </row>
    <row r="888" ht="15.75" customHeight="1">
      <c r="E888" s="53"/>
      <c r="H888" s="53"/>
    </row>
    <row r="889" ht="15.75" customHeight="1">
      <c r="E889" s="53"/>
      <c r="H889" s="53"/>
    </row>
    <row r="890" ht="15.75" customHeight="1">
      <c r="E890" s="53"/>
      <c r="H890" s="53"/>
    </row>
    <row r="891" ht="15.75" customHeight="1">
      <c r="E891" s="53"/>
      <c r="H891" s="53"/>
    </row>
    <row r="892" ht="15.75" customHeight="1">
      <c r="E892" s="53"/>
      <c r="H892" s="53"/>
    </row>
    <row r="893" ht="15.75" customHeight="1">
      <c r="E893" s="53"/>
      <c r="H893" s="53"/>
    </row>
    <row r="894" ht="15.75" customHeight="1">
      <c r="E894" s="53"/>
      <c r="H894" s="53"/>
    </row>
    <row r="895" ht="15.75" customHeight="1">
      <c r="E895" s="53"/>
      <c r="H895" s="53"/>
    </row>
    <row r="896" ht="15.75" customHeight="1">
      <c r="E896" s="53"/>
      <c r="H896" s="53"/>
    </row>
    <row r="897" ht="15.75" customHeight="1">
      <c r="E897" s="53"/>
      <c r="H897" s="53"/>
    </row>
    <row r="898" ht="15.75" customHeight="1">
      <c r="E898" s="53"/>
      <c r="H898" s="53"/>
    </row>
    <row r="899" ht="15.75" customHeight="1">
      <c r="E899" s="53"/>
      <c r="H899" s="53"/>
    </row>
    <row r="900" ht="15.75" customHeight="1">
      <c r="E900" s="53"/>
      <c r="H900" s="53"/>
    </row>
    <row r="901" ht="15.75" customHeight="1">
      <c r="E901" s="53"/>
      <c r="H901" s="53"/>
    </row>
    <row r="902" ht="15.75" customHeight="1">
      <c r="E902" s="53"/>
      <c r="H902" s="53"/>
    </row>
    <row r="903" ht="15.75" customHeight="1">
      <c r="E903" s="53"/>
      <c r="H903" s="53"/>
    </row>
    <row r="904" ht="15.75" customHeight="1">
      <c r="E904" s="53"/>
      <c r="H904" s="53"/>
    </row>
    <row r="905" ht="15.75" customHeight="1">
      <c r="E905" s="53"/>
      <c r="H905" s="53"/>
    </row>
    <row r="906" ht="15.75" customHeight="1">
      <c r="E906" s="53"/>
      <c r="H906" s="53"/>
    </row>
    <row r="907" ht="15.75" customHeight="1">
      <c r="E907" s="53"/>
      <c r="H907" s="53"/>
    </row>
    <row r="908" ht="15.75" customHeight="1">
      <c r="E908" s="53"/>
      <c r="H908" s="53"/>
    </row>
    <row r="909" ht="15.75" customHeight="1">
      <c r="E909" s="53"/>
      <c r="H909" s="53"/>
    </row>
    <row r="910" ht="15.75" customHeight="1">
      <c r="E910" s="53"/>
      <c r="H910" s="53"/>
    </row>
    <row r="911" ht="15.75" customHeight="1">
      <c r="E911" s="53"/>
      <c r="H911" s="53"/>
    </row>
    <row r="912" ht="15.75" customHeight="1">
      <c r="E912" s="53"/>
      <c r="H912" s="53"/>
    </row>
    <row r="913" ht="15.75" customHeight="1">
      <c r="E913" s="53"/>
      <c r="H913" s="53"/>
    </row>
    <row r="914" ht="15.75" customHeight="1">
      <c r="E914" s="53"/>
      <c r="H914" s="53"/>
    </row>
    <row r="915" ht="15.75" customHeight="1">
      <c r="E915" s="53"/>
      <c r="H915" s="53"/>
    </row>
    <row r="916" ht="15.75" customHeight="1">
      <c r="E916" s="53"/>
      <c r="H916" s="53"/>
    </row>
    <row r="917" ht="15.75" customHeight="1">
      <c r="E917" s="53"/>
      <c r="H917" s="53"/>
    </row>
    <row r="918" ht="15.75" customHeight="1">
      <c r="E918" s="53"/>
      <c r="H918" s="53"/>
    </row>
    <row r="919" ht="15.75" customHeight="1">
      <c r="E919" s="53"/>
      <c r="H919" s="53"/>
    </row>
    <row r="920" ht="15.75" customHeight="1">
      <c r="E920" s="53"/>
      <c r="H920" s="53"/>
    </row>
    <row r="921" ht="15.75" customHeight="1">
      <c r="E921" s="53"/>
      <c r="H921" s="53"/>
    </row>
    <row r="922" ht="15.75" customHeight="1">
      <c r="E922" s="53"/>
      <c r="H922" s="53"/>
    </row>
    <row r="923" ht="15.75" customHeight="1">
      <c r="E923" s="53"/>
      <c r="H923" s="53"/>
    </row>
    <row r="924" ht="15.75" customHeight="1">
      <c r="E924" s="53"/>
      <c r="H924" s="53"/>
    </row>
    <row r="925" ht="15.75" customHeight="1">
      <c r="E925" s="53"/>
      <c r="H925" s="53"/>
    </row>
    <row r="926" ht="15.75" customHeight="1">
      <c r="E926" s="53"/>
      <c r="H926" s="53"/>
    </row>
    <row r="927" ht="15.75" customHeight="1">
      <c r="E927" s="53"/>
      <c r="H927" s="53"/>
    </row>
    <row r="928" ht="15.75" customHeight="1">
      <c r="E928" s="53"/>
      <c r="H928" s="53"/>
    </row>
    <row r="929" ht="15.75" customHeight="1">
      <c r="E929" s="53"/>
      <c r="H929" s="53"/>
    </row>
    <row r="930" ht="15.75" customHeight="1">
      <c r="E930" s="53"/>
      <c r="H930" s="53"/>
    </row>
    <row r="931" ht="15.75" customHeight="1">
      <c r="E931" s="53"/>
      <c r="H931" s="53"/>
    </row>
    <row r="932" ht="15.75" customHeight="1">
      <c r="E932" s="53"/>
      <c r="H932" s="53"/>
    </row>
    <row r="933" ht="15.75" customHeight="1">
      <c r="E933" s="53"/>
      <c r="H933" s="53"/>
    </row>
    <row r="934" ht="15.75" customHeight="1">
      <c r="E934" s="53"/>
      <c r="H934" s="53"/>
    </row>
    <row r="935" ht="15.75" customHeight="1">
      <c r="E935" s="53"/>
      <c r="H935" s="53"/>
    </row>
    <row r="936" ht="15.75" customHeight="1">
      <c r="E936" s="53"/>
      <c r="H936" s="53"/>
    </row>
    <row r="937" ht="15.75" customHeight="1">
      <c r="E937" s="53"/>
      <c r="H937" s="53"/>
    </row>
    <row r="938" ht="15.75" customHeight="1">
      <c r="E938" s="53"/>
      <c r="H938" s="53"/>
    </row>
    <row r="939" ht="15.75" customHeight="1">
      <c r="E939" s="53"/>
      <c r="H939" s="53"/>
    </row>
    <row r="940" ht="15.75" customHeight="1">
      <c r="E940" s="53"/>
      <c r="H940" s="53"/>
    </row>
    <row r="941" ht="15.75" customHeight="1">
      <c r="E941" s="53"/>
      <c r="H941" s="53"/>
    </row>
    <row r="942" ht="15.75" customHeight="1">
      <c r="E942" s="53"/>
      <c r="H942" s="53"/>
    </row>
    <row r="943" ht="15.75" customHeight="1">
      <c r="E943" s="53"/>
      <c r="H943" s="53"/>
    </row>
    <row r="944" ht="15.75" customHeight="1">
      <c r="E944" s="53"/>
      <c r="H944" s="53"/>
    </row>
    <row r="945" ht="15.75" customHeight="1">
      <c r="E945" s="53"/>
      <c r="H945" s="53"/>
    </row>
    <row r="946" ht="15.75" customHeight="1">
      <c r="E946" s="53"/>
      <c r="H946" s="53"/>
    </row>
    <row r="947" ht="15.75" customHeight="1">
      <c r="E947" s="53"/>
      <c r="H947" s="53"/>
    </row>
    <row r="948" ht="15.75" customHeight="1">
      <c r="E948" s="53"/>
      <c r="H948" s="53"/>
    </row>
    <row r="949" ht="15.75" customHeight="1">
      <c r="E949" s="53"/>
      <c r="H949" s="53"/>
    </row>
    <row r="950" ht="15.75" customHeight="1">
      <c r="E950" s="53"/>
      <c r="H950" s="53"/>
    </row>
    <row r="951" ht="15.75" customHeight="1">
      <c r="E951" s="53"/>
      <c r="H951" s="53"/>
    </row>
    <row r="952" ht="15.75" customHeight="1">
      <c r="E952" s="53"/>
      <c r="H952" s="53"/>
    </row>
    <row r="953" ht="15.75" customHeight="1">
      <c r="E953" s="53"/>
      <c r="H953" s="53"/>
    </row>
    <row r="954" ht="15.75" customHeight="1">
      <c r="E954" s="53"/>
      <c r="H954" s="53"/>
    </row>
    <row r="955" ht="15.75" customHeight="1">
      <c r="E955" s="53"/>
      <c r="H955" s="53"/>
    </row>
    <row r="956" ht="15.75" customHeight="1">
      <c r="E956" s="53"/>
      <c r="H956" s="53"/>
    </row>
    <row r="957" ht="15.75" customHeight="1">
      <c r="E957" s="53"/>
      <c r="H957" s="53"/>
    </row>
    <row r="958" ht="15.75" customHeight="1">
      <c r="E958" s="53"/>
      <c r="H958" s="53"/>
    </row>
    <row r="959" ht="15.75" customHeight="1">
      <c r="E959" s="53"/>
      <c r="H959" s="53"/>
    </row>
    <row r="960" ht="15.75" customHeight="1">
      <c r="E960" s="53"/>
      <c r="H960" s="53"/>
    </row>
    <row r="961" ht="15.75" customHeight="1">
      <c r="E961" s="53"/>
      <c r="H961" s="53"/>
    </row>
    <row r="962" ht="15.75" customHeight="1">
      <c r="E962" s="53"/>
      <c r="H962" s="53"/>
    </row>
    <row r="963" ht="15.75" customHeight="1">
      <c r="E963" s="53"/>
      <c r="H963" s="53"/>
    </row>
    <row r="964" ht="15.75" customHeight="1">
      <c r="E964" s="53"/>
      <c r="H964" s="53"/>
    </row>
    <row r="965" ht="15.75" customHeight="1">
      <c r="E965" s="53"/>
      <c r="H965" s="53"/>
    </row>
    <row r="966" ht="15.75" customHeight="1">
      <c r="E966" s="53"/>
      <c r="H966" s="53"/>
    </row>
    <row r="967" ht="15.75" customHeight="1">
      <c r="E967" s="53"/>
      <c r="H967" s="53"/>
    </row>
    <row r="968" ht="15.75" customHeight="1">
      <c r="E968" s="53"/>
      <c r="H968" s="53"/>
    </row>
    <row r="969" ht="15.75" customHeight="1">
      <c r="E969" s="53"/>
      <c r="H969" s="53"/>
    </row>
    <row r="970" ht="15.75" customHeight="1">
      <c r="E970" s="53"/>
      <c r="H970" s="53"/>
    </row>
    <row r="971" ht="15.75" customHeight="1">
      <c r="E971" s="53"/>
      <c r="H971" s="53"/>
    </row>
    <row r="972" ht="15.75" customHeight="1">
      <c r="E972" s="53"/>
      <c r="H972" s="53"/>
    </row>
    <row r="973" ht="15.75" customHeight="1">
      <c r="E973" s="53"/>
      <c r="H973" s="53"/>
    </row>
    <row r="974" ht="15.75" customHeight="1">
      <c r="E974" s="53"/>
      <c r="H974" s="53"/>
    </row>
    <row r="975" ht="15.75" customHeight="1">
      <c r="E975" s="53"/>
      <c r="H975" s="53"/>
    </row>
    <row r="976" ht="15.75" customHeight="1">
      <c r="E976" s="53"/>
      <c r="H976" s="53"/>
    </row>
    <row r="977" ht="15.75" customHeight="1">
      <c r="E977" s="53"/>
      <c r="H977" s="53"/>
    </row>
    <row r="978" ht="15.75" customHeight="1">
      <c r="E978" s="53"/>
      <c r="H978" s="53"/>
    </row>
    <row r="979" ht="15.75" customHeight="1">
      <c r="E979" s="53"/>
      <c r="H979" s="53"/>
    </row>
    <row r="980" ht="15.75" customHeight="1">
      <c r="E980" s="53"/>
      <c r="H980" s="53"/>
    </row>
    <row r="981" ht="15.75" customHeight="1">
      <c r="E981" s="53"/>
      <c r="H981" s="53"/>
    </row>
    <row r="982" ht="15.75" customHeight="1">
      <c r="E982" s="53"/>
      <c r="H982" s="53"/>
    </row>
    <row r="983" ht="15.75" customHeight="1">
      <c r="E983" s="53"/>
      <c r="H983" s="53"/>
    </row>
    <row r="984" ht="15.75" customHeight="1">
      <c r="E984" s="53"/>
      <c r="H984" s="53"/>
    </row>
    <row r="985" ht="15.75" customHeight="1">
      <c r="E985" s="53"/>
      <c r="H985" s="53"/>
    </row>
    <row r="986" ht="15.75" customHeight="1">
      <c r="E986" s="53"/>
      <c r="H986" s="53"/>
    </row>
    <row r="987" ht="15.75" customHeight="1">
      <c r="E987" s="53"/>
      <c r="H987" s="53"/>
    </row>
    <row r="988" ht="15.75" customHeight="1">
      <c r="E988" s="53"/>
      <c r="H988" s="53"/>
    </row>
    <row r="989" ht="15.75" customHeight="1">
      <c r="E989" s="53"/>
      <c r="H989" s="53"/>
    </row>
    <row r="990" ht="15.75" customHeight="1">
      <c r="E990" s="53"/>
      <c r="H990" s="53"/>
    </row>
    <row r="991" ht="15.75" customHeight="1">
      <c r="E991" s="53"/>
      <c r="H991" s="53"/>
    </row>
    <row r="992" ht="15.75" customHeight="1">
      <c r="E992" s="53"/>
      <c r="H992" s="53"/>
    </row>
    <row r="993" ht="15.75" customHeight="1">
      <c r="E993" s="53"/>
      <c r="H993" s="53"/>
    </row>
    <row r="994" ht="15.75" customHeight="1">
      <c r="E994" s="53"/>
      <c r="H994" s="53"/>
    </row>
    <row r="995" ht="15.75" customHeight="1">
      <c r="E995" s="53"/>
      <c r="H995" s="53"/>
    </row>
    <row r="996" ht="15.75" customHeight="1">
      <c r="E996" s="53"/>
      <c r="H996" s="53"/>
    </row>
    <row r="997" ht="15.75" customHeight="1">
      <c r="E997" s="53"/>
      <c r="H997" s="53"/>
    </row>
    <row r="998" ht="15.75" customHeight="1">
      <c r="E998" s="53"/>
      <c r="H998" s="53"/>
    </row>
    <row r="999" ht="15.75" customHeight="1">
      <c r="E999" s="53"/>
      <c r="H999" s="53"/>
    </row>
    <row r="1000" ht="15.75" customHeight="1">
      <c r="E1000" s="53"/>
      <c r="H1000" s="5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2.14"/>
    <col customWidth="1" min="2" max="2" width="4.43"/>
    <col customWidth="1" min="3" max="5" width="22.29"/>
    <col customWidth="1" min="6" max="9" width="12.43"/>
    <col customWidth="1" min="10" max="12" width="26.71"/>
    <col customWidth="1" min="13" max="13" width="13.14"/>
    <col customWidth="1" min="14" max="16" width="14.71"/>
    <col customWidth="1" min="17" max="17" width="15.57"/>
    <col customWidth="1" min="18" max="18" width="32.86"/>
    <col customWidth="1" min="19" max="19" width="2.29"/>
  </cols>
  <sheetData>
    <row r="1" ht="10.5" customHeight="1">
      <c r="A1" s="29"/>
      <c r="B1" s="30"/>
      <c r="C1" s="29"/>
      <c r="D1" s="29"/>
      <c r="E1" s="29"/>
      <c r="F1" s="29"/>
      <c r="G1" s="29"/>
      <c r="H1" s="29"/>
      <c r="I1" s="29"/>
      <c r="J1" s="29"/>
      <c r="K1" s="29"/>
      <c r="L1" s="29"/>
      <c r="M1" s="30"/>
      <c r="N1" s="31"/>
      <c r="O1" s="31"/>
      <c r="P1" s="29"/>
      <c r="Q1" s="29"/>
      <c r="R1" s="29"/>
      <c r="S1" s="29"/>
    </row>
    <row r="2">
      <c r="A2" s="29"/>
      <c r="B2" s="33" t="s">
        <v>155</v>
      </c>
      <c r="C2" s="34"/>
      <c r="D2" s="34"/>
      <c r="E2" s="34"/>
      <c r="F2" s="34"/>
      <c r="G2" s="34"/>
      <c r="H2" s="34"/>
      <c r="I2" s="34"/>
      <c r="J2" s="34"/>
      <c r="K2" s="34"/>
      <c r="L2" s="34"/>
      <c r="M2" s="121" t="s">
        <v>156</v>
      </c>
      <c r="N2" s="122"/>
      <c r="O2" s="122"/>
      <c r="P2" s="123"/>
      <c r="Q2" s="29"/>
      <c r="R2" s="29"/>
      <c r="S2" s="29"/>
    </row>
    <row r="3" ht="13.5" customHeight="1">
      <c r="A3" s="43"/>
      <c r="B3" s="44"/>
      <c r="C3" s="34"/>
      <c r="D3" s="34"/>
      <c r="E3" s="34"/>
      <c r="F3" s="34"/>
      <c r="G3" s="34"/>
      <c r="H3" s="34"/>
      <c r="I3" s="34"/>
      <c r="J3" s="45"/>
      <c r="K3" s="34"/>
      <c r="L3" s="34"/>
      <c r="M3" s="124" t="s">
        <v>6</v>
      </c>
      <c r="N3" s="125">
        <f>COUNT($B:$B)-$P$7</f>
        <v>99</v>
      </c>
      <c r="O3" s="126" t="s">
        <v>13</v>
      </c>
      <c r="P3" s="127">
        <f t="shared" ref="P3:P7" si="1">COUNTIF($M$10:$M$109,O3)</f>
        <v>1</v>
      </c>
      <c r="Q3" s="43"/>
      <c r="R3" s="43"/>
      <c r="S3" s="43"/>
    </row>
    <row r="4" ht="13.5" customHeight="1">
      <c r="A4" s="43"/>
      <c r="B4" s="44"/>
      <c r="C4" s="128" t="s">
        <v>26</v>
      </c>
      <c r="D4" s="129"/>
      <c r="E4" s="52"/>
      <c r="F4" s="34"/>
      <c r="G4" s="34"/>
      <c r="H4" s="34"/>
      <c r="I4" s="34"/>
      <c r="J4" s="53"/>
      <c r="K4" s="34"/>
      <c r="L4" s="34"/>
      <c r="M4" s="130" t="s">
        <v>7</v>
      </c>
      <c r="N4" s="131">
        <f>SUM($N$6,$P$4,$P$5)/$N$3</f>
        <v>0.0404040404</v>
      </c>
      <c r="O4" s="132" t="s">
        <v>14</v>
      </c>
      <c r="P4" s="133">
        <f t="shared" si="1"/>
        <v>1</v>
      </c>
      <c r="Q4" s="43"/>
      <c r="R4" s="43"/>
      <c r="S4" s="43"/>
    </row>
    <row r="5" ht="13.5" customHeight="1">
      <c r="A5" s="43"/>
      <c r="B5" s="44"/>
      <c r="C5" s="134" t="str">
        <f>IF(D4="PC","OS",IF(OR(D4="Android",D4="iOS",D4="FP"),"ブラウザ","自動表示"))</f>
        <v>自動表示</v>
      </c>
      <c r="D5" s="135"/>
      <c r="E5" s="52"/>
      <c r="F5" s="34"/>
      <c r="G5" s="34"/>
      <c r="H5" s="34"/>
      <c r="I5" s="34"/>
      <c r="J5" s="53"/>
      <c r="K5" s="34"/>
      <c r="L5" s="34"/>
      <c r="M5" s="136" t="s">
        <v>10</v>
      </c>
      <c r="N5" s="137">
        <f>$N$6/$N$3</f>
        <v>0.0202020202</v>
      </c>
      <c r="O5" s="132" t="s">
        <v>15</v>
      </c>
      <c r="P5" s="133">
        <f t="shared" si="1"/>
        <v>1</v>
      </c>
      <c r="Q5" s="43"/>
      <c r="R5" s="43"/>
      <c r="S5" s="43"/>
    </row>
    <row r="6" ht="13.5" customHeight="1">
      <c r="A6" s="43"/>
      <c r="B6" s="44"/>
      <c r="C6" s="134" t="str">
        <f>IF(C5="OS","ブラウザ",IF(C5="ブラウザ","端末名","自動表示"))</f>
        <v>自動表示</v>
      </c>
      <c r="D6" s="135"/>
      <c r="E6" s="52"/>
      <c r="F6" s="34"/>
      <c r="G6" s="34"/>
      <c r="H6" s="34"/>
      <c r="I6" s="34"/>
      <c r="J6" s="53"/>
      <c r="K6" s="34"/>
      <c r="L6" s="34"/>
      <c r="M6" s="138" t="s">
        <v>11</v>
      </c>
      <c r="N6" s="139">
        <f>SUM($P$3,$P$4)</f>
        <v>2</v>
      </c>
      <c r="O6" s="132" t="s">
        <v>17</v>
      </c>
      <c r="P6" s="133">
        <f t="shared" si="1"/>
        <v>1</v>
      </c>
      <c r="Q6" s="43"/>
      <c r="R6" s="43"/>
      <c r="S6" s="43"/>
    </row>
    <row r="7" ht="13.5" customHeight="1">
      <c r="A7" s="43"/>
      <c r="B7" s="44"/>
      <c r="C7" s="140" t="str">
        <f>IF(C6="自動表示","自動表示","Ver")</f>
        <v>自動表示</v>
      </c>
      <c r="D7" s="141"/>
      <c r="E7" s="52"/>
      <c r="F7" s="34"/>
      <c r="G7" s="34"/>
      <c r="H7" s="34"/>
      <c r="I7" s="34"/>
      <c r="J7" s="53"/>
      <c r="K7" s="34"/>
      <c r="L7" s="34"/>
      <c r="M7" s="142" t="s">
        <v>12</v>
      </c>
      <c r="N7" s="143">
        <f>$N$3-$N$6</f>
        <v>97</v>
      </c>
      <c r="O7" s="144" t="s">
        <v>18</v>
      </c>
      <c r="P7" s="145">
        <f t="shared" si="1"/>
        <v>1</v>
      </c>
      <c r="Q7" s="43"/>
      <c r="R7" s="43"/>
      <c r="S7" s="43"/>
    </row>
    <row r="8" ht="10.5" customHeight="1">
      <c r="A8" s="29"/>
      <c r="B8" s="30"/>
      <c r="C8" s="29"/>
      <c r="D8" s="29"/>
      <c r="E8" s="29"/>
      <c r="F8" s="29"/>
      <c r="G8" s="29"/>
      <c r="H8" s="29"/>
      <c r="I8" s="29"/>
      <c r="J8" s="29"/>
      <c r="K8" s="29"/>
      <c r="L8" s="29"/>
      <c r="M8" s="53"/>
      <c r="N8" s="53"/>
      <c r="O8" s="29"/>
      <c r="P8" s="29"/>
      <c r="Q8" s="29"/>
      <c r="R8" s="29"/>
      <c r="S8" s="29"/>
    </row>
    <row r="9" ht="18.75" customHeight="1">
      <c r="A9" s="68"/>
      <c r="B9" s="69" t="s">
        <v>2</v>
      </c>
      <c r="C9" s="72" t="s">
        <v>157</v>
      </c>
      <c r="D9" s="146" t="s">
        <v>158</v>
      </c>
      <c r="E9" s="72" t="s">
        <v>159</v>
      </c>
      <c r="F9" s="72" t="s">
        <v>37</v>
      </c>
      <c r="G9" s="72" t="s">
        <v>38</v>
      </c>
      <c r="H9" s="72" t="s">
        <v>39</v>
      </c>
      <c r="I9" s="73" t="s">
        <v>40</v>
      </c>
      <c r="J9" s="73" t="s">
        <v>41</v>
      </c>
      <c r="K9" s="72" t="s">
        <v>42</v>
      </c>
      <c r="L9" s="74" t="s">
        <v>43</v>
      </c>
      <c r="M9" s="147" t="s">
        <v>44</v>
      </c>
      <c r="N9" s="148" t="s">
        <v>45</v>
      </c>
      <c r="O9" s="149" t="s">
        <v>46</v>
      </c>
      <c r="P9" s="149" t="s">
        <v>47</v>
      </c>
      <c r="Q9" s="150" t="s">
        <v>160</v>
      </c>
      <c r="R9" s="151" t="s">
        <v>48</v>
      </c>
      <c r="S9" s="68"/>
    </row>
    <row r="10">
      <c r="A10" s="29"/>
      <c r="B10" s="79">
        <f t="shared" ref="B10:B109" si="2">(ROW()-ROW($B$9))</f>
        <v>1</v>
      </c>
      <c r="C10" s="152"/>
      <c r="D10" s="152"/>
      <c r="E10" s="152"/>
      <c r="F10" s="153"/>
      <c r="G10" s="154"/>
      <c r="H10" s="154"/>
      <c r="I10" s="154"/>
      <c r="J10" s="154"/>
      <c r="K10" s="154"/>
      <c r="L10" s="153"/>
      <c r="M10" s="155" t="s">
        <v>13</v>
      </c>
      <c r="N10" s="156"/>
      <c r="O10" s="157"/>
      <c r="P10" s="158"/>
      <c r="Q10" s="159"/>
      <c r="R10" s="160"/>
      <c r="S10" s="161"/>
    </row>
    <row r="11">
      <c r="A11" s="29"/>
      <c r="B11" s="79">
        <f t="shared" si="2"/>
        <v>2</v>
      </c>
      <c r="C11" s="162"/>
      <c r="D11" s="152"/>
      <c r="E11" s="163"/>
      <c r="F11" s="154"/>
      <c r="G11" s="154"/>
      <c r="H11" s="154"/>
      <c r="I11" s="154"/>
      <c r="J11" s="154"/>
      <c r="K11" s="154"/>
      <c r="L11" s="153"/>
      <c r="M11" s="155" t="s">
        <v>15</v>
      </c>
      <c r="N11" s="156"/>
      <c r="O11" s="157"/>
      <c r="P11" s="158"/>
      <c r="Q11" s="159"/>
      <c r="R11" s="160"/>
      <c r="S11" s="161"/>
    </row>
    <row r="12">
      <c r="A12" s="29"/>
      <c r="B12" s="79">
        <f t="shared" si="2"/>
        <v>3</v>
      </c>
      <c r="C12" s="162"/>
      <c r="D12" s="152"/>
      <c r="E12" s="163"/>
      <c r="F12" s="154"/>
      <c r="G12" s="154"/>
      <c r="H12" s="154"/>
      <c r="I12" s="154"/>
      <c r="J12" s="154"/>
      <c r="K12" s="154"/>
      <c r="L12" s="153"/>
      <c r="M12" s="155" t="s">
        <v>18</v>
      </c>
      <c r="N12" s="156"/>
      <c r="O12" s="157"/>
      <c r="P12" s="158"/>
      <c r="Q12" s="159"/>
      <c r="R12" s="160"/>
      <c r="S12" s="161"/>
    </row>
    <row r="13">
      <c r="A13" s="29"/>
      <c r="B13" s="79">
        <f t="shared" si="2"/>
        <v>4</v>
      </c>
      <c r="C13" s="162"/>
      <c r="D13" s="152"/>
      <c r="E13" s="163"/>
      <c r="F13" s="154"/>
      <c r="G13" s="154"/>
      <c r="H13" s="154"/>
      <c r="I13" s="154"/>
      <c r="J13" s="154"/>
      <c r="K13" s="154"/>
      <c r="L13" s="153"/>
      <c r="M13" s="155" t="s">
        <v>14</v>
      </c>
      <c r="N13" s="156"/>
      <c r="O13" s="157"/>
      <c r="P13" s="158"/>
      <c r="Q13" s="159"/>
      <c r="R13" s="160"/>
      <c r="S13" s="161"/>
    </row>
    <row r="14">
      <c r="A14" s="29"/>
      <c r="B14" s="79">
        <f t="shared" si="2"/>
        <v>5</v>
      </c>
      <c r="C14" s="162"/>
      <c r="D14" s="152"/>
      <c r="E14" s="163"/>
      <c r="F14" s="154"/>
      <c r="G14" s="154"/>
      <c r="H14" s="154"/>
      <c r="I14" s="154"/>
      <c r="J14" s="154"/>
      <c r="K14" s="154"/>
      <c r="L14" s="153"/>
      <c r="M14" s="155" t="s">
        <v>17</v>
      </c>
      <c r="N14" s="156"/>
      <c r="O14" s="157"/>
      <c r="P14" s="158"/>
      <c r="Q14" s="159"/>
      <c r="R14" s="160"/>
      <c r="S14" s="161"/>
    </row>
    <row r="15">
      <c r="A15" s="29"/>
      <c r="B15" s="79">
        <f t="shared" si="2"/>
        <v>6</v>
      </c>
      <c r="C15" s="162"/>
      <c r="D15" s="152"/>
      <c r="E15" s="163"/>
      <c r="F15" s="154"/>
      <c r="G15" s="154"/>
      <c r="H15" s="154"/>
      <c r="I15" s="154"/>
      <c r="J15" s="154"/>
      <c r="K15" s="154"/>
      <c r="L15" s="153"/>
      <c r="M15" s="155"/>
      <c r="N15" s="156"/>
      <c r="O15" s="157"/>
      <c r="P15" s="158"/>
      <c r="Q15" s="159"/>
      <c r="R15" s="160"/>
      <c r="S15" s="161"/>
    </row>
    <row r="16">
      <c r="A16" s="29"/>
      <c r="B16" s="79">
        <f t="shared" si="2"/>
        <v>7</v>
      </c>
      <c r="C16" s="162"/>
      <c r="D16" s="152"/>
      <c r="E16" s="163"/>
      <c r="F16" s="154"/>
      <c r="G16" s="154"/>
      <c r="H16" s="154"/>
      <c r="I16" s="154"/>
      <c r="J16" s="154"/>
      <c r="K16" s="154"/>
      <c r="L16" s="153"/>
      <c r="M16" s="155"/>
      <c r="N16" s="156"/>
      <c r="O16" s="157"/>
      <c r="P16" s="158"/>
      <c r="Q16" s="159"/>
      <c r="R16" s="160"/>
      <c r="S16" s="161"/>
    </row>
    <row r="17">
      <c r="A17" s="29"/>
      <c r="B17" s="79">
        <f t="shared" si="2"/>
        <v>8</v>
      </c>
      <c r="C17" s="162"/>
      <c r="D17" s="152"/>
      <c r="E17" s="163"/>
      <c r="F17" s="154"/>
      <c r="G17" s="154"/>
      <c r="H17" s="154"/>
      <c r="I17" s="154"/>
      <c r="J17" s="154"/>
      <c r="K17" s="154"/>
      <c r="L17" s="153"/>
      <c r="M17" s="155"/>
      <c r="N17" s="156"/>
      <c r="O17" s="157"/>
      <c r="P17" s="158"/>
      <c r="Q17" s="159"/>
      <c r="R17" s="160"/>
      <c r="S17" s="161"/>
    </row>
    <row r="18">
      <c r="A18" s="29"/>
      <c r="B18" s="79">
        <f t="shared" si="2"/>
        <v>9</v>
      </c>
      <c r="C18" s="162"/>
      <c r="D18" s="152"/>
      <c r="E18" s="163"/>
      <c r="F18" s="154"/>
      <c r="G18" s="154"/>
      <c r="H18" s="154"/>
      <c r="I18" s="154"/>
      <c r="J18" s="154"/>
      <c r="K18" s="154"/>
      <c r="L18" s="153"/>
      <c r="M18" s="155"/>
      <c r="N18" s="156"/>
      <c r="O18" s="157"/>
      <c r="P18" s="158"/>
      <c r="Q18" s="159"/>
      <c r="R18" s="160"/>
      <c r="S18" s="161"/>
    </row>
    <row r="19">
      <c r="A19" s="29"/>
      <c r="B19" s="79">
        <f t="shared" si="2"/>
        <v>10</v>
      </c>
      <c r="C19" s="162"/>
      <c r="D19" s="152"/>
      <c r="E19" s="163"/>
      <c r="F19" s="154"/>
      <c r="G19" s="154"/>
      <c r="H19" s="154"/>
      <c r="I19" s="154"/>
      <c r="J19" s="154"/>
      <c r="K19" s="154"/>
      <c r="L19" s="153"/>
      <c r="M19" s="155"/>
      <c r="N19" s="156"/>
      <c r="O19" s="157"/>
      <c r="P19" s="158"/>
      <c r="Q19" s="159"/>
      <c r="R19" s="160"/>
      <c r="S19" s="161"/>
    </row>
    <row r="20">
      <c r="A20" s="29"/>
      <c r="B20" s="79">
        <f t="shared" si="2"/>
        <v>11</v>
      </c>
      <c r="C20" s="162"/>
      <c r="D20" s="152"/>
      <c r="E20" s="163"/>
      <c r="F20" s="154"/>
      <c r="G20" s="154"/>
      <c r="H20" s="154"/>
      <c r="I20" s="154"/>
      <c r="J20" s="154"/>
      <c r="K20" s="154"/>
      <c r="L20" s="153"/>
      <c r="M20" s="155"/>
      <c r="N20" s="156"/>
      <c r="O20" s="157"/>
      <c r="P20" s="158"/>
      <c r="Q20" s="159"/>
      <c r="R20" s="160"/>
      <c r="S20" s="161"/>
    </row>
    <row r="21" ht="15.75" customHeight="1">
      <c r="A21" s="29"/>
      <c r="B21" s="79">
        <f t="shared" si="2"/>
        <v>12</v>
      </c>
      <c r="C21" s="162"/>
      <c r="D21" s="152"/>
      <c r="E21" s="163"/>
      <c r="F21" s="154"/>
      <c r="G21" s="154"/>
      <c r="H21" s="154"/>
      <c r="I21" s="154"/>
      <c r="J21" s="154"/>
      <c r="K21" s="154"/>
      <c r="L21" s="153"/>
      <c r="M21" s="155"/>
      <c r="N21" s="156"/>
      <c r="O21" s="157"/>
      <c r="P21" s="158"/>
      <c r="Q21" s="159"/>
      <c r="R21" s="160"/>
      <c r="S21" s="161"/>
    </row>
    <row r="22" ht="15.75" customHeight="1">
      <c r="A22" s="29"/>
      <c r="B22" s="79">
        <f t="shared" si="2"/>
        <v>13</v>
      </c>
      <c r="C22" s="162"/>
      <c r="D22" s="152"/>
      <c r="E22" s="163"/>
      <c r="F22" s="154"/>
      <c r="G22" s="154"/>
      <c r="H22" s="154"/>
      <c r="I22" s="154"/>
      <c r="J22" s="154"/>
      <c r="K22" s="154"/>
      <c r="L22" s="153"/>
      <c r="M22" s="155"/>
      <c r="N22" s="156"/>
      <c r="O22" s="157"/>
      <c r="P22" s="158"/>
      <c r="Q22" s="159"/>
      <c r="R22" s="160"/>
      <c r="S22" s="161"/>
    </row>
    <row r="23" ht="15.75" customHeight="1">
      <c r="A23" s="29"/>
      <c r="B23" s="79">
        <f t="shared" si="2"/>
        <v>14</v>
      </c>
      <c r="C23" s="162"/>
      <c r="D23" s="152"/>
      <c r="E23" s="163"/>
      <c r="F23" s="154"/>
      <c r="G23" s="154"/>
      <c r="H23" s="154"/>
      <c r="I23" s="154"/>
      <c r="J23" s="154"/>
      <c r="K23" s="154"/>
      <c r="L23" s="153"/>
      <c r="M23" s="155"/>
      <c r="N23" s="156"/>
      <c r="O23" s="157"/>
      <c r="P23" s="158"/>
      <c r="Q23" s="159"/>
      <c r="R23" s="160"/>
      <c r="S23" s="161"/>
    </row>
    <row r="24" ht="15.75" customHeight="1">
      <c r="A24" s="29"/>
      <c r="B24" s="79">
        <f t="shared" si="2"/>
        <v>15</v>
      </c>
      <c r="C24" s="162"/>
      <c r="D24" s="152"/>
      <c r="E24" s="163"/>
      <c r="F24" s="154"/>
      <c r="G24" s="154"/>
      <c r="H24" s="154"/>
      <c r="I24" s="154"/>
      <c r="J24" s="154"/>
      <c r="K24" s="154"/>
      <c r="L24" s="153"/>
      <c r="M24" s="155"/>
      <c r="N24" s="156"/>
      <c r="O24" s="157"/>
      <c r="P24" s="158"/>
      <c r="Q24" s="159"/>
      <c r="R24" s="160"/>
      <c r="S24" s="161"/>
    </row>
    <row r="25" ht="15.75" customHeight="1">
      <c r="A25" s="29"/>
      <c r="B25" s="79">
        <f t="shared" si="2"/>
        <v>16</v>
      </c>
      <c r="C25" s="162"/>
      <c r="D25" s="152"/>
      <c r="E25" s="163"/>
      <c r="F25" s="154"/>
      <c r="G25" s="154"/>
      <c r="H25" s="154"/>
      <c r="I25" s="154"/>
      <c r="J25" s="154"/>
      <c r="K25" s="154"/>
      <c r="L25" s="153"/>
      <c r="M25" s="155"/>
      <c r="N25" s="156"/>
      <c r="O25" s="157"/>
      <c r="P25" s="158"/>
      <c r="Q25" s="159"/>
      <c r="R25" s="160"/>
      <c r="S25" s="161"/>
    </row>
    <row r="26" ht="15.75" customHeight="1">
      <c r="A26" s="29"/>
      <c r="B26" s="79">
        <f t="shared" si="2"/>
        <v>17</v>
      </c>
      <c r="C26" s="162"/>
      <c r="D26" s="152"/>
      <c r="E26" s="163"/>
      <c r="F26" s="154"/>
      <c r="G26" s="154"/>
      <c r="H26" s="154"/>
      <c r="I26" s="154"/>
      <c r="J26" s="154"/>
      <c r="K26" s="154"/>
      <c r="L26" s="153"/>
      <c r="M26" s="155"/>
      <c r="N26" s="156"/>
      <c r="O26" s="157"/>
      <c r="P26" s="158"/>
      <c r="Q26" s="159"/>
      <c r="R26" s="160"/>
      <c r="S26" s="161"/>
    </row>
    <row r="27" ht="15.75" customHeight="1">
      <c r="A27" s="29"/>
      <c r="B27" s="79">
        <f t="shared" si="2"/>
        <v>18</v>
      </c>
      <c r="C27" s="162"/>
      <c r="D27" s="152"/>
      <c r="E27" s="163"/>
      <c r="F27" s="154"/>
      <c r="G27" s="154"/>
      <c r="H27" s="154"/>
      <c r="I27" s="154"/>
      <c r="J27" s="154"/>
      <c r="K27" s="154"/>
      <c r="L27" s="153"/>
      <c r="M27" s="155"/>
      <c r="N27" s="156"/>
      <c r="O27" s="157"/>
      <c r="P27" s="158"/>
      <c r="Q27" s="159"/>
      <c r="R27" s="160"/>
      <c r="S27" s="161"/>
    </row>
    <row r="28" ht="15.75" customHeight="1">
      <c r="A28" s="29"/>
      <c r="B28" s="79">
        <f t="shared" si="2"/>
        <v>19</v>
      </c>
      <c r="C28" s="162"/>
      <c r="D28" s="152"/>
      <c r="E28" s="163"/>
      <c r="F28" s="154"/>
      <c r="G28" s="154"/>
      <c r="H28" s="154"/>
      <c r="I28" s="154"/>
      <c r="J28" s="154"/>
      <c r="K28" s="154"/>
      <c r="L28" s="153"/>
      <c r="M28" s="155"/>
      <c r="N28" s="156"/>
      <c r="O28" s="157"/>
      <c r="P28" s="158"/>
      <c r="Q28" s="159"/>
      <c r="R28" s="160"/>
      <c r="S28" s="161"/>
    </row>
    <row r="29" ht="15.75" customHeight="1">
      <c r="A29" s="29"/>
      <c r="B29" s="79">
        <f t="shared" si="2"/>
        <v>20</v>
      </c>
      <c r="C29" s="162"/>
      <c r="D29" s="152"/>
      <c r="E29" s="163"/>
      <c r="F29" s="154"/>
      <c r="G29" s="154"/>
      <c r="H29" s="154"/>
      <c r="I29" s="154"/>
      <c r="J29" s="154"/>
      <c r="K29" s="154"/>
      <c r="L29" s="153"/>
      <c r="M29" s="155"/>
      <c r="N29" s="156"/>
      <c r="O29" s="157"/>
      <c r="P29" s="158"/>
      <c r="Q29" s="159"/>
      <c r="R29" s="160"/>
      <c r="S29" s="161"/>
    </row>
    <row r="30" ht="15.75" customHeight="1">
      <c r="A30" s="29"/>
      <c r="B30" s="79">
        <f t="shared" si="2"/>
        <v>21</v>
      </c>
      <c r="C30" s="162"/>
      <c r="D30" s="152"/>
      <c r="E30" s="163"/>
      <c r="F30" s="154"/>
      <c r="G30" s="154"/>
      <c r="H30" s="154"/>
      <c r="I30" s="154"/>
      <c r="J30" s="154"/>
      <c r="K30" s="154"/>
      <c r="L30" s="153"/>
      <c r="M30" s="155"/>
      <c r="N30" s="156"/>
      <c r="O30" s="157"/>
      <c r="P30" s="158"/>
      <c r="Q30" s="159"/>
      <c r="R30" s="160"/>
      <c r="S30" s="161"/>
    </row>
    <row r="31" ht="15.75" customHeight="1">
      <c r="A31" s="29"/>
      <c r="B31" s="79">
        <f t="shared" si="2"/>
        <v>22</v>
      </c>
      <c r="C31" s="162"/>
      <c r="D31" s="152"/>
      <c r="E31" s="163"/>
      <c r="F31" s="154"/>
      <c r="G31" s="154"/>
      <c r="H31" s="154"/>
      <c r="I31" s="154"/>
      <c r="J31" s="154"/>
      <c r="K31" s="154"/>
      <c r="L31" s="153"/>
      <c r="M31" s="155"/>
      <c r="N31" s="156"/>
      <c r="O31" s="157"/>
      <c r="P31" s="158"/>
      <c r="Q31" s="159"/>
      <c r="R31" s="160"/>
      <c r="S31" s="161"/>
    </row>
    <row r="32" ht="15.75" customHeight="1">
      <c r="A32" s="29"/>
      <c r="B32" s="79">
        <f t="shared" si="2"/>
        <v>23</v>
      </c>
      <c r="C32" s="162"/>
      <c r="D32" s="152"/>
      <c r="E32" s="163"/>
      <c r="F32" s="154"/>
      <c r="G32" s="154"/>
      <c r="H32" s="154"/>
      <c r="I32" s="154"/>
      <c r="J32" s="154"/>
      <c r="K32" s="154"/>
      <c r="L32" s="153"/>
      <c r="M32" s="155"/>
      <c r="N32" s="156"/>
      <c r="O32" s="157"/>
      <c r="P32" s="158"/>
      <c r="Q32" s="159"/>
      <c r="R32" s="160"/>
      <c r="S32" s="161"/>
    </row>
    <row r="33" ht="15.75" customHeight="1">
      <c r="A33" s="29"/>
      <c r="B33" s="79">
        <f t="shared" si="2"/>
        <v>24</v>
      </c>
      <c r="C33" s="162"/>
      <c r="D33" s="152"/>
      <c r="E33" s="163"/>
      <c r="F33" s="154"/>
      <c r="G33" s="154"/>
      <c r="H33" s="154"/>
      <c r="I33" s="154"/>
      <c r="J33" s="154"/>
      <c r="K33" s="154"/>
      <c r="L33" s="153"/>
      <c r="M33" s="155"/>
      <c r="N33" s="156"/>
      <c r="O33" s="157"/>
      <c r="P33" s="158"/>
      <c r="Q33" s="159"/>
      <c r="R33" s="160"/>
      <c r="S33" s="161"/>
    </row>
    <row r="34" ht="15.75" customHeight="1">
      <c r="A34" s="29"/>
      <c r="B34" s="79">
        <f t="shared" si="2"/>
        <v>25</v>
      </c>
      <c r="C34" s="162"/>
      <c r="D34" s="152"/>
      <c r="E34" s="163"/>
      <c r="F34" s="154"/>
      <c r="G34" s="154"/>
      <c r="H34" s="154"/>
      <c r="I34" s="154"/>
      <c r="J34" s="154"/>
      <c r="K34" s="154"/>
      <c r="L34" s="153"/>
      <c r="M34" s="155"/>
      <c r="N34" s="156"/>
      <c r="O34" s="157"/>
      <c r="P34" s="158"/>
      <c r="Q34" s="159"/>
      <c r="R34" s="160"/>
      <c r="S34" s="161"/>
    </row>
    <row r="35" ht="15.75" customHeight="1">
      <c r="A35" s="29"/>
      <c r="B35" s="79">
        <f t="shared" si="2"/>
        <v>26</v>
      </c>
      <c r="C35" s="162"/>
      <c r="D35" s="152"/>
      <c r="E35" s="163"/>
      <c r="F35" s="154"/>
      <c r="G35" s="154"/>
      <c r="H35" s="154"/>
      <c r="I35" s="154"/>
      <c r="J35" s="154"/>
      <c r="K35" s="154"/>
      <c r="L35" s="153"/>
      <c r="M35" s="155"/>
      <c r="N35" s="156"/>
      <c r="O35" s="157"/>
      <c r="P35" s="158"/>
      <c r="Q35" s="159"/>
      <c r="R35" s="160"/>
      <c r="S35" s="161"/>
    </row>
    <row r="36" ht="15.75" customHeight="1">
      <c r="A36" s="29"/>
      <c r="B36" s="79">
        <f t="shared" si="2"/>
        <v>27</v>
      </c>
      <c r="C36" s="162"/>
      <c r="D36" s="152"/>
      <c r="E36" s="163"/>
      <c r="F36" s="154"/>
      <c r="G36" s="154"/>
      <c r="H36" s="154"/>
      <c r="I36" s="154"/>
      <c r="J36" s="154"/>
      <c r="K36" s="154"/>
      <c r="L36" s="153"/>
      <c r="M36" s="155"/>
      <c r="N36" s="156"/>
      <c r="O36" s="157"/>
      <c r="P36" s="158"/>
      <c r="Q36" s="159"/>
      <c r="R36" s="160"/>
      <c r="S36" s="161"/>
    </row>
    <row r="37" ht="15.75" customHeight="1">
      <c r="A37" s="29"/>
      <c r="B37" s="79">
        <f t="shared" si="2"/>
        <v>28</v>
      </c>
      <c r="C37" s="162"/>
      <c r="D37" s="152"/>
      <c r="E37" s="163"/>
      <c r="F37" s="154"/>
      <c r="G37" s="154"/>
      <c r="H37" s="154"/>
      <c r="I37" s="154"/>
      <c r="J37" s="154"/>
      <c r="K37" s="154"/>
      <c r="L37" s="153"/>
      <c r="M37" s="155"/>
      <c r="N37" s="156"/>
      <c r="O37" s="157"/>
      <c r="P37" s="158"/>
      <c r="Q37" s="159"/>
      <c r="R37" s="160"/>
      <c r="S37" s="161"/>
    </row>
    <row r="38" ht="15.75" customHeight="1">
      <c r="A38" s="29"/>
      <c r="B38" s="79">
        <f t="shared" si="2"/>
        <v>29</v>
      </c>
      <c r="C38" s="162"/>
      <c r="D38" s="152"/>
      <c r="E38" s="163"/>
      <c r="F38" s="154"/>
      <c r="G38" s="154"/>
      <c r="H38" s="154"/>
      <c r="I38" s="154"/>
      <c r="J38" s="154"/>
      <c r="K38" s="154"/>
      <c r="L38" s="153"/>
      <c r="M38" s="155"/>
      <c r="N38" s="156"/>
      <c r="O38" s="157"/>
      <c r="P38" s="158"/>
      <c r="Q38" s="159"/>
      <c r="R38" s="160"/>
      <c r="S38" s="161"/>
    </row>
    <row r="39" ht="15.75" customHeight="1">
      <c r="A39" s="29"/>
      <c r="B39" s="79">
        <f t="shared" si="2"/>
        <v>30</v>
      </c>
      <c r="C39" s="162"/>
      <c r="D39" s="152"/>
      <c r="E39" s="163"/>
      <c r="F39" s="154"/>
      <c r="G39" s="154"/>
      <c r="H39" s="154"/>
      <c r="I39" s="154"/>
      <c r="J39" s="154"/>
      <c r="K39" s="154"/>
      <c r="L39" s="153"/>
      <c r="M39" s="155"/>
      <c r="N39" s="156"/>
      <c r="O39" s="157"/>
      <c r="P39" s="158"/>
      <c r="Q39" s="159"/>
      <c r="R39" s="160"/>
      <c r="S39" s="161"/>
    </row>
    <row r="40" ht="15.75" customHeight="1">
      <c r="A40" s="29"/>
      <c r="B40" s="79">
        <f t="shared" si="2"/>
        <v>31</v>
      </c>
      <c r="C40" s="162"/>
      <c r="D40" s="152"/>
      <c r="E40" s="163"/>
      <c r="F40" s="154"/>
      <c r="G40" s="154"/>
      <c r="H40" s="154"/>
      <c r="I40" s="154"/>
      <c r="J40" s="154"/>
      <c r="K40" s="154"/>
      <c r="L40" s="153"/>
      <c r="M40" s="155"/>
      <c r="N40" s="156"/>
      <c r="O40" s="157"/>
      <c r="P40" s="158"/>
      <c r="Q40" s="159"/>
      <c r="R40" s="160"/>
      <c r="S40" s="161"/>
    </row>
    <row r="41" ht="15.75" customHeight="1">
      <c r="A41" s="29"/>
      <c r="B41" s="79">
        <f t="shared" si="2"/>
        <v>32</v>
      </c>
      <c r="C41" s="162"/>
      <c r="D41" s="152"/>
      <c r="E41" s="163"/>
      <c r="F41" s="154"/>
      <c r="G41" s="154"/>
      <c r="H41" s="154"/>
      <c r="I41" s="154"/>
      <c r="J41" s="154"/>
      <c r="K41" s="154"/>
      <c r="L41" s="153"/>
      <c r="M41" s="155"/>
      <c r="N41" s="156"/>
      <c r="O41" s="157"/>
      <c r="P41" s="158"/>
      <c r="Q41" s="159"/>
      <c r="R41" s="160"/>
      <c r="S41" s="161"/>
    </row>
    <row r="42" ht="15.75" customHeight="1">
      <c r="A42" s="29"/>
      <c r="B42" s="79">
        <f t="shared" si="2"/>
        <v>33</v>
      </c>
      <c r="C42" s="162"/>
      <c r="D42" s="152"/>
      <c r="E42" s="163"/>
      <c r="F42" s="154"/>
      <c r="G42" s="154"/>
      <c r="H42" s="154"/>
      <c r="I42" s="154"/>
      <c r="J42" s="154"/>
      <c r="K42" s="154"/>
      <c r="L42" s="153"/>
      <c r="M42" s="155"/>
      <c r="N42" s="156"/>
      <c r="O42" s="157"/>
      <c r="P42" s="158"/>
      <c r="Q42" s="159"/>
      <c r="R42" s="160"/>
      <c r="S42" s="161"/>
    </row>
    <row r="43" ht="15.75" customHeight="1">
      <c r="A43" s="29"/>
      <c r="B43" s="79">
        <f t="shared" si="2"/>
        <v>34</v>
      </c>
      <c r="C43" s="162"/>
      <c r="D43" s="152"/>
      <c r="E43" s="163"/>
      <c r="F43" s="154"/>
      <c r="G43" s="154"/>
      <c r="H43" s="154"/>
      <c r="I43" s="154"/>
      <c r="J43" s="154"/>
      <c r="K43" s="154"/>
      <c r="L43" s="164"/>
      <c r="M43" s="155"/>
      <c r="N43" s="156"/>
      <c r="O43" s="157"/>
      <c r="P43" s="158"/>
      <c r="Q43" s="159"/>
      <c r="R43" s="160"/>
      <c r="S43" s="161"/>
    </row>
    <row r="44" ht="15.75" customHeight="1">
      <c r="A44" s="29"/>
      <c r="B44" s="79">
        <f t="shared" si="2"/>
        <v>35</v>
      </c>
      <c r="C44" s="162"/>
      <c r="D44" s="152"/>
      <c r="E44" s="163"/>
      <c r="F44" s="154"/>
      <c r="G44" s="154"/>
      <c r="H44" s="154"/>
      <c r="I44" s="154"/>
      <c r="J44" s="154"/>
      <c r="K44" s="154"/>
      <c r="L44" s="164"/>
      <c r="M44" s="155"/>
      <c r="N44" s="156"/>
      <c r="O44" s="157"/>
      <c r="P44" s="158"/>
      <c r="Q44" s="159"/>
      <c r="R44" s="160"/>
      <c r="S44" s="161"/>
    </row>
    <row r="45" ht="15.75" customHeight="1">
      <c r="A45" s="29"/>
      <c r="B45" s="79">
        <f t="shared" si="2"/>
        <v>36</v>
      </c>
      <c r="C45" s="162"/>
      <c r="D45" s="152"/>
      <c r="E45" s="163"/>
      <c r="F45" s="154"/>
      <c r="G45" s="154"/>
      <c r="H45" s="154"/>
      <c r="I45" s="154"/>
      <c r="J45" s="154"/>
      <c r="K45" s="154"/>
      <c r="L45" s="153"/>
      <c r="M45" s="155"/>
      <c r="N45" s="156"/>
      <c r="O45" s="157"/>
      <c r="P45" s="158"/>
      <c r="Q45" s="159"/>
      <c r="R45" s="160"/>
      <c r="S45" s="161"/>
    </row>
    <row r="46" ht="15.75" customHeight="1">
      <c r="A46" s="29"/>
      <c r="B46" s="79">
        <f t="shared" si="2"/>
        <v>37</v>
      </c>
      <c r="C46" s="162"/>
      <c r="D46" s="152"/>
      <c r="E46" s="163"/>
      <c r="F46" s="154"/>
      <c r="G46" s="154"/>
      <c r="H46" s="154"/>
      <c r="I46" s="154"/>
      <c r="J46" s="154"/>
      <c r="K46" s="154"/>
      <c r="L46" s="153"/>
      <c r="M46" s="155"/>
      <c r="N46" s="156"/>
      <c r="O46" s="157"/>
      <c r="P46" s="158"/>
      <c r="Q46" s="159"/>
      <c r="R46" s="160"/>
      <c r="S46" s="161"/>
    </row>
    <row r="47" ht="15.75" customHeight="1">
      <c r="A47" s="29"/>
      <c r="B47" s="79">
        <f t="shared" si="2"/>
        <v>38</v>
      </c>
      <c r="C47" s="162"/>
      <c r="D47" s="152"/>
      <c r="E47" s="163"/>
      <c r="F47" s="154"/>
      <c r="G47" s="154"/>
      <c r="H47" s="154"/>
      <c r="I47" s="154"/>
      <c r="J47" s="154"/>
      <c r="K47" s="154"/>
      <c r="L47" s="153"/>
      <c r="M47" s="155"/>
      <c r="N47" s="156"/>
      <c r="O47" s="157"/>
      <c r="P47" s="158"/>
      <c r="Q47" s="159"/>
      <c r="R47" s="160"/>
      <c r="S47" s="161"/>
    </row>
    <row r="48" ht="15.75" customHeight="1">
      <c r="A48" s="29"/>
      <c r="B48" s="79">
        <f t="shared" si="2"/>
        <v>39</v>
      </c>
      <c r="C48" s="162"/>
      <c r="D48" s="152"/>
      <c r="E48" s="163"/>
      <c r="F48" s="154"/>
      <c r="G48" s="154"/>
      <c r="H48" s="154"/>
      <c r="I48" s="154"/>
      <c r="J48" s="154"/>
      <c r="K48" s="154"/>
      <c r="L48" s="153"/>
      <c r="M48" s="155"/>
      <c r="N48" s="156"/>
      <c r="O48" s="157"/>
      <c r="P48" s="158"/>
      <c r="Q48" s="159"/>
      <c r="R48" s="160"/>
      <c r="S48" s="161"/>
    </row>
    <row r="49" ht="15.75" customHeight="1">
      <c r="A49" s="29"/>
      <c r="B49" s="79">
        <f t="shared" si="2"/>
        <v>40</v>
      </c>
      <c r="C49" s="162"/>
      <c r="D49" s="152"/>
      <c r="E49" s="163"/>
      <c r="F49" s="154"/>
      <c r="G49" s="154"/>
      <c r="H49" s="154"/>
      <c r="I49" s="154"/>
      <c r="J49" s="154"/>
      <c r="K49" s="154"/>
      <c r="L49" s="153"/>
      <c r="M49" s="155"/>
      <c r="N49" s="156"/>
      <c r="O49" s="157"/>
      <c r="P49" s="158"/>
      <c r="Q49" s="159"/>
      <c r="R49" s="160"/>
      <c r="S49" s="161"/>
    </row>
    <row r="50" ht="15.75" customHeight="1">
      <c r="A50" s="29"/>
      <c r="B50" s="79">
        <f t="shared" si="2"/>
        <v>41</v>
      </c>
      <c r="C50" s="162"/>
      <c r="D50" s="152"/>
      <c r="E50" s="163"/>
      <c r="F50" s="154"/>
      <c r="G50" s="154"/>
      <c r="H50" s="154"/>
      <c r="I50" s="154"/>
      <c r="J50" s="154"/>
      <c r="K50" s="154"/>
      <c r="L50" s="153"/>
      <c r="M50" s="155"/>
      <c r="N50" s="156"/>
      <c r="O50" s="157"/>
      <c r="P50" s="158"/>
      <c r="Q50" s="159"/>
      <c r="R50" s="160"/>
      <c r="S50" s="161"/>
    </row>
    <row r="51" ht="15.75" customHeight="1">
      <c r="A51" s="29"/>
      <c r="B51" s="79">
        <f t="shared" si="2"/>
        <v>42</v>
      </c>
      <c r="C51" s="162"/>
      <c r="D51" s="152"/>
      <c r="E51" s="163"/>
      <c r="F51" s="154"/>
      <c r="G51" s="154"/>
      <c r="H51" s="154"/>
      <c r="I51" s="154"/>
      <c r="J51" s="154"/>
      <c r="K51" s="154"/>
      <c r="L51" s="153"/>
      <c r="M51" s="155"/>
      <c r="N51" s="156"/>
      <c r="O51" s="157"/>
      <c r="P51" s="158"/>
      <c r="Q51" s="159"/>
      <c r="R51" s="160"/>
      <c r="S51" s="161"/>
    </row>
    <row r="52" ht="15.75" customHeight="1">
      <c r="A52" s="29"/>
      <c r="B52" s="79">
        <f t="shared" si="2"/>
        <v>43</v>
      </c>
      <c r="C52" s="162"/>
      <c r="D52" s="152"/>
      <c r="E52" s="163"/>
      <c r="F52" s="154"/>
      <c r="G52" s="154"/>
      <c r="H52" s="154"/>
      <c r="I52" s="154"/>
      <c r="J52" s="154"/>
      <c r="K52" s="154"/>
      <c r="L52" s="153"/>
      <c r="M52" s="155"/>
      <c r="N52" s="156"/>
      <c r="O52" s="157"/>
      <c r="P52" s="158"/>
      <c r="Q52" s="159"/>
      <c r="R52" s="160"/>
      <c r="S52" s="161"/>
    </row>
    <row r="53" ht="15.75" customHeight="1">
      <c r="A53" s="29"/>
      <c r="B53" s="79">
        <f t="shared" si="2"/>
        <v>44</v>
      </c>
      <c r="C53" s="162"/>
      <c r="D53" s="152"/>
      <c r="E53" s="163"/>
      <c r="F53" s="154"/>
      <c r="G53" s="154"/>
      <c r="H53" s="154"/>
      <c r="I53" s="154"/>
      <c r="J53" s="154"/>
      <c r="K53" s="154"/>
      <c r="L53" s="153"/>
      <c r="M53" s="155"/>
      <c r="N53" s="156"/>
      <c r="O53" s="157"/>
      <c r="P53" s="158"/>
      <c r="Q53" s="159"/>
      <c r="R53" s="160"/>
      <c r="S53" s="161"/>
    </row>
    <row r="54" ht="15.75" customHeight="1">
      <c r="A54" s="29"/>
      <c r="B54" s="79">
        <f t="shared" si="2"/>
        <v>45</v>
      </c>
      <c r="C54" s="162"/>
      <c r="D54" s="152"/>
      <c r="E54" s="163"/>
      <c r="F54" s="154"/>
      <c r="G54" s="154"/>
      <c r="H54" s="154"/>
      <c r="I54" s="154"/>
      <c r="J54" s="154"/>
      <c r="K54" s="154"/>
      <c r="L54" s="153"/>
      <c r="M54" s="155"/>
      <c r="N54" s="156"/>
      <c r="O54" s="157"/>
      <c r="P54" s="158"/>
      <c r="Q54" s="159"/>
      <c r="R54" s="160"/>
      <c r="S54" s="161"/>
    </row>
    <row r="55" ht="15.75" customHeight="1">
      <c r="A55" s="29"/>
      <c r="B55" s="79">
        <f t="shared" si="2"/>
        <v>46</v>
      </c>
      <c r="C55" s="162"/>
      <c r="D55" s="152"/>
      <c r="E55" s="163"/>
      <c r="F55" s="154"/>
      <c r="G55" s="154"/>
      <c r="H55" s="154"/>
      <c r="I55" s="154"/>
      <c r="J55" s="154"/>
      <c r="K55" s="154"/>
      <c r="L55" s="153"/>
      <c r="M55" s="155"/>
      <c r="N55" s="156"/>
      <c r="O55" s="157"/>
      <c r="P55" s="158"/>
      <c r="Q55" s="159"/>
      <c r="R55" s="160"/>
      <c r="S55" s="161"/>
    </row>
    <row r="56" ht="15.75" customHeight="1">
      <c r="A56" s="29"/>
      <c r="B56" s="79">
        <f t="shared" si="2"/>
        <v>47</v>
      </c>
      <c r="C56" s="162"/>
      <c r="D56" s="152"/>
      <c r="E56" s="163"/>
      <c r="F56" s="154"/>
      <c r="G56" s="154"/>
      <c r="H56" s="154"/>
      <c r="I56" s="154"/>
      <c r="J56" s="154"/>
      <c r="K56" s="154"/>
      <c r="L56" s="153"/>
      <c r="M56" s="155"/>
      <c r="N56" s="156"/>
      <c r="O56" s="157"/>
      <c r="P56" s="158"/>
      <c r="Q56" s="159"/>
      <c r="R56" s="160"/>
      <c r="S56" s="161"/>
    </row>
    <row r="57" ht="15.75" customHeight="1">
      <c r="A57" s="29"/>
      <c r="B57" s="79">
        <f t="shared" si="2"/>
        <v>48</v>
      </c>
      <c r="C57" s="162"/>
      <c r="D57" s="152"/>
      <c r="E57" s="163"/>
      <c r="F57" s="154"/>
      <c r="G57" s="154"/>
      <c r="H57" s="154"/>
      <c r="I57" s="154"/>
      <c r="J57" s="154"/>
      <c r="K57" s="154"/>
      <c r="L57" s="153"/>
      <c r="M57" s="155"/>
      <c r="N57" s="156"/>
      <c r="O57" s="157"/>
      <c r="P57" s="158"/>
      <c r="Q57" s="159"/>
      <c r="R57" s="160"/>
      <c r="S57" s="161"/>
    </row>
    <row r="58" ht="15.75" customHeight="1">
      <c r="A58" s="29"/>
      <c r="B58" s="79">
        <f t="shared" si="2"/>
        <v>49</v>
      </c>
      <c r="C58" s="162"/>
      <c r="D58" s="152"/>
      <c r="E58" s="163"/>
      <c r="F58" s="154"/>
      <c r="G58" s="154"/>
      <c r="H58" s="154"/>
      <c r="I58" s="154"/>
      <c r="J58" s="154"/>
      <c r="K58" s="154"/>
      <c r="L58" s="153"/>
      <c r="M58" s="155"/>
      <c r="N58" s="156"/>
      <c r="O58" s="157"/>
      <c r="P58" s="158"/>
      <c r="Q58" s="159"/>
      <c r="R58" s="160"/>
      <c r="S58" s="161"/>
    </row>
    <row r="59" ht="15.75" customHeight="1">
      <c r="A59" s="29"/>
      <c r="B59" s="79">
        <f t="shared" si="2"/>
        <v>50</v>
      </c>
      <c r="C59" s="162"/>
      <c r="D59" s="152"/>
      <c r="E59" s="163"/>
      <c r="F59" s="154"/>
      <c r="G59" s="154"/>
      <c r="H59" s="154"/>
      <c r="I59" s="154"/>
      <c r="J59" s="154"/>
      <c r="K59" s="154"/>
      <c r="L59" s="153"/>
      <c r="M59" s="155"/>
      <c r="N59" s="156"/>
      <c r="O59" s="157"/>
      <c r="P59" s="158"/>
      <c r="Q59" s="159"/>
      <c r="R59" s="160"/>
      <c r="S59" s="161"/>
    </row>
    <row r="60" ht="15.75" customHeight="1">
      <c r="A60" s="29"/>
      <c r="B60" s="79">
        <f t="shared" si="2"/>
        <v>51</v>
      </c>
      <c r="C60" s="162"/>
      <c r="D60" s="152"/>
      <c r="E60" s="163"/>
      <c r="F60" s="154"/>
      <c r="G60" s="154"/>
      <c r="H60" s="154"/>
      <c r="I60" s="154"/>
      <c r="J60" s="154"/>
      <c r="K60" s="154"/>
      <c r="L60" s="153"/>
      <c r="M60" s="155"/>
      <c r="N60" s="156"/>
      <c r="O60" s="157"/>
      <c r="P60" s="158"/>
      <c r="Q60" s="159"/>
      <c r="R60" s="160"/>
      <c r="S60" s="161"/>
    </row>
    <row r="61" ht="15.75" customHeight="1">
      <c r="A61" s="29"/>
      <c r="B61" s="79">
        <f t="shared" si="2"/>
        <v>52</v>
      </c>
      <c r="C61" s="162"/>
      <c r="D61" s="152"/>
      <c r="E61" s="163"/>
      <c r="F61" s="154"/>
      <c r="G61" s="154"/>
      <c r="H61" s="154"/>
      <c r="I61" s="154"/>
      <c r="J61" s="154"/>
      <c r="K61" s="154"/>
      <c r="L61" s="153"/>
      <c r="M61" s="155"/>
      <c r="N61" s="156"/>
      <c r="O61" s="157"/>
      <c r="P61" s="158"/>
      <c r="Q61" s="159"/>
      <c r="R61" s="160"/>
      <c r="S61" s="161"/>
    </row>
    <row r="62" ht="15.75" customHeight="1">
      <c r="A62" s="29"/>
      <c r="B62" s="79">
        <f t="shared" si="2"/>
        <v>53</v>
      </c>
      <c r="C62" s="162"/>
      <c r="D62" s="152"/>
      <c r="E62" s="163"/>
      <c r="F62" s="154"/>
      <c r="G62" s="154"/>
      <c r="H62" s="154"/>
      <c r="I62" s="154"/>
      <c r="J62" s="154"/>
      <c r="K62" s="154"/>
      <c r="L62" s="153"/>
      <c r="M62" s="155"/>
      <c r="N62" s="156"/>
      <c r="O62" s="157"/>
      <c r="P62" s="158"/>
      <c r="Q62" s="159"/>
      <c r="R62" s="160"/>
      <c r="S62" s="161"/>
    </row>
    <row r="63" ht="15.75" customHeight="1">
      <c r="A63" s="29"/>
      <c r="B63" s="79">
        <f t="shared" si="2"/>
        <v>54</v>
      </c>
      <c r="C63" s="162"/>
      <c r="D63" s="152"/>
      <c r="E63" s="163"/>
      <c r="F63" s="154"/>
      <c r="G63" s="154"/>
      <c r="H63" s="154"/>
      <c r="I63" s="154"/>
      <c r="J63" s="154"/>
      <c r="K63" s="154"/>
      <c r="L63" s="153"/>
      <c r="M63" s="155"/>
      <c r="N63" s="156"/>
      <c r="O63" s="157"/>
      <c r="P63" s="158"/>
      <c r="Q63" s="159"/>
      <c r="R63" s="160"/>
      <c r="S63" s="161"/>
    </row>
    <row r="64" ht="15.75" customHeight="1">
      <c r="A64" s="29"/>
      <c r="B64" s="79">
        <f t="shared" si="2"/>
        <v>55</v>
      </c>
      <c r="C64" s="162"/>
      <c r="D64" s="152"/>
      <c r="E64" s="163"/>
      <c r="F64" s="154"/>
      <c r="G64" s="154"/>
      <c r="H64" s="154"/>
      <c r="I64" s="154"/>
      <c r="J64" s="154"/>
      <c r="K64" s="154"/>
      <c r="L64" s="153"/>
      <c r="M64" s="155"/>
      <c r="N64" s="156"/>
      <c r="O64" s="157"/>
      <c r="P64" s="158"/>
      <c r="Q64" s="159"/>
      <c r="R64" s="160"/>
      <c r="S64" s="161"/>
    </row>
    <row r="65" ht="15.75" customHeight="1">
      <c r="A65" s="29"/>
      <c r="B65" s="79">
        <f t="shared" si="2"/>
        <v>56</v>
      </c>
      <c r="C65" s="162"/>
      <c r="D65" s="152"/>
      <c r="E65" s="163"/>
      <c r="F65" s="154"/>
      <c r="G65" s="154"/>
      <c r="H65" s="154"/>
      <c r="I65" s="154"/>
      <c r="J65" s="154"/>
      <c r="K65" s="154"/>
      <c r="L65" s="153"/>
      <c r="M65" s="155"/>
      <c r="N65" s="156"/>
      <c r="O65" s="157"/>
      <c r="P65" s="158"/>
      <c r="Q65" s="159"/>
      <c r="R65" s="160"/>
      <c r="S65" s="161"/>
    </row>
    <row r="66" ht="15.75" customHeight="1">
      <c r="A66" s="29"/>
      <c r="B66" s="79">
        <f t="shared" si="2"/>
        <v>57</v>
      </c>
      <c r="C66" s="162"/>
      <c r="D66" s="152"/>
      <c r="E66" s="163"/>
      <c r="F66" s="154"/>
      <c r="G66" s="154"/>
      <c r="H66" s="154"/>
      <c r="I66" s="154"/>
      <c r="J66" s="154"/>
      <c r="K66" s="154"/>
      <c r="L66" s="153"/>
      <c r="M66" s="155"/>
      <c r="N66" s="156"/>
      <c r="O66" s="157"/>
      <c r="P66" s="158"/>
      <c r="Q66" s="159"/>
      <c r="R66" s="160"/>
      <c r="S66" s="161"/>
    </row>
    <row r="67" ht="15.75" customHeight="1">
      <c r="A67" s="29"/>
      <c r="B67" s="79">
        <f t="shared" si="2"/>
        <v>58</v>
      </c>
      <c r="C67" s="162"/>
      <c r="D67" s="152"/>
      <c r="E67" s="163"/>
      <c r="F67" s="154"/>
      <c r="G67" s="154"/>
      <c r="H67" s="154"/>
      <c r="I67" s="154"/>
      <c r="J67" s="154"/>
      <c r="K67" s="154"/>
      <c r="L67" s="153"/>
      <c r="M67" s="155"/>
      <c r="N67" s="156"/>
      <c r="O67" s="157"/>
      <c r="P67" s="158"/>
      <c r="Q67" s="159"/>
      <c r="R67" s="160"/>
      <c r="S67" s="161"/>
    </row>
    <row r="68" ht="15.75" customHeight="1">
      <c r="A68" s="29"/>
      <c r="B68" s="79">
        <f t="shared" si="2"/>
        <v>59</v>
      </c>
      <c r="C68" s="162"/>
      <c r="D68" s="152"/>
      <c r="E68" s="163"/>
      <c r="F68" s="154"/>
      <c r="G68" s="154"/>
      <c r="H68" s="154"/>
      <c r="I68" s="154"/>
      <c r="J68" s="154"/>
      <c r="K68" s="154"/>
      <c r="L68" s="153"/>
      <c r="M68" s="155"/>
      <c r="N68" s="156"/>
      <c r="O68" s="157"/>
      <c r="P68" s="158"/>
      <c r="Q68" s="159"/>
      <c r="R68" s="160"/>
      <c r="S68" s="161"/>
    </row>
    <row r="69" ht="15.75" customHeight="1">
      <c r="A69" s="29"/>
      <c r="B69" s="79">
        <f t="shared" si="2"/>
        <v>60</v>
      </c>
      <c r="C69" s="162"/>
      <c r="D69" s="152"/>
      <c r="E69" s="163"/>
      <c r="F69" s="154"/>
      <c r="G69" s="154"/>
      <c r="H69" s="154"/>
      <c r="I69" s="154"/>
      <c r="J69" s="154"/>
      <c r="K69" s="154"/>
      <c r="L69" s="153"/>
      <c r="M69" s="155"/>
      <c r="N69" s="156"/>
      <c r="O69" s="157"/>
      <c r="P69" s="158"/>
      <c r="Q69" s="159"/>
      <c r="R69" s="160"/>
      <c r="S69" s="161"/>
    </row>
    <row r="70" ht="15.75" customHeight="1">
      <c r="A70" s="29"/>
      <c r="B70" s="79">
        <f t="shared" si="2"/>
        <v>61</v>
      </c>
      <c r="C70" s="162"/>
      <c r="D70" s="152"/>
      <c r="E70" s="163"/>
      <c r="F70" s="154"/>
      <c r="G70" s="154"/>
      <c r="H70" s="154"/>
      <c r="I70" s="154"/>
      <c r="J70" s="154"/>
      <c r="K70" s="154"/>
      <c r="L70" s="153"/>
      <c r="M70" s="155"/>
      <c r="N70" s="156"/>
      <c r="O70" s="157"/>
      <c r="P70" s="158"/>
      <c r="Q70" s="159"/>
      <c r="R70" s="160"/>
      <c r="S70" s="161"/>
    </row>
    <row r="71" ht="15.75" customHeight="1">
      <c r="A71" s="29"/>
      <c r="B71" s="79">
        <f t="shared" si="2"/>
        <v>62</v>
      </c>
      <c r="C71" s="162"/>
      <c r="D71" s="152"/>
      <c r="E71" s="163"/>
      <c r="F71" s="154"/>
      <c r="G71" s="154"/>
      <c r="H71" s="154"/>
      <c r="I71" s="154"/>
      <c r="J71" s="154"/>
      <c r="K71" s="154"/>
      <c r="L71" s="153"/>
      <c r="M71" s="155"/>
      <c r="N71" s="156"/>
      <c r="O71" s="157"/>
      <c r="P71" s="158"/>
      <c r="Q71" s="159"/>
      <c r="R71" s="160"/>
      <c r="S71" s="161"/>
    </row>
    <row r="72" ht="15.75" customHeight="1">
      <c r="A72" s="29"/>
      <c r="B72" s="79">
        <f t="shared" si="2"/>
        <v>63</v>
      </c>
      <c r="C72" s="162"/>
      <c r="D72" s="152"/>
      <c r="E72" s="163"/>
      <c r="F72" s="154"/>
      <c r="G72" s="154"/>
      <c r="H72" s="154"/>
      <c r="I72" s="154"/>
      <c r="J72" s="154"/>
      <c r="K72" s="154"/>
      <c r="L72" s="153"/>
      <c r="M72" s="155"/>
      <c r="N72" s="156"/>
      <c r="O72" s="157"/>
      <c r="P72" s="158"/>
      <c r="Q72" s="159"/>
      <c r="R72" s="160"/>
      <c r="S72" s="161"/>
    </row>
    <row r="73" ht="15.75" customHeight="1">
      <c r="A73" s="29"/>
      <c r="B73" s="79">
        <f t="shared" si="2"/>
        <v>64</v>
      </c>
      <c r="C73" s="162"/>
      <c r="D73" s="152"/>
      <c r="E73" s="163"/>
      <c r="F73" s="154"/>
      <c r="G73" s="154"/>
      <c r="H73" s="154"/>
      <c r="I73" s="154"/>
      <c r="J73" s="154"/>
      <c r="K73" s="154"/>
      <c r="L73" s="153"/>
      <c r="M73" s="155"/>
      <c r="N73" s="156"/>
      <c r="O73" s="157"/>
      <c r="P73" s="158"/>
      <c r="Q73" s="159"/>
      <c r="R73" s="160"/>
      <c r="S73" s="161"/>
    </row>
    <row r="74" ht="15.75" customHeight="1">
      <c r="A74" s="29"/>
      <c r="B74" s="79">
        <f t="shared" si="2"/>
        <v>65</v>
      </c>
      <c r="C74" s="162"/>
      <c r="D74" s="152"/>
      <c r="E74" s="163"/>
      <c r="F74" s="154"/>
      <c r="G74" s="154"/>
      <c r="H74" s="154"/>
      <c r="I74" s="154"/>
      <c r="J74" s="154"/>
      <c r="K74" s="154"/>
      <c r="L74" s="153"/>
      <c r="M74" s="155"/>
      <c r="N74" s="156"/>
      <c r="O74" s="157"/>
      <c r="P74" s="158"/>
      <c r="Q74" s="159"/>
      <c r="R74" s="160"/>
      <c r="S74" s="161"/>
    </row>
    <row r="75" ht="15.75" customHeight="1">
      <c r="A75" s="29"/>
      <c r="B75" s="79">
        <f t="shared" si="2"/>
        <v>66</v>
      </c>
      <c r="C75" s="162"/>
      <c r="D75" s="152"/>
      <c r="E75" s="163"/>
      <c r="F75" s="154"/>
      <c r="G75" s="154"/>
      <c r="H75" s="154"/>
      <c r="I75" s="154"/>
      <c r="J75" s="154"/>
      <c r="K75" s="154"/>
      <c r="L75" s="153"/>
      <c r="M75" s="155"/>
      <c r="N75" s="156"/>
      <c r="O75" s="157"/>
      <c r="P75" s="158"/>
      <c r="Q75" s="159"/>
      <c r="R75" s="160"/>
      <c r="S75" s="161"/>
    </row>
    <row r="76" ht="15.75" customHeight="1">
      <c r="A76" s="29"/>
      <c r="B76" s="79">
        <f t="shared" si="2"/>
        <v>67</v>
      </c>
      <c r="C76" s="162"/>
      <c r="D76" s="152"/>
      <c r="E76" s="163"/>
      <c r="F76" s="154"/>
      <c r="G76" s="154"/>
      <c r="H76" s="154"/>
      <c r="I76" s="154"/>
      <c r="J76" s="154"/>
      <c r="K76" s="154"/>
      <c r="L76" s="153"/>
      <c r="M76" s="155"/>
      <c r="N76" s="156"/>
      <c r="O76" s="157"/>
      <c r="P76" s="158"/>
      <c r="Q76" s="159"/>
      <c r="R76" s="160"/>
      <c r="S76" s="161"/>
    </row>
    <row r="77" ht="15.75" customHeight="1">
      <c r="A77" s="29"/>
      <c r="B77" s="79">
        <f t="shared" si="2"/>
        <v>68</v>
      </c>
      <c r="C77" s="162"/>
      <c r="D77" s="152"/>
      <c r="E77" s="163"/>
      <c r="F77" s="154"/>
      <c r="G77" s="154"/>
      <c r="H77" s="154"/>
      <c r="I77" s="154"/>
      <c r="J77" s="154"/>
      <c r="K77" s="154"/>
      <c r="L77" s="153"/>
      <c r="M77" s="155"/>
      <c r="N77" s="156"/>
      <c r="O77" s="157"/>
      <c r="P77" s="158"/>
      <c r="Q77" s="159"/>
      <c r="R77" s="160"/>
      <c r="S77" s="161"/>
    </row>
    <row r="78" ht="15.75" customHeight="1">
      <c r="A78" s="29"/>
      <c r="B78" s="79">
        <f t="shared" si="2"/>
        <v>69</v>
      </c>
      <c r="C78" s="162"/>
      <c r="D78" s="152"/>
      <c r="E78" s="163"/>
      <c r="F78" s="154"/>
      <c r="G78" s="154"/>
      <c r="H78" s="154"/>
      <c r="I78" s="154"/>
      <c r="J78" s="154"/>
      <c r="K78" s="154"/>
      <c r="L78" s="153"/>
      <c r="M78" s="155"/>
      <c r="N78" s="156"/>
      <c r="O78" s="157"/>
      <c r="P78" s="158"/>
      <c r="Q78" s="159"/>
      <c r="R78" s="160"/>
      <c r="S78" s="161"/>
    </row>
    <row r="79" ht="15.75" customHeight="1">
      <c r="A79" s="29"/>
      <c r="B79" s="79">
        <f t="shared" si="2"/>
        <v>70</v>
      </c>
      <c r="C79" s="162"/>
      <c r="D79" s="152"/>
      <c r="E79" s="163"/>
      <c r="F79" s="154"/>
      <c r="G79" s="154"/>
      <c r="H79" s="154"/>
      <c r="I79" s="154"/>
      <c r="J79" s="154"/>
      <c r="K79" s="154"/>
      <c r="L79" s="153"/>
      <c r="M79" s="155"/>
      <c r="N79" s="156"/>
      <c r="O79" s="157"/>
      <c r="P79" s="158"/>
      <c r="Q79" s="159"/>
      <c r="R79" s="160"/>
      <c r="S79" s="161"/>
    </row>
    <row r="80" ht="15.75" customHeight="1">
      <c r="A80" s="29"/>
      <c r="B80" s="79">
        <f t="shared" si="2"/>
        <v>71</v>
      </c>
      <c r="C80" s="162"/>
      <c r="D80" s="152"/>
      <c r="E80" s="163"/>
      <c r="F80" s="154"/>
      <c r="G80" s="154"/>
      <c r="H80" s="154"/>
      <c r="I80" s="154"/>
      <c r="J80" s="154"/>
      <c r="K80" s="154"/>
      <c r="L80" s="153"/>
      <c r="M80" s="155"/>
      <c r="N80" s="156"/>
      <c r="O80" s="157"/>
      <c r="P80" s="158"/>
      <c r="Q80" s="159"/>
      <c r="R80" s="160"/>
      <c r="S80" s="161"/>
    </row>
    <row r="81" ht="15.75" customHeight="1">
      <c r="A81" s="29"/>
      <c r="B81" s="79">
        <f t="shared" si="2"/>
        <v>72</v>
      </c>
      <c r="C81" s="162"/>
      <c r="D81" s="152"/>
      <c r="E81" s="163"/>
      <c r="F81" s="154"/>
      <c r="G81" s="154"/>
      <c r="H81" s="154"/>
      <c r="I81" s="154"/>
      <c r="J81" s="154"/>
      <c r="K81" s="154"/>
      <c r="L81" s="153"/>
      <c r="M81" s="155"/>
      <c r="N81" s="156"/>
      <c r="O81" s="157"/>
      <c r="P81" s="158"/>
      <c r="Q81" s="159"/>
      <c r="R81" s="160"/>
      <c r="S81" s="161"/>
    </row>
    <row r="82" ht="15.75" customHeight="1">
      <c r="A82" s="29"/>
      <c r="B82" s="79">
        <f t="shared" si="2"/>
        <v>73</v>
      </c>
      <c r="C82" s="162"/>
      <c r="D82" s="152"/>
      <c r="E82" s="163"/>
      <c r="F82" s="154"/>
      <c r="G82" s="154"/>
      <c r="H82" s="154"/>
      <c r="I82" s="154"/>
      <c r="J82" s="154"/>
      <c r="K82" s="154"/>
      <c r="L82" s="153"/>
      <c r="M82" s="155"/>
      <c r="N82" s="156"/>
      <c r="O82" s="157"/>
      <c r="P82" s="158"/>
      <c r="Q82" s="159"/>
      <c r="R82" s="160"/>
      <c r="S82" s="161"/>
    </row>
    <row r="83" ht="15.75" customHeight="1">
      <c r="A83" s="29"/>
      <c r="B83" s="79">
        <f t="shared" si="2"/>
        <v>74</v>
      </c>
      <c r="C83" s="162"/>
      <c r="D83" s="152"/>
      <c r="E83" s="163"/>
      <c r="F83" s="154"/>
      <c r="G83" s="154"/>
      <c r="H83" s="154"/>
      <c r="I83" s="154"/>
      <c r="J83" s="154"/>
      <c r="K83" s="154"/>
      <c r="L83" s="153"/>
      <c r="M83" s="155"/>
      <c r="N83" s="156"/>
      <c r="O83" s="157"/>
      <c r="P83" s="158"/>
      <c r="Q83" s="159"/>
      <c r="R83" s="160"/>
      <c r="S83" s="161"/>
    </row>
    <row r="84" ht="15.75" customHeight="1">
      <c r="A84" s="29"/>
      <c r="B84" s="79">
        <f t="shared" si="2"/>
        <v>75</v>
      </c>
      <c r="C84" s="162"/>
      <c r="D84" s="152"/>
      <c r="E84" s="163"/>
      <c r="F84" s="154"/>
      <c r="G84" s="154"/>
      <c r="H84" s="154"/>
      <c r="I84" s="154"/>
      <c r="J84" s="154"/>
      <c r="K84" s="154"/>
      <c r="L84" s="153"/>
      <c r="M84" s="155"/>
      <c r="N84" s="156"/>
      <c r="O84" s="157"/>
      <c r="P84" s="158"/>
      <c r="Q84" s="159"/>
      <c r="R84" s="160"/>
      <c r="S84" s="161"/>
    </row>
    <row r="85" ht="15.75" customHeight="1">
      <c r="A85" s="29"/>
      <c r="B85" s="79">
        <f t="shared" si="2"/>
        <v>76</v>
      </c>
      <c r="C85" s="162"/>
      <c r="D85" s="152"/>
      <c r="E85" s="163"/>
      <c r="F85" s="154"/>
      <c r="G85" s="154"/>
      <c r="H85" s="154"/>
      <c r="I85" s="154"/>
      <c r="J85" s="154"/>
      <c r="K85" s="154"/>
      <c r="L85" s="153"/>
      <c r="M85" s="155"/>
      <c r="N85" s="156"/>
      <c r="O85" s="157"/>
      <c r="P85" s="158"/>
      <c r="Q85" s="159"/>
      <c r="R85" s="160"/>
      <c r="S85" s="161"/>
    </row>
    <row r="86" ht="15.75" customHeight="1">
      <c r="A86" s="29"/>
      <c r="B86" s="79">
        <f t="shared" si="2"/>
        <v>77</v>
      </c>
      <c r="C86" s="162"/>
      <c r="D86" s="152"/>
      <c r="E86" s="163"/>
      <c r="F86" s="154"/>
      <c r="G86" s="154"/>
      <c r="H86" s="154"/>
      <c r="I86" s="154"/>
      <c r="J86" s="154"/>
      <c r="K86" s="154"/>
      <c r="L86" s="153"/>
      <c r="M86" s="155"/>
      <c r="N86" s="156"/>
      <c r="O86" s="157"/>
      <c r="P86" s="158"/>
      <c r="Q86" s="159"/>
      <c r="R86" s="160"/>
      <c r="S86" s="161"/>
    </row>
    <row r="87" ht="15.75" customHeight="1">
      <c r="A87" s="29"/>
      <c r="B87" s="79">
        <f t="shared" si="2"/>
        <v>78</v>
      </c>
      <c r="C87" s="162"/>
      <c r="D87" s="152"/>
      <c r="E87" s="163"/>
      <c r="F87" s="154"/>
      <c r="G87" s="154"/>
      <c r="H87" s="154"/>
      <c r="I87" s="154"/>
      <c r="J87" s="154"/>
      <c r="K87" s="154"/>
      <c r="L87" s="153"/>
      <c r="M87" s="155"/>
      <c r="N87" s="156"/>
      <c r="O87" s="157"/>
      <c r="P87" s="158"/>
      <c r="Q87" s="159"/>
      <c r="R87" s="160"/>
      <c r="S87" s="161"/>
    </row>
    <row r="88" ht="15.75" customHeight="1">
      <c r="A88" s="29"/>
      <c r="B88" s="79">
        <f t="shared" si="2"/>
        <v>79</v>
      </c>
      <c r="C88" s="162"/>
      <c r="D88" s="152"/>
      <c r="E88" s="163"/>
      <c r="F88" s="154"/>
      <c r="G88" s="154"/>
      <c r="H88" s="154"/>
      <c r="I88" s="154"/>
      <c r="J88" s="154"/>
      <c r="K88" s="154"/>
      <c r="L88" s="153"/>
      <c r="M88" s="155"/>
      <c r="N88" s="156"/>
      <c r="O88" s="157"/>
      <c r="P88" s="158"/>
      <c r="Q88" s="159"/>
      <c r="R88" s="160"/>
      <c r="S88" s="161"/>
    </row>
    <row r="89" ht="15.75" customHeight="1">
      <c r="A89" s="29"/>
      <c r="B89" s="79">
        <f t="shared" si="2"/>
        <v>80</v>
      </c>
      <c r="C89" s="162"/>
      <c r="D89" s="152"/>
      <c r="E89" s="163"/>
      <c r="F89" s="154"/>
      <c r="G89" s="154"/>
      <c r="H89" s="154"/>
      <c r="I89" s="154"/>
      <c r="J89" s="154"/>
      <c r="K89" s="154"/>
      <c r="L89" s="153"/>
      <c r="M89" s="155"/>
      <c r="N89" s="156"/>
      <c r="O89" s="157"/>
      <c r="P89" s="158"/>
      <c r="Q89" s="159"/>
      <c r="R89" s="160"/>
      <c r="S89" s="161"/>
    </row>
    <row r="90" ht="15.75" customHeight="1">
      <c r="A90" s="29"/>
      <c r="B90" s="79">
        <f t="shared" si="2"/>
        <v>81</v>
      </c>
      <c r="C90" s="162"/>
      <c r="D90" s="152"/>
      <c r="E90" s="163"/>
      <c r="F90" s="154"/>
      <c r="G90" s="154"/>
      <c r="H90" s="154"/>
      <c r="I90" s="154"/>
      <c r="J90" s="154"/>
      <c r="K90" s="154"/>
      <c r="L90" s="153"/>
      <c r="M90" s="155"/>
      <c r="N90" s="156"/>
      <c r="O90" s="157"/>
      <c r="P90" s="158"/>
      <c r="Q90" s="159"/>
      <c r="R90" s="160"/>
      <c r="S90" s="161"/>
    </row>
    <row r="91" ht="15.75" customHeight="1">
      <c r="A91" s="29"/>
      <c r="B91" s="79">
        <f t="shared" si="2"/>
        <v>82</v>
      </c>
      <c r="C91" s="162"/>
      <c r="D91" s="152"/>
      <c r="E91" s="163"/>
      <c r="F91" s="154"/>
      <c r="G91" s="154"/>
      <c r="H91" s="154"/>
      <c r="I91" s="154"/>
      <c r="J91" s="154"/>
      <c r="K91" s="154"/>
      <c r="L91" s="153"/>
      <c r="M91" s="155"/>
      <c r="N91" s="156"/>
      <c r="O91" s="157"/>
      <c r="P91" s="158"/>
      <c r="Q91" s="159"/>
      <c r="R91" s="160"/>
      <c r="S91" s="161"/>
    </row>
    <row r="92" ht="15.75" customHeight="1">
      <c r="A92" s="29"/>
      <c r="B92" s="79">
        <f t="shared" si="2"/>
        <v>83</v>
      </c>
      <c r="C92" s="162"/>
      <c r="D92" s="152"/>
      <c r="E92" s="163"/>
      <c r="F92" s="154"/>
      <c r="G92" s="154"/>
      <c r="H92" s="154"/>
      <c r="I92" s="154"/>
      <c r="J92" s="154"/>
      <c r="K92" s="154"/>
      <c r="L92" s="153"/>
      <c r="M92" s="155"/>
      <c r="N92" s="156"/>
      <c r="O92" s="157"/>
      <c r="P92" s="158"/>
      <c r="Q92" s="159"/>
      <c r="R92" s="160"/>
      <c r="S92" s="161"/>
    </row>
    <row r="93" ht="15.75" customHeight="1">
      <c r="A93" s="29"/>
      <c r="B93" s="79">
        <f t="shared" si="2"/>
        <v>84</v>
      </c>
      <c r="C93" s="162"/>
      <c r="D93" s="152"/>
      <c r="E93" s="163"/>
      <c r="F93" s="154"/>
      <c r="G93" s="154"/>
      <c r="H93" s="154"/>
      <c r="I93" s="154"/>
      <c r="J93" s="154"/>
      <c r="K93" s="154"/>
      <c r="L93" s="153"/>
      <c r="M93" s="155"/>
      <c r="N93" s="156"/>
      <c r="O93" s="157"/>
      <c r="P93" s="158"/>
      <c r="Q93" s="159"/>
      <c r="R93" s="160"/>
      <c r="S93" s="161"/>
    </row>
    <row r="94" ht="15.75" customHeight="1">
      <c r="A94" s="29"/>
      <c r="B94" s="79">
        <f t="shared" si="2"/>
        <v>85</v>
      </c>
      <c r="C94" s="162"/>
      <c r="D94" s="152"/>
      <c r="E94" s="163"/>
      <c r="F94" s="154"/>
      <c r="G94" s="154"/>
      <c r="H94" s="154"/>
      <c r="I94" s="154"/>
      <c r="J94" s="154"/>
      <c r="K94" s="154"/>
      <c r="L94" s="153"/>
      <c r="M94" s="155"/>
      <c r="N94" s="156"/>
      <c r="O94" s="157"/>
      <c r="P94" s="158"/>
      <c r="Q94" s="159"/>
      <c r="R94" s="160"/>
      <c r="S94" s="161"/>
    </row>
    <row r="95" ht="15.75" customHeight="1">
      <c r="A95" s="29"/>
      <c r="B95" s="79">
        <f t="shared" si="2"/>
        <v>86</v>
      </c>
      <c r="C95" s="162"/>
      <c r="D95" s="152"/>
      <c r="E95" s="163"/>
      <c r="F95" s="154"/>
      <c r="G95" s="154"/>
      <c r="H95" s="154"/>
      <c r="I95" s="154"/>
      <c r="J95" s="154"/>
      <c r="K95" s="154"/>
      <c r="L95" s="153"/>
      <c r="M95" s="155"/>
      <c r="N95" s="156"/>
      <c r="O95" s="157"/>
      <c r="P95" s="158"/>
      <c r="Q95" s="159"/>
      <c r="R95" s="160"/>
      <c r="S95" s="161"/>
    </row>
    <row r="96" ht="15.75" customHeight="1">
      <c r="A96" s="29"/>
      <c r="B96" s="79">
        <f t="shared" si="2"/>
        <v>87</v>
      </c>
      <c r="C96" s="162"/>
      <c r="D96" s="152"/>
      <c r="E96" s="163"/>
      <c r="F96" s="154"/>
      <c r="G96" s="154"/>
      <c r="H96" s="154"/>
      <c r="I96" s="154"/>
      <c r="J96" s="154"/>
      <c r="K96" s="154"/>
      <c r="L96" s="153"/>
      <c r="M96" s="155"/>
      <c r="N96" s="156"/>
      <c r="O96" s="157"/>
      <c r="P96" s="158"/>
      <c r="Q96" s="159"/>
      <c r="R96" s="160"/>
      <c r="S96" s="161"/>
    </row>
    <row r="97" ht="15.75" customHeight="1">
      <c r="A97" s="29"/>
      <c r="B97" s="79">
        <f t="shared" si="2"/>
        <v>88</v>
      </c>
      <c r="C97" s="162"/>
      <c r="D97" s="152"/>
      <c r="E97" s="163"/>
      <c r="F97" s="154"/>
      <c r="G97" s="154"/>
      <c r="H97" s="154"/>
      <c r="I97" s="154"/>
      <c r="J97" s="154"/>
      <c r="K97" s="154"/>
      <c r="L97" s="153"/>
      <c r="M97" s="155"/>
      <c r="N97" s="156"/>
      <c r="O97" s="157"/>
      <c r="P97" s="158"/>
      <c r="Q97" s="159"/>
      <c r="R97" s="160"/>
      <c r="S97" s="161"/>
    </row>
    <row r="98" ht="15.75" customHeight="1">
      <c r="A98" s="29"/>
      <c r="B98" s="79">
        <f t="shared" si="2"/>
        <v>89</v>
      </c>
      <c r="C98" s="162"/>
      <c r="D98" s="152"/>
      <c r="E98" s="163"/>
      <c r="F98" s="154"/>
      <c r="G98" s="154"/>
      <c r="H98" s="154"/>
      <c r="I98" s="154"/>
      <c r="J98" s="154"/>
      <c r="K98" s="154"/>
      <c r="L98" s="153"/>
      <c r="M98" s="155"/>
      <c r="N98" s="156"/>
      <c r="O98" s="157"/>
      <c r="P98" s="158"/>
      <c r="Q98" s="159"/>
      <c r="R98" s="160"/>
      <c r="S98" s="161"/>
    </row>
    <row r="99" ht="15.75" customHeight="1">
      <c r="A99" s="29"/>
      <c r="B99" s="79">
        <f t="shared" si="2"/>
        <v>90</v>
      </c>
      <c r="C99" s="162"/>
      <c r="D99" s="152"/>
      <c r="E99" s="163"/>
      <c r="F99" s="154"/>
      <c r="G99" s="154"/>
      <c r="H99" s="154"/>
      <c r="I99" s="154"/>
      <c r="J99" s="154"/>
      <c r="K99" s="154"/>
      <c r="L99" s="153"/>
      <c r="M99" s="155"/>
      <c r="N99" s="156"/>
      <c r="O99" s="157"/>
      <c r="P99" s="158"/>
      <c r="Q99" s="159"/>
      <c r="R99" s="160"/>
      <c r="S99" s="161"/>
    </row>
    <row r="100" ht="15.75" customHeight="1">
      <c r="A100" s="29"/>
      <c r="B100" s="79">
        <f t="shared" si="2"/>
        <v>91</v>
      </c>
      <c r="C100" s="162"/>
      <c r="D100" s="152"/>
      <c r="E100" s="163"/>
      <c r="F100" s="154"/>
      <c r="G100" s="154"/>
      <c r="H100" s="154"/>
      <c r="I100" s="154"/>
      <c r="J100" s="154"/>
      <c r="K100" s="154"/>
      <c r="L100" s="153"/>
      <c r="M100" s="155"/>
      <c r="N100" s="156"/>
      <c r="O100" s="157"/>
      <c r="P100" s="158"/>
      <c r="Q100" s="159"/>
      <c r="R100" s="160"/>
      <c r="S100" s="161"/>
    </row>
    <row r="101" ht="15.75" customHeight="1">
      <c r="A101" s="29"/>
      <c r="B101" s="79">
        <f t="shared" si="2"/>
        <v>92</v>
      </c>
      <c r="C101" s="162"/>
      <c r="D101" s="152"/>
      <c r="E101" s="163"/>
      <c r="F101" s="154"/>
      <c r="G101" s="154"/>
      <c r="H101" s="154"/>
      <c r="I101" s="154"/>
      <c r="J101" s="154"/>
      <c r="K101" s="154"/>
      <c r="L101" s="153"/>
      <c r="M101" s="155"/>
      <c r="N101" s="156"/>
      <c r="O101" s="157"/>
      <c r="P101" s="158"/>
      <c r="Q101" s="159"/>
      <c r="R101" s="160"/>
      <c r="S101" s="161"/>
    </row>
    <row r="102" ht="15.75" customHeight="1">
      <c r="A102" s="29"/>
      <c r="B102" s="79">
        <f t="shared" si="2"/>
        <v>93</v>
      </c>
      <c r="C102" s="162"/>
      <c r="D102" s="152"/>
      <c r="E102" s="163"/>
      <c r="F102" s="154"/>
      <c r="G102" s="154"/>
      <c r="H102" s="154"/>
      <c r="I102" s="154"/>
      <c r="J102" s="154"/>
      <c r="K102" s="154"/>
      <c r="L102" s="153"/>
      <c r="M102" s="155"/>
      <c r="N102" s="156"/>
      <c r="O102" s="157"/>
      <c r="P102" s="158"/>
      <c r="Q102" s="159"/>
      <c r="R102" s="160"/>
      <c r="S102" s="161"/>
    </row>
    <row r="103" ht="15.75" customHeight="1">
      <c r="A103" s="29"/>
      <c r="B103" s="79">
        <f t="shared" si="2"/>
        <v>94</v>
      </c>
      <c r="C103" s="162"/>
      <c r="D103" s="152"/>
      <c r="E103" s="163"/>
      <c r="F103" s="154"/>
      <c r="G103" s="154"/>
      <c r="H103" s="154"/>
      <c r="I103" s="154"/>
      <c r="J103" s="154"/>
      <c r="K103" s="154"/>
      <c r="L103" s="153"/>
      <c r="M103" s="155"/>
      <c r="N103" s="156"/>
      <c r="O103" s="157"/>
      <c r="P103" s="158"/>
      <c r="Q103" s="159"/>
      <c r="R103" s="160"/>
      <c r="S103" s="161"/>
    </row>
    <row r="104" ht="15.75" customHeight="1">
      <c r="A104" s="29"/>
      <c r="B104" s="79">
        <f t="shared" si="2"/>
        <v>95</v>
      </c>
      <c r="C104" s="162"/>
      <c r="D104" s="152"/>
      <c r="E104" s="163"/>
      <c r="F104" s="154"/>
      <c r="G104" s="154"/>
      <c r="H104" s="154"/>
      <c r="I104" s="154"/>
      <c r="J104" s="154"/>
      <c r="K104" s="154"/>
      <c r="L104" s="153"/>
      <c r="M104" s="155"/>
      <c r="N104" s="156"/>
      <c r="O104" s="157"/>
      <c r="P104" s="158"/>
      <c r="Q104" s="159"/>
      <c r="R104" s="160"/>
      <c r="S104" s="161"/>
    </row>
    <row r="105" ht="15.75" customHeight="1">
      <c r="A105" s="29"/>
      <c r="B105" s="79">
        <f t="shared" si="2"/>
        <v>96</v>
      </c>
      <c r="C105" s="162"/>
      <c r="D105" s="152"/>
      <c r="E105" s="163"/>
      <c r="F105" s="154"/>
      <c r="G105" s="154"/>
      <c r="H105" s="154"/>
      <c r="I105" s="154"/>
      <c r="J105" s="154"/>
      <c r="K105" s="154"/>
      <c r="L105" s="153"/>
      <c r="M105" s="155"/>
      <c r="N105" s="156"/>
      <c r="O105" s="157"/>
      <c r="P105" s="158"/>
      <c r="Q105" s="159"/>
      <c r="R105" s="160"/>
      <c r="S105" s="161"/>
    </row>
    <row r="106" ht="15.75" customHeight="1">
      <c r="A106" s="29"/>
      <c r="B106" s="79">
        <f t="shared" si="2"/>
        <v>97</v>
      </c>
      <c r="C106" s="162"/>
      <c r="D106" s="152"/>
      <c r="E106" s="163"/>
      <c r="F106" s="154"/>
      <c r="G106" s="154"/>
      <c r="H106" s="154"/>
      <c r="I106" s="154"/>
      <c r="J106" s="154"/>
      <c r="K106" s="154"/>
      <c r="L106" s="153"/>
      <c r="M106" s="155"/>
      <c r="N106" s="156"/>
      <c r="O106" s="157"/>
      <c r="P106" s="158"/>
      <c r="Q106" s="159"/>
      <c r="R106" s="160"/>
      <c r="S106" s="161"/>
    </row>
    <row r="107" ht="15.75" customHeight="1">
      <c r="A107" s="29"/>
      <c r="B107" s="79">
        <f t="shared" si="2"/>
        <v>98</v>
      </c>
      <c r="C107" s="162"/>
      <c r="D107" s="152"/>
      <c r="E107" s="163"/>
      <c r="F107" s="154"/>
      <c r="G107" s="154"/>
      <c r="H107" s="154"/>
      <c r="I107" s="154"/>
      <c r="J107" s="154"/>
      <c r="K107" s="154"/>
      <c r="L107" s="153"/>
      <c r="M107" s="155"/>
      <c r="N107" s="156"/>
      <c r="O107" s="157"/>
      <c r="P107" s="158"/>
      <c r="Q107" s="159"/>
      <c r="R107" s="160"/>
      <c r="S107" s="161"/>
    </row>
    <row r="108" ht="15.75" customHeight="1">
      <c r="A108" s="29"/>
      <c r="B108" s="79">
        <f t="shared" si="2"/>
        <v>99</v>
      </c>
      <c r="C108" s="162"/>
      <c r="D108" s="152"/>
      <c r="E108" s="163"/>
      <c r="F108" s="154"/>
      <c r="G108" s="154"/>
      <c r="H108" s="154"/>
      <c r="I108" s="154"/>
      <c r="J108" s="154"/>
      <c r="K108" s="154"/>
      <c r="L108" s="153"/>
      <c r="M108" s="155"/>
      <c r="N108" s="156"/>
      <c r="O108" s="157"/>
      <c r="P108" s="158"/>
      <c r="Q108" s="159"/>
      <c r="R108" s="160"/>
      <c r="S108" s="161"/>
    </row>
    <row r="109" ht="15.75" customHeight="1">
      <c r="A109" s="29"/>
      <c r="B109" s="165">
        <f t="shared" si="2"/>
        <v>100</v>
      </c>
      <c r="C109" s="162"/>
      <c r="D109" s="152"/>
      <c r="E109" s="163"/>
      <c r="F109" s="154"/>
      <c r="G109" s="166"/>
      <c r="H109" s="166"/>
      <c r="I109" s="166"/>
      <c r="J109" s="166"/>
      <c r="K109" s="166"/>
      <c r="L109" s="167"/>
      <c r="M109" s="168"/>
      <c r="N109" s="169"/>
      <c r="O109" s="170"/>
      <c r="P109" s="171"/>
      <c r="Q109" s="172"/>
      <c r="R109" s="173"/>
      <c r="S109" s="161"/>
    </row>
    <row r="110" ht="10.5" customHeight="1">
      <c r="A110" s="29"/>
      <c r="B110" s="174"/>
      <c r="C110" s="175"/>
      <c r="D110" s="175"/>
      <c r="E110" s="175"/>
      <c r="F110" s="176"/>
      <c r="G110" s="176"/>
      <c r="H110" s="176"/>
      <c r="I110" s="176"/>
      <c r="J110" s="176"/>
      <c r="K110" s="176"/>
      <c r="L110" s="175"/>
      <c r="M110" s="177"/>
      <c r="N110" s="177"/>
      <c r="O110" s="177"/>
      <c r="P110" s="178"/>
      <c r="Q110" s="178"/>
      <c r="R110" s="178"/>
      <c r="S110" s="161"/>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8962E7D7-C85B-48EB-8DD4-5594EA7A93D9}" filter="1" showAutoFilter="1">
      <autoFilter ref="$A$9:$S$110"/>
    </customSheetView>
  </customSheetViews>
  <mergeCells count="1">
    <mergeCell ref="M2:P2"/>
  </mergeCells>
  <conditionalFormatting sqref="M10:M109">
    <cfRule type="containsText" dxfId="2" priority="1" operator="containsText" text="OK">
      <formula>NOT(ISERROR(SEARCH(("OK"),(M10))))</formula>
    </cfRule>
  </conditionalFormatting>
  <conditionalFormatting sqref="M10:M109">
    <cfRule type="cellIs" dxfId="3" priority="2" operator="equal">
      <formula>"NG"</formula>
    </cfRule>
  </conditionalFormatting>
  <conditionalFormatting sqref="M10:M109">
    <cfRule type="cellIs" dxfId="4" priority="3" operator="equal">
      <formula>"NT"</formula>
    </cfRule>
  </conditionalFormatting>
  <conditionalFormatting sqref="M10:M109">
    <cfRule type="cellIs" dxfId="5" priority="4" operator="equal">
      <formula>"BK"</formula>
    </cfRule>
  </conditionalFormatting>
  <dataValidations>
    <dataValidation type="list" allowBlank="1" showErrorMessage="1" sqref="D4">
      <formula1>"PC,Android,iOS,FP"</formula1>
    </dataValidation>
    <dataValidation type="list" allowBlank="1" showErrorMessage="1" sqref="M10:M109">
      <formula1>"OK,NG,NT,NG→OK,BK"</formula1>
    </dataValidation>
  </dataValidations>
  <printOptions/>
  <pageMargins bottom="0.75" footer="0.0" header="0.0" left="0.7" right="0.7" top="0.75"/>
  <pageSetup paperSize="9" orientation="portrait"/>
  <drawing r:id="rId1"/>
</worksheet>
</file>