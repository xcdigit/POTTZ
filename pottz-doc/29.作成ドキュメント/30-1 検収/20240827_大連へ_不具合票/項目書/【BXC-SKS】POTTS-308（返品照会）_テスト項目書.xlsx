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進捗管理表" sheetId="1" r:id="rId4"/>
    <sheet state="visible" name="POTTS-308（返品照会）" sheetId="2" r:id="rId5"/>
    <sheet state="visible" name="変更履歴" sheetId="3" r:id="rId6"/>
    <sheet state="hidden" name="template" sheetId="4" r:id="rId7"/>
  </sheets>
  <definedNames>
    <definedName name="ｘ">#REF!</definedName>
    <definedName name="wrn.見積・注文.">#REF!</definedName>
    <definedName name="aaaaa">#REF!</definedName>
    <definedName name="いい">#REF!</definedName>
    <definedName name="QQQ">#REF!</definedName>
    <definedName name="XX">#REF!</definedName>
    <definedName name="ざ">#REF!</definedName>
    <definedName name="UUU">#REF!</definedName>
    <definedName name="い">#REF!</definedName>
    <definedName name="EEE">#REF!</definedName>
    <definedName name="画面名">#REF!</definedName>
    <definedName name="うう">#REF!</definedName>
    <definedName name="実施結果">#REF!</definedName>
    <definedName name="あああ">#REF!</definedName>
    <definedName name="A">#REF!</definedName>
    <definedName name="AA">#REF!</definedName>
    <definedName name="HTML1_14">#REF!</definedName>
    <definedName name="wrn.追加ＰＣ見積.">#REF!</definedName>
    <definedName name="ｚ">#REF!</definedName>
    <definedName name="ｊｊｊ">#REF!</definedName>
    <definedName name="ｚｚｚ">#REF!</definedName>
    <definedName name="んｎ">#REF!</definedName>
    <definedName name="CC">#REF!</definedName>
    <definedName name="PPP">#REF!</definedName>
    <definedName name="RR">#REF!</definedName>
    <definedName name="ううう">#REF!</definedName>
    <definedName name="だ">#REF!</definedName>
    <definedName name="I">#REF!</definedName>
    <definedName name="いいい">#REF!</definedName>
    <definedName name="RRR">#REF!</definedName>
    <definedName name="FFF">#REF!</definedName>
    <definedName name="か">#REF!</definedName>
    <definedName name="BB">#REF!</definedName>
    <definedName name="DDD">#REF!</definedName>
    <definedName name="HTML1_15">#REF!</definedName>
    <definedName name="ええ">#REF!</definedName>
    <definedName name="ｘｘｘ">#REF!</definedName>
    <definedName name="CCCC">#REF!</definedName>
    <definedName name="TTT">#REF!</definedName>
    <definedName name="HTML1_13">#REF!</definedName>
    <definedName name="ｖｖｖ">#REF!</definedName>
    <definedName name="ｙｙｙ">#REF!</definedName>
    <definedName name="テスト観点">#REF!</definedName>
    <definedName name="AAAA">#REF!</definedName>
    <definedName name="abc">#REF!</definedName>
    <definedName name="ああああ">#REF!</definedName>
    <definedName name="NNN">#REF!</definedName>
    <definedName name="B">#REF!</definedName>
    <definedName name="W">#REF!</definedName>
    <definedName name="wrn.2050保守作業.">#REF!</definedName>
    <definedName name="Ｄ">#REF!</definedName>
    <definedName name="QQ">#REF!</definedName>
    <definedName name="PP">#REF!</definedName>
    <definedName name="CCC">#REF!</definedName>
    <definedName name="SSS">#REF!</definedName>
    <definedName hidden="1" localSheetId="1" name="Z_4FB1047E_4D61_41DE_8D63_5A2230DED20B_.wvu.FilterData">'POTTS-308（返品照会）'!$A$10:$S$31</definedName>
    <definedName hidden="1" localSheetId="3" name="Z_4FB1047E_4D61_41DE_8D63_5A2230DED20B_.wvu.FilterData">template!$A$9:$S$110</definedName>
  </definedNames>
  <calcPr/>
  <customWorkbookViews>
    <customWorkbookView activeSheetId="0" maximized="1" windowHeight="0" windowWidth="0" guid="{4FB1047E-4D61-41DE-8D63-5A2230DED20B}" name="フィルタ 1"/>
  </customWorkbookViews>
</workbook>
</file>

<file path=xl/sharedStrings.xml><?xml version="1.0" encoding="utf-8"?>
<sst xmlns="http://schemas.openxmlformats.org/spreadsheetml/2006/main" count="377" uniqueCount="114">
  <si>
    <t>▼実施進捗（summary）</t>
  </si>
  <si>
    <t>No.</t>
  </si>
  <si>
    <t>項目</t>
  </si>
  <si>
    <t>状態</t>
  </si>
  <si>
    <t>総項目数</t>
  </si>
  <si>
    <t>対象件数</t>
  </si>
  <si>
    <t>着手率</t>
  </si>
  <si>
    <t>着手</t>
  </si>
  <si>
    <t>未着手</t>
  </si>
  <si>
    <t>完了率</t>
  </si>
  <si>
    <t>完了</t>
  </si>
  <si>
    <t>未完了</t>
  </si>
  <si>
    <t>OK</t>
  </si>
  <si>
    <t>NG→OK</t>
  </si>
  <si>
    <t>NG</t>
  </si>
  <si>
    <t>保留</t>
  </si>
  <si>
    <t>BK</t>
  </si>
  <si>
    <t>NT</t>
  </si>
  <si>
    <t>Ver更新履歴</t>
  </si>
  <si>
    <t>-</t>
  </si>
  <si>
    <t>サマリ</t>
  </si>
  <si>
    <t>1.0.1</t>
  </si>
  <si>
    <t>POTTS-308（返品照会）</t>
  </si>
  <si>
    <t>検証環境</t>
  </si>
  <si>
    <t>Windows10</t>
  </si>
  <si>
    <t>Android(TB)</t>
  </si>
  <si>
    <t>Android(SP)</t>
  </si>
  <si>
    <t>アプリ.Ver</t>
  </si>
  <si>
    <t>端末名</t>
  </si>
  <si>
    <t>PC</t>
  </si>
  <si>
    <t>OS.Ver</t>
  </si>
  <si>
    <t>対象外</t>
  </si>
  <si>
    <t>イベント</t>
  </si>
  <si>
    <t>画面項目</t>
  </si>
  <si>
    <t>対象</t>
  </si>
  <si>
    <t>細目1</t>
  </si>
  <si>
    <t>細目2</t>
  </si>
  <si>
    <t>細目3</t>
  </si>
  <si>
    <t>観点</t>
  </si>
  <si>
    <t>前提条件</t>
  </si>
  <si>
    <t>検証手順</t>
  </si>
  <si>
    <t>期待結果</t>
  </si>
  <si>
    <t>結果</t>
  </si>
  <si>
    <t>実施日</t>
  </si>
  <si>
    <t>担当者</t>
  </si>
  <si>
    <t>不具合No.</t>
  </si>
  <si>
    <t>備考</t>
  </si>
  <si>
    <t>初期化</t>
  </si>
  <si>
    <t>機能動作</t>
  </si>
  <si>
    <t>1.返品データが存在していないこと</t>
  </si>
  <si>
    <t>1.ログインする
2.「MENU」より「在庫」を押下する
3.「返品照会」を押下する</t>
  </si>
  <si>
    <t>返品データが検索され「返品照会」の「一覧」に値が表示されないこと</t>
  </si>
  <si>
    <t>DH佐藤</t>
  </si>
  <si>
    <t>1.返品データが存在していること</t>
  </si>
  <si>
    <t>返品データが検索され「返品照会」の「一覧」に値が表示されていること</t>
  </si>
  <si>
    <t>表示されている返品データが「登録日時」の降順で表示されていること</t>
  </si>
  <si>
    <t>絞り込み検索</t>
  </si>
  <si>
    <t>1.ログインする
2.「MENU」より「在庫」を押下する
3.「返品照会」を押下する
4.「絞り込み検索」を押下する</t>
  </si>
  <si>
    <t>絞り込み検索条件が展開されること</t>
  </si>
  <si>
    <t>検索項目に値が入力されていないこと</t>
  </si>
  <si>
    <t>1.絞り込み検索が展開されていること</t>
  </si>
  <si>
    <t>絞り込み検索条件が折り畳まれること</t>
  </si>
  <si>
    <t>返品区分</t>
  </si>
  <si>
    <r>
      <rPr>
        <rFont val="Meiryo"/>
        <color rgb="FFB7B7B7"/>
      </rPr>
      <t>1.ログインする
2.「MENU」より「在庫」を押下する
3.「返品照会」を押下する
4.「絞り込み検索」を押下する</t>
    </r>
    <r>
      <rPr>
        <rFont val="Meiryo"/>
        <color theme="1"/>
      </rPr>
      <t xml:space="preserve">
5.「返品区分」欄のプルダウンを押下する</t>
    </r>
  </si>
  <si>
    <t>「返品区分」欄のプルダウン押下時に以下の値が表示されること
・売上返品
・仕入返品</t>
  </si>
  <si>
    <t>商品コード</t>
  </si>
  <si>
    <r>
      <rPr>
        <rFont val="Meiryo"/>
        <color rgb="FFB7B7B7"/>
      </rPr>
      <t>1.ログインする
2.「MENU」より「在庫」を押下する
3.「返品照会」を押下する
4.「絞り込み検索」を押下する</t>
    </r>
    <r>
      <rPr>
        <rFont val="Meiryo"/>
        <color theme="1"/>
      </rPr>
      <t xml:space="preserve">
5.「商品コード」欄のテキストボックスに文字を入力する</t>
    </r>
  </si>
  <si>
    <t>「商品コード」欄のテキストボックスに文字が入力できること</t>
  </si>
  <si>
    <t>商品名</t>
  </si>
  <si>
    <r>
      <rPr>
        <rFont val="Meiryo"/>
        <color rgb="FFB7B7B7"/>
      </rPr>
      <t>1.ログインする
2.「MENU」より「在庫」を押下する
3.「返品照会」を押下する
4.「絞り込み検索」を押下する</t>
    </r>
    <r>
      <rPr>
        <rFont val="Meiryo"/>
        <color theme="1"/>
      </rPr>
      <t xml:space="preserve">
5.「商品名」欄のテキストボックスに文字を入力する</t>
    </r>
  </si>
  <si>
    <t>「商品名」欄のテキストボックスに文字が入力できること</t>
  </si>
  <si>
    <t>入荷予定番号/出荷指示番号</t>
  </si>
  <si>
    <r>
      <rPr>
        <rFont val="Meiryo"/>
        <color rgb="FFB7B7B7"/>
        <sz val="11.0"/>
      </rPr>
      <t>1.ログインする
2.「MENU」より「在庫」を押下する
3.「返品照会」を押下する
4.「絞り込み検索」を押下する</t>
    </r>
    <r>
      <rPr>
        <rFont val="Meiryo"/>
        <color theme="1"/>
        <sz val="11.0"/>
      </rPr>
      <t xml:space="preserve">
5.「入荷予定番号/出荷指示番号」欄のテキストボックスに文字を入力する</t>
    </r>
  </si>
  <si>
    <t>「入荷予定番号/出荷指示番号」欄のテキストボックスに文字が入力できること</t>
  </si>
  <si>
    <t>検索</t>
  </si>
  <si>
    <r>
      <rPr>
        <rFont val="Meiryo"/>
        <color rgb="FFB7B7B7"/>
      </rPr>
      <t>1.ログインする
2.「MENU」より「在庫」を押下する
3.「返品照会」を押下する</t>
    </r>
    <r>
      <rPr>
        <rFont val="Meiryo"/>
        <color theme="1"/>
      </rPr>
      <t xml:space="preserve">
4.全ての検索条件に前提条件に合致する任意の値を入力する
5.「検索」ボタンを押下する</t>
    </r>
  </si>
  <si>
    <t>検索した条件に合致する返品データが「一覧」に表示されること</t>
  </si>
  <si>
    <t>1.ログインする
2.「MENU」より「在庫」を押下する
3.「返品照会」を押下する
4.全ての検索条件に前提条件に合致する任意の値を入力する
5.「検索」ボタンを押下する</t>
  </si>
  <si>
    <t>検索した条件に合致する返品データが「登録日時」降順で表示されていること</t>
  </si>
  <si>
    <t>バリテーションチェック</t>
  </si>
  <si>
    <t>1.ログインする
2.「MENU」より「在庫」を押下する
3.「返品照会」を押下する
4.以下の文字を全ての検索条件に入力する。
・🐀🐄🐅🐰
5.「検索」ボタンを押下する</t>
  </si>
  <si>
    <t>ドロップダウンリストである「返品区分」以外に入力して確認しました
該当するデータが無いので、検索結果が0件である事を確認してOKとしています</t>
  </si>
  <si>
    <t>全選択</t>
  </si>
  <si>
    <t>1.ログインする
2.「MENU」より「在庫」を押下する
3.「返品照会」を押下する
4.「全選択」ボタンを押下する</t>
  </si>
  <si>
    <t>一覧に表示されている「受払照会」がすべて選択されること</t>
  </si>
  <si>
    <t>全解除</t>
  </si>
  <si>
    <r>
      <rPr>
        <rFont val="Meiryo"/>
        <color rgb="FFB7B7B7"/>
        <sz val="11.0"/>
      </rPr>
      <t>1.ログインする
2.「MENU」より「在庫」を押下する
3.「返品照会」を押下する
4.全選択か任意の行を選択する</t>
    </r>
    <r>
      <rPr>
        <rFont val="Meiryo"/>
        <color theme="1"/>
        <sz val="11.0"/>
      </rPr>
      <t xml:space="preserve">
5.「全解除」ボタンを押下する</t>
    </r>
  </si>
  <si>
    <t>一覧に表示されている「受払照会」がすべての選択が解除されること</t>
  </si>
  <si>
    <t>CSV</t>
  </si>
  <si>
    <r>
      <rPr>
        <rFont val="Meiryo"/>
        <color rgb="FFB7B7B7"/>
        <sz val="11.0"/>
      </rPr>
      <t>1.ログインする
2.「MENU」より「在庫」を押下する
3.「返品照会」を押下する
4.全選択か任意の行を選択する</t>
    </r>
    <r>
      <rPr>
        <rFont val="Meiryo"/>
        <color theme="1"/>
        <sz val="11.0"/>
      </rPr>
      <t xml:space="preserve">
5.「印刷」を押下する</t>
    </r>
  </si>
  <si>
    <t>現在選択されている選択データがCSVファイルで印刷されること</t>
  </si>
  <si>
    <t>削除</t>
  </si>
  <si>
    <t>table一覧行データ</t>
  </si>
  <si>
    <r>
      <rPr>
        <rFont val="Meiryo"/>
        <color rgb="FFB7B7B7"/>
        <sz val="11.0"/>
      </rPr>
      <t>1.ログインする
2.「MENU」より「在庫」を押下する
3.「返品照会」を押下する
4</t>
    </r>
    <r>
      <rPr>
        <rFont val="Meiryo"/>
        <color theme="1"/>
        <sz val="11.0"/>
      </rPr>
      <t>.一覧にある行のミートボールメニューを押下する
5.「削除」ボタンを押下する</t>
    </r>
  </si>
  <si>
    <t>「確認ダイアログ」が表示されること</t>
  </si>
  <si>
    <r>
      <rPr>
        <rFont val="Meiryo"/>
        <color rgb="FFB7B7B7"/>
        <sz val="11.0"/>
      </rPr>
      <t>1.ログインする
2.「MENU」より「在庫」を押下する
3.「返品照会」を押下する
4..一覧にある行のミートボールメニューを押下する
5.「削除」ボタンを押下する</t>
    </r>
    <r>
      <rPr>
        <rFont val="Meiryo"/>
        <color theme="1"/>
        <sz val="11.0"/>
      </rPr>
      <t xml:space="preserve">
6.「確認ダイアログ」の「キャンセル」を押下する</t>
    </r>
  </si>
  <si>
    <t>選択した行が削除されないこと</t>
  </si>
  <si>
    <r>
      <rPr>
        <rFont val="Meiryo"/>
        <color rgb="FFB7B7B7"/>
        <sz val="11.0"/>
      </rPr>
      <t>1.ログインする
2.「MENU」より「在庫」を押下する
3.「返品照会」を押下する
4.一覧にある行のミートボールメニューを押下する
5.「削除」ボタンを押下する</t>
    </r>
    <r>
      <rPr>
        <rFont val="Meiryo"/>
        <color theme="1"/>
        <sz val="11.0"/>
      </rPr>
      <t xml:space="preserve">
6.「確認ダイアログ」の「はい」を押下する</t>
    </r>
  </si>
  <si>
    <t>消去完了メッセージを表示されていること</t>
  </si>
  <si>
    <t>1.ログインする
2.「MENU」より「在庫」を押下する
3.「返品照会」を押下する
4.一覧にある行のミートボールメニューを押下する
5.「削除」ボタンを押下する
6.「確認ダイアログ」の「はい」を押下する</t>
  </si>
  <si>
    <t>一覧が再検索され、削除データは表示されていないこと</t>
  </si>
  <si>
    <t>更新日</t>
  </si>
  <si>
    <t>更新者</t>
  </si>
  <si>
    <t>対象シート</t>
  </si>
  <si>
    <t>項番</t>
  </si>
  <si>
    <t>列</t>
  </si>
  <si>
    <t>更新内容</t>
  </si>
  <si>
    <t>更新事由</t>
  </si>
  <si>
    <t>template</t>
  </si>
  <si>
    <t>結果集計</t>
  </si>
  <si>
    <t>大項目</t>
  </si>
  <si>
    <t>中項目</t>
  </si>
  <si>
    <t>小項目</t>
  </si>
  <si>
    <t>ブラウザ Ver.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</si>
</sst>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/mm/dd"/>
    <numFmt numFmtId="165" formatCode="m/d"/>
    <numFmt numFmtId="166" formatCode="yyyy/m/d"/>
  </numFmts>
  <fonts count="23">
    <font>
      <sz val="11.0"/>
      <color theme="1"/>
      <name val="Calibri"/>
      <scheme val="minor"/>
    </font>
    <font>
      <sz val="9.0"/>
      <color theme="1"/>
      <name val="Meiryo"/>
    </font>
    <font>
      <b/>
      <sz val="9.0"/>
      <color theme="1"/>
      <name val="Meiryo"/>
    </font>
    <font>
      <sz val="11.0"/>
      <color theme="1"/>
      <name val="Meiryo"/>
    </font>
    <font>
      <sz val="9.0"/>
      <color rgb="FFFFFFFF"/>
      <name val="Meiryo"/>
    </font>
    <font>
      <sz val="11.0"/>
      <color theme="1"/>
      <name val="Calibri"/>
    </font>
    <font/>
    <font>
      <b/>
      <sz val="12.0"/>
      <color rgb="FF000000"/>
      <name val="Meiryo"/>
    </font>
    <font>
      <sz val="10.0"/>
      <color theme="1"/>
      <name val="Meiryo"/>
    </font>
    <font>
      <color theme="1"/>
      <name val="Meiryo"/>
    </font>
    <font>
      <b/>
      <color theme="1"/>
      <name val="Meiryo"/>
    </font>
    <font>
      <sz val="12.0"/>
      <color theme="1"/>
      <name val="Meiryo"/>
    </font>
    <font>
      <sz val="10.0"/>
      <color theme="1"/>
      <name val="Calibri"/>
    </font>
    <font>
      <color theme="1"/>
      <name val="Calibri"/>
    </font>
    <font>
      <b/>
      <sz val="14.0"/>
      <color theme="1"/>
      <name val="Meiryo"/>
    </font>
    <font>
      <b/>
      <sz val="10.0"/>
      <color theme="1"/>
      <name val="Meiryo"/>
    </font>
    <font>
      <b/>
      <sz val="12.0"/>
      <color theme="1"/>
      <name val="Meiryo"/>
    </font>
    <font>
      <sz val="11.0"/>
      <color rgb="FFB7B7B7"/>
      <name val="Meiryo"/>
    </font>
    <font>
      <color rgb="FFB7B7B7"/>
      <name val="Meiryo"/>
    </font>
    <font>
      <sz val="11.0"/>
      <color rgb="FF000000"/>
      <name val="Meiryo"/>
    </font>
    <font>
      <sz val="10.0"/>
      <color rgb="FF000000"/>
      <name val="Meiryo"/>
    </font>
    <font>
      <b/>
      <sz val="11.0"/>
      <color theme="1"/>
      <name val="Meiryo"/>
    </font>
    <font>
      <color theme="1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FFE599"/>
        <bgColor rgb="FFFFE599"/>
      </patternFill>
    </fill>
    <fill>
      <patternFill patternType="solid">
        <fgColor rgb="FFE0FFFF"/>
        <bgColor rgb="FFE0FFFF"/>
      </patternFill>
    </fill>
    <fill>
      <patternFill patternType="solid">
        <fgColor rgb="FFF9CB9C"/>
        <bgColor rgb="FFF9CB9C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BFBFBF"/>
        <bgColor rgb="FFBFBFBF"/>
      </patternFill>
    </fill>
    <fill>
      <patternFill patternType="solid">
        <fgColor rgb="FFB7B7B7"/>
        <bgColor rgb="FFB7B7B7"/>
      </patternFill>
    </fill>
    <fill>
      <patternFill patternType="solid">
        <fgColor rgb="FF666666"/>
        <bgColor rgb="FF666666"/>
      </patternFill>
    </fill>
    <fill>
      <patternFill patternType="solid">
        <fgColor rgb="FFCCFFCC"/>
        <bgColor rgb="FFCCFFCC"/>
      </patternFill>
    </fill>
    <fill>
      <patternFill patternType="solid">
        <fgColor rgb="FFFABF8F"/>
        <bgColor rgb="FFFABF8F"/>
      </patternFill>
    </fill>
    <fill>
      <patternFill patternType="solid">
        <fgColor rgb="FFFFD6A4"/>
        <bgColor rgb="FFFFD6A4"/>
      </patternFill>
    </fill>
    <fill>
      <patternFill patternType="solid">
        <fgColor rgb="FFFFFDDA"/>
        <bgColor rgb="FFFFFDD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6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/>
    </border>
    <border>
      <left style="thin">
        <color rgb="FF000000"/>
      </left>
      <right style="medium">
        <color rgb="FF000000"/>
      </right>
      <top style="hair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77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1" fillId="2" fontId="4" numFmtId="0" xfId="0" applyAlignment="1" applyBorder="1" applyFill="1" applyFont="1">
      <alignment horizontal="center" vertical="center"/>
    </xf>
    <xf borderId="2" fillId="2" fontId="4" numFmtId="0" xfId="0" applyAlignment="1" applyBorder="1" applyFont="1">
      <alignment horizontal="center" vertical="center"/>
    </xf>
    <xf borderId="3" fillId="2" fontId="4" numFmtId="0" xfId="0" applyAlignment="1" applyBorder="1" applyFont="1">
      <alignment horizontal="center" vertical="center"/>
    </xf>
    <xf borderId="4" fillId="2" fontId="4" numFmtId="0" xfId="0" applyAlignment="1" applyBorder="1" applyFont="1">
      <alignment horizontal="center" vertical="center"/>
    </xf>
    <xf borderId="2" fillId="3" fontId="5" numFmtId="0" xfId="0" applyAlignment="1" applyBorder="1" applyFill="1" applyFont="1">
      <alignment vertical="center"/>
    </xf>
    <xf borderId="4" fillId="0" fontId="6" numFmtId="0" xfId="0" applyAlignment="1" applyBorder="1" applyFont="1">
      <alignment vertical="center"/>
    </xf>
    <xf borderId="1" fillId="4" fontId="2" numFmtId="0" xfId="0" applyAlignment="1" applyBorder="1" applyFill="1" applyFont="1">
      <alignment horizontal="center" vertical="center"/>
    </xf>
    <xf borderId="1" fillId="4" fontId="2" numFmtId="0" xfId="0" applyAlignment="1" applyBorder="1" applyFont="1">
      <alignment vertical="center"/>
    </xf>
    <xf borderId="2" fillId="4" fontId="2" numFmtId="10" xfId="0" applyAlignment="1" applyBorder="1" applyFont="1" applyNumberFormat="1">
      <alignment vertical="center"/>
    </xf>
    <xf borderId="3" fillId="4" fontId="2" numFmtId="0" xfId="0" applyAlignment="1" applyBorder="1" applyFont="1">
      <alignment vertical="center"/>
    </xf>
    <xf borderId="4" fillId="4" fontId="2" numFmtId="0" xfId="0" applyAlignment="1" applyBorder="1" applyFont="1">
      <alignment vertical="center"/>
    </xf>
    <xf borderId="1" fillId="0" fontId="5" numFmtId="0" xfId="0" applyAlignment="1" applyBorder="1" applyFont="1">
      <alignment readingOrder="0" vertical="center"/>
    </xf>
    <xf borderId="1" fillId="0" fontId="5" numFmtId="164" xfId="0" applyAlignment="1" applyBorder="1" applyFont="1" applyNumberFormat="1">
      <alignment readingOrder="0" vertical="center"/>
    </xf>
    <xf borderId="1" fillId="0" fontId="1" numFmtId="0" xfId="0" applyAlignment="1" applyBorder="1" applyFont="1">
      <alignment horizontal="center" vertical="center"/>
    </xf>
    <xf borderId="1" fillId="5" fontId="1" numFmtId="0" xfId="0" applyAlignment="1" applyBorder="1" applyFill="1" applyFont="1">
      <alignment vertical="center"/>
    </xf>
    <xf borderId="1" fillId="5" fontId="1" numFmtId="0" xfId="0" applyAlignment="1" applyBorder="1" applyFont="1">
      <alignment horizontal="center" vertical="center"/>
    </xf>
    <xf borderId="2" fillId="5" fontId="1" numFmtId="10" xfId="0" applyAlignment="1" applyBorder="1" applyFont="1" applyNumberFormat="1">
      <alignment vertical="center"/>
    </xf>
    <xf borderId="3" fillId="5" fontId="1" numFmtId="0" xfId="0" applyAlignment="1" applyBorder="1" applyFont="1">
      <alignment vertical="center"/>
    </xf>
    <xf borderId="4" fillId="5" fontId="1" numFmtId="0" xfId="0" applyAlignment="1" applyBorder="1" applyFont="1">
      <alignment vertical="center"/>
    </xf>
    <xf borderId="1" fillId="0" fontId="1" numFmtId="0" xfId="0" applyAlignment="1" applyBorder="1" applyFont="1">
      <alignment vertical="center"/>
    </xf>
    <xf borderId="2" fillId="0" fontId="1" numFmtId="10" xfId="0" applyAlignment="1" applyBorder="1" applyFont="1" applyNumberFormat="1">
      <alignment vertical="center"/>
    </xf>
    <xf borderId="3" fillId="0" fontId="1" numFmtId="0" xfId="0" applyAlignment="1" applyBorder="1" applyFont="1">
      <alignment vertical="center"/>
    </xf>
    <xf borderId="4" fillId="0" fontId="1" numFmtId="0" xfId="0" applyAlignment="1" applyBorder="1" applyFont="1">
      <alignment vertical="center"/>
    </xf>
    <xf borderId="1" fillId="0" fontId="5" numFmtId="0" xfId="0" applyAlignment="1" applyBorder="1" applyFont="1">
      <alignment vertical="center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165" xfId="0" applyAlignment="1" applyFont="1" applyNumberFormat="1">
      <alignment shrinkToFit="0" vertical="center" wrapText="1"/>
    </xf>
    <xf borderId="0" fillId="0" fontId="7" numFmtId="0" xfId="0" applyAlignment="1" applyFont="1">
      <alignment horizontal="left" shrinkToFit="0" vertical="center" wrapText="0"/>
    </xf>
    <xf borderId="0" fillId="0" fontId="8" numFmtId="0" xfId="0" applyAlignment="1" applyFont="1">
      <alignment shrinkToFit="0" vertical="center" wrapText="1"/>
    </xf>
    <xf borderId="5" fillId="6" fontId="9" numFmtId="165" xfId="0" applyAlignment="1" applyBorder="1" applyFill="1" applyFont="1" applyNumberFormat="1">
      <alignment horizontal="center" vertical="center"/>
    </xf>
    <xf borderId="6" fillId="0" fontId="9" numFmtId="0" xfId="0" applyAlignment="1" applyBorder="1" applyFont="1">
      <alignment horizontal="center" vertical="center"/>
    </xf>
    <xf borderId="5" fillId="7" fontId="10" numFmtId="0" xfId="0" applyAlignment="1" applyBorder="1" applyFill="1" applyFont="1">
      <alignment horizontal="center" vertical="center"/>
    </xf>
    <xf borderId="7" fillId="0" fontId="9" numFmtId="0" xfId="0" applyAlignment="1" applyBorder="1" applyFont="1">
      <alignment horizontal="right" vertical="center"/>
    </xf>
    <xf borderId="8" fillId="6" fontId="9" numFmtId="165" xfId="0" applyAlignment="1" applyBorder="1" applyFont="1" applyNumberFormat="1">
      <alignment horizontal="center" vertical="center"/>
    </xf>
    <xf borderId="9" fillId="0" fontId="9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0" fillId="0" fontId="11" numFmtId="0" xfId="0" applyAlignment="1" applyFont="1">
      <alignment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0" fontId="12" numFmtId="0" xfId="0" applyAlignment="1" applyFont="1">
      <alignment shrinkToFit="0" vertical="center" wrapText="1"/>
    </xf>
    <xf borderId="10" fillId="6" fontId="9" numFmtId="165" xfId="0" applyAlignment="1" applyBorder="1" applyFont="1" applyNumberFormat="1">
      <alignment horizontal="center" vertical="center"/>
    </xf>
    <xf borderId="11" fillId="0" fontId="5" numFmtId="0" xfId="0" applyAlignment="1" applyBorder="1" applyFont="1">
      <alignment readingOrder="0" vertical="center"/>
    </xf>
    <xf borderId="12" fillId="7" fontId="10" numFmtId="0" xfId="0" applyAlignment="1" applyBorder="1" applyFont="1">
      <alignment horizontal="center" vertical="center"/>
    </xf>
    <xf borderId="13" fillId="0" fontId="9" numFmtId="0" xfId="0" applyAlignment="1" applyBorder="1" applyFont="1">
      <alignment horizontal="right" vertical="center"/>
    </xf>
    <xf borderId="14" fillId="6" fontId="9" numFmtId="165" xfId="0" applyAlignment="1" applyBorder="1" applyFont="1" applyNumberFormat="1">
      <alignment horizontal="center" vertical="center"/>
    </xf>
    <xf borderId="15" fillId="0" fontId="5" numFmtId="0" xfId="0" applyAlignment="1" applyBorder="1" applyFont="1">
      <alignment vertical="center"/>
    </xf>
    <xf borderId="0" fillId="0" fontId="8" numFmtId="0" xfId="0" applyAlignment="1" applyFont="1">
      <alignment horizontal="center" shrinkToFit="0" vertical="center" wrapText="1"/>
    </xf>
    <xf borderId="0" fillId="0" fontId="13" numFmtId="0" xfId="0" applyAlignment="1" applyFont="1">
      <alignment shrinkToFit="0" vertical="center" wrapText="1"/>
    </xf>
    <xf borderId="11" fillId="0" fontId="9" numFmtId="0" xfId="0" applyAlignment="1" applyBorder="1" applyFont="1">
      <alignment horizontal="center" readingOrder="0" vertical="center"/>
    </xf>
    <xf borderId="12" fillId="8" fontId="10" numFmtId="0" xfId="0" applyAlignment="1" applyBorder="1" applyFill="1" applyFont="1">
      <alignment horizontal="center" vertical="center"/>
    </xf>
    <xf borderId="15" fillId="0" fontId="9" numFmtId="0" xfId="0" applyAlignment="1" applyBorder="1" applyFont="1">
      <alignment horizontal="center" vertical="center"/>
    </xf>
    <xf borderId="12" fillId="9" fontId="10" numFmtId="0" xfId="0" applyAlignment="1" applyBorder="1" applyFill="1" applyFont="1">
      <alignment horizontal="center" vertical="center"/>
    </xf>
    <xf borderId="16" fillId="6" fontId="9" numFmtId="165" xfId="0" applyAlignment="1" applyBorder="1" applyFont="1" applyNumberFormat="1">
      <alignment horizontal="center" vertical="center"/>
    </xf>
    <xf borderId="17" fillId="0" fontId="5" numFmtId="0" xfId="0" applyAlignment="1" applyBorder="1" applyFont="1">
      <alignment vertical="center"/>
    </xf>
    <xf borderId="12" fillId="10" fontId="10" numFmtId="0" xfId="0" applyAlignment="1" applyBorder="1" applyFill="1" applyFont="1">
      <alignment horizontal="center" vertical="center"/>
    </xf>
    <xf borderId="18" fillId="6" fontId="9" numFmtId="165" xfId="0" applyAlignment="1" applyBorder="1" applyFont="1" applyNumberFormat="1">
      <alignment horizontal="center" vertical="center"/>
    </xf>
    <xf borderId="19" fillId="0" fontId="5" numFmtId="0" xfId="0" applyAlignment="1" applyBorder="1" applyFont="1">
      <alignment vertical="center"/>
    </xf>
    <xf borderId="12" fillId="11" fontId="10" numFmtId="0" xfId="0" applyAlignment="1" applyBorder="1" applyFill="1" applyFont="1">
      <alignment horizontal="center" vertical="center"/>
    </xf>
    <xf borderId="20" fillId="0" fontId="5" numFmtId="0" xfId="0" applyAlignment="1" applyBorder="1" applyFont="1">
      <alignment vertical="center"/>
    </xf>
    <xf borderId="21" fillId="12" fontId="10" numFmtId="0" xfId="0" applyAlignment="1" applyBorder="1" applyFill="1" applyFont="1">
      <alignment horizontal="center" vertical="center"/>
    </xf>
    <xf borderId="22" fillId="0" fontId="9" numFmtId="0" xfId="0" applyAlignment="1" applyBorder="1" applyFont="1">
      <alignment horizontal="right" vertical="center"/>
    </xf>
    <xf borderId="0" fillId="0" fontId="14" numFmtId="0" xfId="0" applyAlignment="1" applyFont="1">
      <alignment horizontal="center" shrinkToFit="0" vertical="center" wrapText="1"/>
    </xf>
    <xf borderId="23" fillId="13" fontId="15" numFmtId="0" xfId="0" applyAlignment="1" applyBorder="1" applyFill="1" applyFont="1">
      <alignment horizontal="center" shrinkToFit="0" vertical="center" wrapText="1"/>
    </xf>
    <xf borderId="24" fillId="13" fontId="16" numFmtId="0" xfId="0" applyAlignment="1" applyBorder="1" applyFont="1">
      <alignment horizontal="center" shrinkToFit="0" vertical="center" wrapText="1"/>
    </xf>
    <xf borderId="8" fillId="13" fontId="16" numFmtId="0" xfId="0" applyAlignment="1" applyBorder="1" applyFont="1">
      <alignment horizontal="center" shrinkToFit="0" vertical="center" wrapText="1"/>
    </xf>
    <xf borderId="25" fillId="13" fontId="16" numFmtId="0" xfId="0" applyAlignment="1" applyBorder="1" applyFont="1">
      <alignment horizontal="center" shrinkToFit="0" vertical="center" wrapText="1"/>
    </xf>
    <xf borderId="26" fillId="13" fontId="16" numFmtId="0" xfId="0" applyAlignment="1" applyBorder="1" applyFont="1">
      <alignment horizontal="center" shrinkToFit="0" vertical="center" wrapText="1"/>
    </xf>
    <xf borderId="10" fillId="14" fontId="10" numFmtId="0" xfId="0" applyAlignment="1" applyBorder="1" applyFill="1" applyFont="1">
      <alignment horizontal="center" shrinkToFit="0" vertical="center" wrapText="1"/>
    </xf>
    <xf borderId="14" fillId="14" fontId="10" numFmtId="165" xfId="0" applyAlignment="1" applyBorder="1" applyFont="1" applyNumberFormat="1">
      <alignment horizontal="center" shrinkToFit="0" vertical="center" wrapText="1"/>
    </xf>
    <xf borderId="14" fillId="14" fontId="10" numFmtId="0" xfId="0" applyAlignment="1" applyBorder="1" applyFont="1">
      <alignment horizontal="center" shrinkToFit="0" vertical="center" wrapText="1"/>
    </xf>
    <xf borderId="15" fillId="14" fontId="10" numFmtId="0" xfId="0" applyAlignment="1" applyBorder="1" applyFont="1">
      <alignment horizontal="center" shrinkToFit="0" vertical="center" wrapText="1"/>
    </xf>
    <xf borderId="27" fillId="0" fontId="9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shrinkToFit="0" vertical="top" wrapText="1"/>
    </xf>
    <xf borderId="4" fillId="0" fontId="3" numFmtId="0" xfId="0" applyAlignment="1" applyBorder="1" applyFont="1">
      <alignment shrinkToFit="0" vertical="top" wrapText="1"/>
    </xf>
    <xf borderId="4" fillId="0" fontId="17" numFmtId="0" xfId="0" applyAlignment="1" applyBorder="1" applyFont="1">
      <alignment shrinkToFit="0" vertical="top" wrapText="1"/>
    </xf>
    <xf borderId="4" fillId="0" fontId="9" numFmtId="0" xfId="0" applyAlignment="1" applyBorder="1" applyFont="1">
      <alignment shrinkToFit="0" vertical="top" wrapText="1"/>
    </xf>
    <xf borderId="28" fillId="0" fontId="9" numFmtId="0" xfId="0" applyAlignment="1" applyBorder="1" applyFont="1">
      <alignment horizontal="center" readingOrder="0" vertical="center"/>
    </xf>
    <xf borderId="14" fillId="0" fontId="5" numFmtId="166" xfId="0" applyAlignment="1" applyBorder="1" applyFont="1" applyNumberFormat="1">
      <alignment readingOrder="0" vertical="center"/>
    </xf>
    <xf borderId="14" fillId="0" fontId="5" numFmtId="49" xfId="0" applyAlignment="1" applyBorder="1" applyFont="1" applyNumberFormat="1">
      <alignment readingOrder="0" vertical="center"/>
    </xf>
    <xf borderId="14" fillId="0" fontId="5" numFmtId="0" xfId="0" applyAlignment="1" applyBorder="1" applyFont="1">
      <alignment vertical="center"/>
    </xf>
    <xf borderId="28" fillId="0" fontId="9" numFmtId="0" xfId="0" applyAlignment="1" applyBorder="1" applyFont="1">
      <alignment horizontal="center" vertical="center"/>
    </xf>
    <xf borderId="14" fillId="0" fontId="5" numFmtId="166" xfId="0" applyAlignment="1" applyBorder="1" applyFont="1" applyNumberFormat="1">
      <alignment vertical="center"/>
    </xf>
    <xf borderId="14" fillId="0" fontId="5" numFmtId="49" xfId="0" applyAlignment="1" applyBorder="1" applyFont="1" applyNumberFormat="1">
      <alignment vertical="center"/>
    </xf>
    <xf borderId="15" fillId="0" fontId="5" numFmtId="0" xfId="0" applyAlignment="1" applyBorder="1" applyFont="1">
      <alignment shrinkToFit="0" vertical="center" wrapText="1"/>
    </xf>
    <xf borderId="1" fillId="0" fontId="17" numFmtId="0" xfId="0" applyAlignment="1" applyBorder="1" applyFont="1">
      <alignment shrinkToFit="0" vertical="top" wrapText="1"/>
    </xf>
    <xf borderId="4" fillId="0" fontId="18" numFmtId="0" xfId="0" applyAlignment="1" applyBorder="1" applyFont="1">
      <alignment shrinkToFit="0" vertical="top" wrapText="1"/>
    </xf>
    <xf borderId="27" fillId="0" fontId="3" numFmtId="0" xfId="0" applyAlignment="1" applyBorder="1" applyFont="1">
      <alignment horizontal="center" shrinkToFit="0" vertical="center" wrapText="1"/>
    </xf>
    <xf borderId="14" fillId="0" fontId="3" numFmtId="0" xfId="0" applyAlignment="1" applyBorder="1" applyFont="1">
      <alignment shrinkToFit="0" vertical="top" wrapText="1"/>
    </xf>
    <xf borderId="27" fillId="0" fontId="8" numFmtId="0" xfId="0" applyAlignment="1" applyBorder="1" applyFont="1">
      <alignment horizontal="center" shrinkToFit="0" vertical="center" wrapText="1"/>
    </xf>
    <xf borderId="14" fillId="0" fontId="17" numFmtId="0" xfId="0" applyAlignment="1" applyBorder="1" applyFont="1">
      <alignment shrinkToFit="0" vertical="top" wrapText="1"/>
    </xf>
    <xf borderId="14" fillId="0" fontId="9" numFmtId="0" xfId="0" applyAlignment="1" applyBorder="1" applyFont="1">
      <alignment shrinkToFit="0" vertical="top" wrapText="1"/>
    </xf>
    <xf borderId="14" fillId="0" fontId="9" numFmtId="0" xfId="0" applyAlignment="1" applyBorder="1" applyFont="1">
      <alignment horizontal="center" vertical="center"/>
    </xf>
    <xf borderId="4" fillId="0" fontId="9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horizontal="center" readingOrder="0" vertical="center"/>
    </xf>
    <xf borderId="4" fillId="0" fontId="5" numFmtId="166" xfId="0" applyAlignment="1" applyBorder="1" applyFont="1" applyNumberFormat="1">
      <alignment readingOrder="0" vertical="center"/>
    </xf>
    <xf borderId="4" fillId="0" fontId="5" numFmtId="49" xfId="0" applyAlignment="1" applyBorder="1" applyFont="1" applyNumberFormat="1">
      <alignment readingOrder="0" vertical="center"/>
    </xf>
    <xf borderId="4" fillId="0" fontId="5" numFmtId="0" xfId="0" applyAlignment="1" applyBorder="1" applyFont="1">
      <alignment vertical="center"/>
    </xf>
    <xf borderId="4" fillId="0" fontId="5" numFmtId="166" xfId="0" applyAlignment="1" applyBorder="1" applyFont="1" applyNumberFormat="1">
      <alignment vertical="center"/>
    </xf>
    <xf borderId="4" fillId="0" fontId="5" numFmtId="49" xfId="0" applyAlignment="1" applyBorder="1" applyFont="1" applyNumberFormat="1">
      <alignment vertical="center"/>
    </xf>
    <xf borderId="29" fillId="0" fontId="5" numFmtId="0" xfId="0" applyAlignment="1" applyBorder="1" applyFont="1">
      <alignment shrinkToFit="0" vertical="center" wrapText="1"/>
    </xf>
    <xf borderId="1" fillId="0" fontId="9" numFmtId="0" xfId="0" applyAlignment="1" applyBorder="1" applyFont="1">
      <alignment shrinkToFit="0" vertical="top" wrapText="1"/>
    </xf>
    <xf borderId="1" fillId="0" fontId="18" numFmtId="0" xfId="0" applyAlignment="1" applyBorder="1" applyFont="1">
      <alignment shrinkToFit="0" vertical="top" wrapText="1"/>
    </xf>
    <xf borderId="15" fillId="0" fontId="5" numFmtId="0" xfId="0" applyAlignment="1" applyBorder="1" applyFont="1">
      <alignment readingOrder="0" shrinkToFit="0" vertical="center" wrapText="1"/>
    </xf>
    <xf borderId="18" fillId="0" fontId="5" numFmtId="49" xfId="0" applyAlignment="1" applyBorder="1" applyFont="1" applyNumberFormat="1">
      <alignment vertical="center"/>
    </xf>
    <xf borderId="18" fillId="0" fontId="5" numFmtId="0" xfId="0" applyAlignment="1" applyBorder="1" applyFont="1">
      <alignment vertical="center"/>
    </xf>
    <xf borderId="18" fillId="0" fontId="9" numFmtId="0" xfId="0" applyAlignment="1" applyBorder="1" applyFont="1">
      <alignment horizontal="center" vertical="center"/>
    </xf>
    <xf borderId="18" fillId="0" fontId="5" numFmtId="166" xfId="0" applyAlignment="1" applyBorder="1" applyFont="1" applyNumberFormat="1">
      <alignment vertical="center"/>
    </xf>
    <xf borderId="19" fillId="0" fontId="5" numFmtId="0" xfId="0" applyAlignment="1" applyBorder="1" applyFont="1">
      <alignment shrinkToFit="0" vertical="center" wrapText="1"/>
    </xf>
    <xf borderId="30" fillId="0" fontId="3" numFmtId="0" xfId="0" applyAlignment="1" applyBorder="1" applyFont="1">
      <alignment horizontal="center" shrinkToFit="0" vertical="center" wrapText="1"/>
    </xf>
    <xf borderId="30" fillId="0" fontId="19" numFmtId="0" xfId="0" applyAlignment="1" applyBorder="1" applyFont="1">
      <alignment shrinkToFit="0" vertical="center" wrapText="1"/>
    </xf>
    <xf borderId="30" fillId="0" fontId="19" numFmtId="0" xfId="0" applyAlignment="1" applyBorder="1" applyFont="1">
      <alignment horizontal="center" shrinkToFit="0" vertical="top" wrapText="1"/>
    </xf>
    <xf borderId="30" fillId="0" fontId="20" numFmtId="165" xfId="0" applyAlignment="1" applyBorder="1" applyFont="1" applyNumberFormat="1">
      <alignment shrinkToFit="0" vertical="center" wrapText="1"/>
    </xf>
    <xf borderId="30" fillId="0" fontId="20" numFmtId="0" xfId="0" applyAlignment="1" applyBorder="1" applyFont="1">
      <alignment shrinkToFit="0" vertical="center" wrapText="1"/>
    </xf>
    <xf borderId="0" fillId="0" fontId="19" numFmtId="0" xfId="0" applyAlignment="1" applyFont="1">
      <alignment shrinkToFit="0" vertical="center" wrapText="1"/>
    </xf>
    <xf borderId="1" fillId="4" fontId="21" numFmtId="0" xfId="0" applyAlignment="1" applyBorder="1" applyFont="1">
      <alignment horizontal="center" shrinkToFit="0" vertical="bottom" wrapText="1"/>
    </xf>
    <xf borderId="4" fillId="4" fontId="21" numFmtId="0" xfId="0" applyAlignment="1" applyBorder="1" applyFont="1">
      <alignment horizontal="center" shrinkToFit="0" vertical="bottom" wrapText="1"/>
    </xf>
    <xf borderId="28" fillId="0" fontId="22" numFmtId="0" xfId="0" applyAlignment="1" applyBorder="1" applyFont="1">
      <alignment vertical="bottom"/>
    </xf>
    <xf borderId="14" fillId="0" fontId="22" numFmtId="166" xfId="0" applyAlignment="1" applyBorder="1" applyFont="1" applyNumberFormat="1">
      <alignment vertical="bottom"/>
    </xf>
    <xf borderId="14" fillId="0" fontId="22" numFmtId="0" xfId="0" applyAlignment="1" applyBorder="1" applyFont="1">
      <alignment vertical="bottom"/>
    </xf>
    <xf borderId="31" fillId="15" fontId="16" numFmtId="0" xfId="0" applyAlignment="1" applyBorder="1" applyFill="1" applyFont="1">
      <alignment horizontal="center" shrinkToFit="0" vertical="center" wrapText="1"/>
    </xf>
    <xf borderId="32" fillId="0" fontId="6" numFmtId="0" xfId="0" applyAlignment="1" applyBorder="1" applyFont="1">
      <alignment vertical="center"/>
    </xf>
    <xf borderId="33" fillId="0" fontId="6" numFmtId="0" xfId="0" applyAlignment="1" applyBorder="1" applyFont="1">
      <alignment vertical="center"/>
    </xf>
    <xf borderId="34" fillId="16" fontId="8" numFmtId="0" xfId="0" applyAlignment="1" applyBorder="1" applyFill="1" applyFont="1">
      <alignment horizontal="center" shrinkToFit="0" vertical="center" wrapText="1"/>
    </xf>
    <xf borderId="35" fillId="0" fontId="8" numFmtId="0" xfId="0" applyAlignment="1" applyBorder="1" applyFont="1">
      <alignment shrinkToFit="0" vertical="center" wrapText="1"/>
    </xf>
    <xf borderId="36" fillId="16" fontId="20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shrinkToFit="0" vertical="center" wrapText="1"/>
    </xf>
    <xf borderId="23" fillId="4" fontId="8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horizontal="center" shrinkToFit="0" vertical="center" wrapText="1"/>
    </xf>
    <xf borderId="37" fillId="16" fontId="8" numFmtId="0" xfId="0" applyAlignment="1" applyBorder="1" applyFont="1">
      <alignment horizontal="center" shrinkToFit="0" vertical="center" wrapText="1"/>
    </xf>
    <xf borderId="38" fillId="0" fontId="8" numFmtId="10" xfId="0" applyAlignment="1" applyBorder="1" applyFont="1" applyNumberFormat="1">
      <alignment shrinkToFit="0" vertical="center" wrapText="1"/>
    </xf>
    <xf borderId="39" fillId="16" fontId="20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shrinkToFit="0" vertical="center" wrapText="1"/>
    </xf>
    <xf borderId="40" fillId="4" fontId="8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horizontal="center" shrinkToFit="0" vertical="center" wrapText="1"/>
    </xf>
    <xf borderId="41" fillId="16" fontId="8" numFmtId="0" xfId="0" applyAlignment="1" applyBorder="1" applyFont="1">
      <alignment horizontal="center" shrinkToFit="0" vertical="center" wrapText="1"/>
    </xf>
    <xf borderId="42" fillId="0" fontId="8" numFmtId="10" xfId="0" applyAlignment="1" applyBorder="1" applyFont="1" applyNumberFormat="1">
      <alignment shrinkToFit="0" vertical="center" wrapText="1"/>
    </xf>
    <xf borderId="43" fillId="16" fontId="8" numFmtId="0" xfId="0" applyAlignment="1" applyBorder="1" applyFont="1">
      <alignment horizontal="center" shrinkToFit="0" vertical="center" wrapText="1"/>
    </xf>
    <xf borderId="44" fillId="0" fontId="8" numFmtId="0" xfId="0" applyAlignment="1" applyBorder="1" applyFont="1">
      <alignment shrinkToFit="0" vertical="center" wrapText="1"/>
    </xf>
    <xf borderId="45" fillId="4" fontId="8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horizontal="center" shrinkToFit="0" vertical="center" wrapText="1"/>
    </xf>
    <xf borderId="16" fillId="16" fontId="8" numFmtId="0" xfId="0" applyAlignment="1" applyBorder="1" applyFont="1">
      <alignment horizontal="center" shrinkToFit="0" vertical="center" wrapText="1"/>
    </xf>
    <xf borderId="46" fillId="0" fontId="20" numFmtId="0" xfId="0" applyAlignment="1" applyBorder="1" applyFont="1">
      <alignment shrinkToFit="0" vertical="center" wrapText="1"/>
    </xf>
    <xf borderId="47" fillId="16" fontId="20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shrinkToFit="0" vertical="center" wrapText="1"/>
    </xf>
    <xf borderId="48" fillId="13" fontId="16" numFmtId="0" xfId="0" applyAlignment="1" applyBorder="1" applyFont="1">
      <alignment horizontal="center" shrinkToFit="0" vertical="center" wrapText="1"/>
    </xf>
    <xf borderId="49" fillId="13" fontId="16" numFmtId="0" xfId="0" applyAlignment="1" applyBorder="1" applyFont="1">
      <alignment horizontal="center" shrinkToFit="0" vertical="center" wrapText="1"/>
    </xf>
    <xf borderId="50" fillId="13" fontId="16" numFmtId="0" xfId="0" applyAlignment="1" applyBorder="1" applyFont="1">
      <alignment horizontal="center" shrinkToFit="0" vertical="center" wrapText="1"/>
    </xf>
    <xf borderId="23" fillId="15" fontId="16" numFmtId="0" xfId="0" applyAlignment="1" applyBorder="1" applyFont="1">
      <alignment horizontal="center" shrinkToFit="0" vertical="center" wrapText="1"/>
    </xf>
    <xf borderId="25" fillId="15" fontId="16" numFmtId="165" xfId="0" applyAlignment="1" applyBorder="1" applyFont="1" applyNumberFormat="1">
      <alignment horizontal="center" shrinkToFit="0" vertical="center" wrapText="1"/>
    </xf>
    <xf borderId="25" fillId="15" fontId="16" numFmtId="0" xfId="0" applyAlignment="1" applyBorder="1" applyFont="1">
      <alignment horizontal="center" shrinkToFit="0" vertical="center" wrapText="1"/>
    </xf>
    <xf borderId="26" fillId="15" fontId="16" numFmtId="0" xfId="0" applyAlignment="1" applyBorder="1" applyFont="1">
      <alignment horizontal="center" shrinkToFit="0" vertical="center" wrapText="1"/>
    </xf>
    <xf borderId="7" fillId="15" fontId="16" numFmtId="0" xfId="0" applyAlignment="1" applyBorder="1" applyFont="1">
      <alignment horizontal="center" shrinkToFit="0" vertical="center" wrapText="1"/>
    </xf>
    <xf borderId="51" fillId="0" fontId="20" numFmtId="0" xfId="0" applyAlignment="1" applyBorder="1" applyFont="1">
      <alignment horizontal="left" shrinkToFit="0" vertical="top" wrapText="1"/>
    </xf>
    <xf borderId="4" fillId="0" fontId="20" numFmtId="0" xfId="0" applyAlignment="1" applyBorder="1" applyFont="1">
      <alignment horizontal="left" shrinkToFit="0" vertical="top" wrapText="1"/>
    </xf>
    <xf borderId="1" fillId="0" fontId="20" numFmtId="0" xfId="0" applyAlignment="1" applyBorder="1" applyFont="1">
      <alignment horizontal="left" shrinkToFit="0" vertical="top" wrapText="1"/>
    </xf>
    <xf borderId="12" fillId="17" fontId="20" numFmtId="0" xfId="0" applyAlignment="1" applyBorder="1" applyFill="1" applyFont="1">
      <alignment horizontal="center" shrinkToFit="0" vertical="center" wrapText="1"/>
    </xf>
    <xf borderId="52" fillId="17" fontId="20" numFmtId="166" xfId="0" applyAlignment="1" applyBorder="1" applyFont="1" applyNumberFormat="1">
      <alignment horizontal="center" shrinkToFit="0" vertical="center" wrapText="1"/>
    </xf>
    <xf borderId="52" fillId="17" fontId="20" numFmtId="49" xfId="0" applyAlignment="1" applyBorder="1" applyFont="1" applyNumberFormat="1">
      <alignment horizontal="center" shrinkToFit="0" vertical="center" wrapText="1"/>
    </xf>
    <xf borderId="1" fillId="17" fontId="20" numFmtId="0" xfId="0" applyAlignment="1" applyBorder="1" applyFont="1">
      <alignment horizontal="center" shrinkToFit="0" vertical="center" wrapText="1"/>
    </xf>
    <xf borderId="2" fillId="17" fontId="20" numFmtId="0" xfId="0" applyAlignment="1" applyBorder="1" applyFont="1">
      <alignment shrinkToFit="0" vertical="center" wrapText="1"/>
    </xf>
    <xf borderId="13" fillId="17" fontId="20" numFmtId="0" xfId="0" applyAlignment="1" applyBorder="1" applyFont="1">
      <alignment shrinkToFit="0" vertical="center" wrapText="1"/>
    </xf>
    <xf borderId="53" fillId="0" fontId="20" numFmtId="0" xfId="0" applyAlignment="1" applyBorder="1" applyFont="1">
      <alignment horizontal="left" shrinkToFit="0" vertical="top" wrapText="1"/>
    </xf>
    <xf borderId="54" fillId="0" fontId="20" numFmtId="0" xfId="0" applyAlignment="1" applyBorder="1" applyFont="1">
      <alignment horizontal="left" shrinkToFit="0" vertical="top" wrapText="1"/>
    </xf>
    <xf borderId="4" fillId="18" fontId="20" numFmtId="0" xfId="0" applyAlignment="1" applyBorder="1" applyFill="1" applyFont="1">
      <alignment horizontal="left" shrinkToFit="0" vertical="top" wrapText="1"/>
    </xf>
    <xf borderId="55" fillId="0" fontId="8" numFmtId="0" xfId="0" applyAlignment="1" applyBorder="1" applyFont="1">
      <alignment horizontal="center" shrinkToFit="0" vertical="center" wrapText="1"/>
    </xf>
    <xf borderId="56" fillId="0" fontId="20" numFmtId="0" xfId="0" applyAlignment="1" applyBorder="1" applyFont="1">
      <alignment horizontal="left" shrinkToFit="0" vertical="top" wrapText="1"/>
    </xf>
    <xf borderId="57" fillId="0" fontId="20" numFmtId="0" xfId="0" applyAlignment="1" applyBorder="1" applyFont="1">
      <alignment horizontal="left" shrinkToFit="0" vertical="top" wrapText="1"/>
    </xf>
    <xf borderId="37" fillId="17" fontId="20" numFmtId="0" xfId="0" applyAlignment="1" applyBorder="1" applyFont="1">
      <alignment horizontal="center" shrinkToFit="0" vertical="center" wrapText="1"/>
    </xf>
    <xf borderId="58" fillId="17" fontId="20" numFmtId="166" xfId="0" applyAlignment="1" applyBorder="1" applyFont="1" applyNumberFormat="1">
      <alignment horizontal="center" shrinkToFit="0" vertical="center" wrapText="1"/>
    </xf>
    <xf borderId="58" fillId="17" fontId="20" numFmtId="49" xfId="0" applyAlignment="1" applyBorder="1" applyFont="1" applyNumberFormat="1">
      <alignment horizontal="center" shrinkToFit="0" vertical="center" wrapText="1"/>
    </xf>
    <xf borderId="57" fillId="17" fontId="20" numFmtId="0" xfId="0" applyAlignment="1" applyBorder="1" applyFont="1">
      <alignment horizontal="center" shrinkToFit="0" vertical="center" wrapText="1"/>
    </xf>
    <xf borderId="59" fillId="17" fontId="20" numFmtId="0" xfId="0" applyAlignment="1" applyBorder="1" applyFont="1">
      <alignment shrinkToFit="0" vertical="center" wrapText="1"/>
    </xf>
    <xf borderId="22" fillId="17" fontId="20" numFmtId="0" xfId="0" applyAlignment="1" applyBorder="1" applyFont="1">
      <alignment shrinkToFit="0" vertical="center" wrapText="1"/>
    </xf>
  </cellXfs>
  <cellStyles count="1">
    <cellStyle xfId="0" name="Normal" builtinId="0"/>
  </cellStyles>
  <dxfs count="7">
    <dxf>
      <font/>
      <fill>
        <patternFill patternType="solid">
          <fgColor rgb="FFFFFDDA"/>
          <bgColor rgb="FFFFFDDA"/>
        </patternFill>
      </fill>
      <border/>
    </dxf>
    <dxf>
      <font/>
      <fill>
        <patternFill patternType="solid">
          <fgColor rgb="FFFFEDF1"/>
          <bgColor rgb="FFFFEDF1"/>
        </patternFill>
      </fill>
      <border/>
    </dxf>
    <dxf>
      <font/>
      <fill>
        <patternFill patternType="solid">
          <fgColor rgb="FFE0FFFF"/>
          <bgColor rgb="FFE0FFFF"/>
        </patternFill>
      </fill>
      <border/>
    </dxf>
    <dxf>
      <font/>
      <fill>
        <patternFill patternType="solid">
          <fgColor rgb="FFFFD1DB"/>
          <bgColor rgb="FFFFD1DB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F7F4B2"/>
          <bgColor rgb="FFF7F4B2"/>
        </patternFill>
      </fill>
      <border/>
    </dxf>
    <dxf>
      <font>
        <color rgb="FFB7B7B7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 outlineLevelRow="1"/>
  <cols>
    <col customWidth="1" min="1" max="1" width="2.29"/>
    <col customWidth="1" min="2" max="2" width="4.14"/>
    <col customWidth="1" min="3" max="3" width="27.14"/>
    <col customWidth="1" min="4" max="4" width="9.57"/>
    <col customWidth="1" min="5" max="6" width="8.71"/>
    <col customWidth="1" min="7" max="7" width="9.43"/>
    <col customWidth="1" hidden="1" min="8" max="9" width="10.29"/>
    <col customWidth="1" min="10" max="10" width="10.29"/>
    <col customWidth="1" hidden="1" min="11" max="12" width="10.29"/>
    <col customWidth="1" min="13" max="18" width="10.29"/>
    <col customWidth="1" min="19" max="22" width="12.29"/>
    <col customWidth="1" min="23" max="25" width="6.71"/>
  </cols>
  <sheetData>
    <row r="1" ht="9.0" customHeight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3" t="s">
        <v>0</v>
      </c>
      <c r="C2" s="1"/>
      <c r="D2" s="2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4"/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6" t="s">
        <v>6</v>
      </c>
      <c r="H3" s="7" t="s">
        <v>7</v>
      </c>
      <c r="I3" s="8" t="s">
        <v>8</v>
      </c>
      <c r="J3" s="6" t="s">
        <v>9</v>
      </c>
      <c r="K3" s="7" t="s">
        <v>10</v>
      </c>
      <c r="L3" s="8" t="s">
        <v>11</v>
      </c>
      <c r="M3" s="5" t="s">
        <v>12</v>
      </c>
      <c r="N3" s="5" t="s">
        <v>13</v>
      </c>
      <c r="O3" s="5" t="s">
        <v>14</v>
      </c>
      <c r="P3" s="5" t="s">
        <v>15</v>
      </c>
      <c r="Q3" s="5" t="s">
        <v>16</v>
      </c>
      <c r="R3" s="5" t="s">
        <v>17</v>
      </c>
      <c r="T3" s="9" t="s">
        <v>18</v>
      </c>
      <c r="U3" s="10"/>
      <c r="V3" s="4"/>
      <c r="W3" s="4"/>
      <c r="X3" s="4"/>
      <c r="Y3" s="4"/>
    </row>
    <row r="4" ht="18.75" customHeight="1">
      <c r="A4" s="1"/>
      <c r="B4" s="11" t="s">
        <v>19</v>
      </c>
      <c r="C4" s="12" t="s">
        <v>20</v>
      </c>
      <c r="D4" s="11" t="str">
        <f t="shared" ref="D4:D8" si="4">IF(J4=100%,"完了",IF(AND(J4&lt;&gt;100%,G4=100%),"中断中",IF(G4=0,"未着手","実施中")))</f>
        <v>実施中</v>
      </c>
      <c r="E4" s="12">
        <f t="shared" ref="E4:F4" si="1">SUM(E5)</f>
        <v>60</v>
      </c>
      <c r="F4" s="12">
        <f t="shared" si="1"/>
        <v>40</v>
      </c>
      <c r="G4" s="13">
        <f>IFERROR(SUM(M4:Q4)/F4,"")</f>
        <v>0.5</v>
      </c>
      <c r="H4" s="14">
        <f t="shared" ref="H4:H8" si="6">SUM(M4:Q4)</f>
        <v>20</v>
      </c>
      <c r="I4" s="15">
        <f t="shared" ref="I4:I8" si="7">F4-H4</f>
        <v>20</v>
      </c>
      <c r="J4" s="13">
        <f>IFERROR(SUM(M4:N4)/F4,"")</f>
        <v>0.5</v>
      </c>
      <c r="K4" s="14">
        <f t="shared" ref="K4:L4" si="2">SUM(K5:K19)</f>
        <v>0</v>
      </c>
      <c r="L4" s="15">
        <f t="shared" si="2"/>
        <v>0</v>
      </c>
      <c r="M4" s="12">
        <f t="shared" ref="M4:R4" si="3">SUM(M5)</f>
        <v>20</v>
      </c>
      <c r="N4" s="12">
        <f t="shared" si="3"/>
        <v>0</v>
      </c>
      <c r="O4" s="12">
        <f t="shared" si="3"/>
        <v>0</v>
      </c>
      <c r="P4" s="12">
        <f t="shared" si="3"/>
        <v>0</v>
      </c>
      <c r="Q4" s="12">
        <f t="shared" si="3"/>
        <v>0</v>
      </c>
      <c r="R4" s="12">
        <f t="shared" si="3"/>
        <v>20</v>
      </c>
      <c r="T4" s="16" t="s">
        <v>21</v>
      </c>
      <c r="U4" s="17">
        <v>45526.0</v>
      </c>
      <c r="V4" s="1"/>
      <c r="W4" s="1"/>
      <c r="X4" s="1"/>
      <c r="Y4" s="1"/>
    </row>
    <row r="5">
      <c r="A5" s="1"/>
      <c r="B5" s="18">
        <v>1.0</v>
      </c>
      <c r="C5" s="19" t="s">
        <v>22</v>
      </c>
      <c r="D5" s="20" t="str">
        <f t="shared" si="4"/>
        <v>実施中</v>
      </c>
      <c r="E5" s="19">
        <f t="shared" ref="E5:F5" si="5">SUM(E6:E8)</f>
        <v>60</v>
      </c>
      <c r="F5" s="19">
        <f t="shared" si="5"/>
        <v>40</v>
      </c>
      <c r="G5" s="21">
        <f t="shared" ref="G5:G8" si="9">IFERROR((M5+N5+O5)/E5,"-")</f>
        <v>0.3333333333</v>
      </c>
      <c r="H5" s="22">
        <f t="shared" si="6"/>
        <v>20</v>
      </c>
      <c r="I5" s="23">
        <f t="shared" si="7"/>
        <v>20</v>
      </c>
      <c r="J5" s="21">
        <f t="shared" ref="J5:J8" si="10">IFERROR((M5+N5)/E5,"-")</f>
        <v>0.3333333333</v>
      </c>
      <c r="K5" s="22"/>
      <c r="L5" s="23"/>
      <c r="M5" s="19">
        <f t="shared" ref="M5:R5" si="8">SUM(M6:M8)</f>
        <v>20</v>
      </c>
      <c r="N5" s="19">
        <f t="shared" si="8"/>
        <v>0</v>
      </c>
      <c r="O5" s="19">
        <f t="shared" si="8"/>
        <v>0</v>
      </c>
      <c r="P5" s="19">
        <f t="shared" si="8"/>
        <v>0</v>
      </c>
      <c r="Q5" s="19">
        <f t="shared" si="8"/>
        <v>0</v>
      </c>
      <c r="R5" s="19">
        <f t="shared" si="8"/>
        <v>20</v>
      </c>
      <c r="T5" s="16" t="s">
        <v>21</v>
      </c>
      <c r="U5" s="17">
        <v>45527.0</v>
      </c>
      <c r="V5" s="1"/>
      <c r="W5" s="1"/>
      <c r="X5" s="1"/>
      <c r="Y5" s="1"/>
    </row>
    <row r="6" outlineLevel="1">
      <c r="A6" s="1"/>
      <c r="B6" s="18"/>
      <c r="C6" s="24" t="s">
        <v>22</v>
      </c>
      <c r="D6" s="18" t="str">
        <f t="shared" si="4"/>
        <v>完了</v>
      </c>
      <c r="E6" s="24">
        <f t="shared" ref="E6:E8" si="11">IFERROR(MAX(INDIRECT($C6&amp;"!B:B")),"")</f>
        <v>20</v>
      </c>
      <c r="F6" s="24">
        <f t="shared" ref="F6:F8" si="12">E6-(R6+0)</f>
        <v>20</v>
      </c>
      <c r="G6" s="25">
        <f t="shared" si="9"/>
        <v>1</v>
      </c>
      <c r="H6" s="26">
        <f t="shared" si="6"/>
        <v>20</v>
      </c>
      <c r="I6" s="27">
        <f t="shared" si="7"/>
        <v>0</v>
      </c>
      <c r="J6" s="25">
        <f t="shared" si="10"/>
        <v>1</v>
      </c>
      <c r="K6" s="26"/>
      <c r="L6" s="27"/>
      <c r="M6" s="24">
        <f>IFERROR(INDIRECT($C6&amp;"!P2"),"")</f>
        <v>20</v>
      </c>
      <c r="N6" s="24">
        <f>IFERROR(INDIRECT($C6&amp;"!P3"),"")</f>
        <v>0</v>
      </c>
      <c r="O6" s="24">
        <f>IFERROR(INDIRECT($C6&amp;"!P4"),"")</f>
        <v>0</v>
      </c>
      <c r="P6" s="24">
        <f>IFERROR(INDIRECT($C6&amp;"!P5"),"")</f>
        <v>0</v>
      </c>
      <c r="Q6" s="24">
        <f>IFERROR(INDIRECT($C6&amp;"!P6"),"")</f>
        <v>0</v>
      </c>
      <c r="R6" s="24">
        <f>IFERROR(INDIRECT($C6&amp;"!P7"),"")</f>
        <v>0</v>
      </c>
      <c r="T6" s="28"/>
      <c r="U6" s="28"/>
      <c r="V6" s="1"/>
      <c r="W6" s="1"/>
      <c r="X6" s="1"/>
      <c r="Y6" s="1"/>
    </row>
    <row r="7" outlineLevel="1">
      <c r="A7" s="1"/>
      <c r="B7" s="18"/>
      <c r="C7" s="24" t="s">
        <v>22</v>
      </c>
      <c r="D7" s="18" t="str">
        <f t="shared" si="4"/>
        <v>未着手</v>
      </c>
      <c r="E7" s="24">
        <f t="shared" si="11"/>
        <v>20</v>
      </c>
      <c r="F7" s="24">
        <f t="shared" si="12"/>
        <v>0</v>
      </c>
      <c r="G7" s="25">
        <f t="shared" si="9"/>
        <v>0</v>
      </c>
      <c r="H7" s="26">
        <f t="shared" si="6"/>
        <v>0</v>
      </c>
      <c r="I7" s="27">
        <f t="shared" si="7"/>
        <v>0</v>
      </c>
      <c r="J7" s="25">
        <f t="shared" si="10"/>
        <v>0</v>
      </c>
      <c r="K7" s="26"/>
      <c r="L7" s="27"/>
      <c r="M7" s="24">
        <f>IFERROR(INDIRECT($C7&amp;"!T2"),"")</f>
        <v>0</v>
      </c>
      <c r="N7" s="24">
        <f>IFERROR(INDIRECT($C7&amp;"!T3"),"")</f>
        <v>0</v>
      </c>
      <c r="O7" s="24">
        <f>IFERROR(INDIRECT($C7&amp;"!T4"),"")</f>
        <v>0</v>
      </c>
      <c r="P7" s="24">
        <f>IFERROR(INDIRECT($C7&amp;"!T5"),"")</f>
        <v>0</v>
      </c>
      <c r="Q7" s="24">
        <f>IFERROR(INDIRECT($C7&amp;"!T6"),"")</f>
        <v>0</v>
      </c>
      <c r="R7" s="24">
        <f>IFERROR(INDIRECT($C7&amp;"!T7"),"")</f>
        <v>20</v>
      </c>
      <c r="T7" s="28"/>
      <c r="U7" s="28"/>
      <c r="V7" s="1"/>
      <c r="W7" s="1"/>
      <c r="X7" s="1"/>
      <c r="Y7" s="1"/>
    </row>
    <row r="8" outlineLevel="1">
      <c r="A8" s="1"/>
      <c r="B8" s="18"/>
      <c r="C8" s="24" t="s">
        <v>22</v>
      </c>
      <c r="D8" s="18" t="str">
        <f t="shared" si="4"/>
        <v>未着手</v>
      </c>
      <c r="E8" s="24">
        <f t="shared" si="11"/>
        <v>20</v>
      </c>
      <c r="F8" s="24">
        <f t="shared" si="12"/>
        <v>20</v>
      </c>
      <c r="G8" s="25">
        <f t="shared" si="9"/>
        <v>0</v>
      </c>
      <c r="H8" s="26">
        <f t="shared" si="6"/>
        <v>0</v>
      </c>
      <c r="I8" s="27">
        <f t="shared" si="7"/>
        <v>20</v>
      </c>
      <c r="J8" s="25">
        <f t="shared" si="10"/>
        <v>0</v>
      </c>
      <c r="K8" s="26"/>
      <c r="L8" s="27"/>
      <c r="M8" s="24">
        <f>IFERROR(INDIRECT($C8&amp;"!X2"),"")</f>
        <v>0</v>
      </c>
      <c r="N8" s="24">
        <f>IFERROR(INDIRECT($C8&amp;"!X3"),"")</f>
        <v>0</v>
      </c>
      <c r="O8" s="24">
        <f>IFERROR(INDIRECT($C8&amp;"!X4"),"")</f>
        <v>0</v>
      </c>
      <c r="P8" s="24">
        <f>IFERROR(INDIRECT($C8&amp;"!X5"),"")</f>
        <v>0</v>
      </c>
      <c r="Q8" s="24">
        <f>IFERROR(INDIRECT($C8&amp;"!X6"),"")</f>
        <v>0</v>
      </c>
      <c r="R8" s="24">
        <f>IFERROR(INDIRECT($C8&amp;"!X7"),"")</f>
        <v>0</v>
      </c>
      <c r="T8" s="28"/>
      <c r="U8" s="28"/>
      <c r="V8" s="1"/>
      <c r="W8" s="1"/>
      <c r="X8" s="1"/>
      <c r="Y8" s="1"/>
    </row>
    <row r="9">
      <c r="A9" s="1"/>
      <c r="B9" s="18">
        <v>2.0</v>
      </c>
      <c r="C9" s="24"/>
      <c r="D9" s="18"/>
      <c r="E9" s="24"/>
      <c r="F9" s="24"/>
      <c r="G9" s="25"/>
      <c r="H9" s="26"/>
      <c r="I9" s="27"/>
      <c r="J9" s="25"/>
      <c r="K9" s="26"/>
      <c r="L9" s="27"/>
      <c r="M9" s="24"/>
      <c r="N9" s="24"/>
      <c r="O9" s="24"/>
      <c r="P9" s="24"/>
      <c r="Q9" s="24"/>
      <c r="R9" s="24"/>
      <c r="T9" s="28"/>
      <c r="U9" s="28"/>
      <c r="V9" s="1"/>
      <c r="W9" s="1"/>
      <c r="X9" s="1"/>
      <c r="Y9" s="1"/>
    </row>
    <row r="10">
      <c r="A10" s="1"/>
      <c r="B10" s="18">
        <v>3.0</v>
      </c>
      <c r="C10" s="24"/>
      <c r="D10" s="18"/>
      <c r="E10" s="24"/>
      <c r="F10" s="24"/>
      <c r="G10" s="25"/>
      <c r="H10" s="26"/>
      <c r="I10" s="27"/>
      <c r="J10" s="25"/>
      <c r="K10" s="26"/>
      <c r="L10" s="27"/>
      <c r="M10" s="24"/>
      <c r="N10" s="24"/>
      <c r="O10" s="24"/>
      <c r="P10" s="24"/>
      <c r="Q10" s="24"/>
      <c r="R10" s="24"/>
      <c r="V10" s="1"/>
      <c r="W10" s="1"/>
      <c r="X10" s="1"/>
      <c r="Y10" s="1"/>
    </row>
    <row r="11">
      <c r="A11" s="1"/>
      <c r="B11" s="18">
        <v>4.0</v>
      </c>
      <c r="C11" s="24"/>
      <c r="D11" s="18"/>
      <c r="E11" s="24"/>
      <c r="F11" s="24"/>
      <c r="G11" s="25"/>
      <c r="H11" s="26"/>
      <c r="I11" s="27"/>
      <c r="J11" s="25"/>
      <c r="K11" s="26"/>
      <c r="L11" s="27"/>
      <c r="M11" s="24"/>
      <c r="N11" s="24"/>
      <c r="O11" s="24"/>
      <c r="P11" s="24"/>
      <c r="Q11" s="24"/>
      <c r="R11" s="24"/>
      <c r="V11" s="1"/>
      <c r="W11" s="1"/>
      <c r="X11" s="1"/>
      <c r="Y11" s="1"/>
    </row>
    <row r="12">
      <c r="A12" s="1"/>
      <c r="B12" s="18">
        <v>5.0</v>
      </c>
      <c r="C12" s="24"/>
      <c r="D12" s="18"/>
      <c r="E12" s="24"/>
      <c r="F12" s="24"/>
      <c r="G12" s="25"/>
      <c r="H12" s="26"/>
      <c r="I12" s="27"/>
      <c r="J12" s="25"/>
      <c r="K12" s="26"/>
      <c r="L12" s="27"/>
      <c r="M12" s="24"/>
      <c r="N12" s="24"/>
      <c r="O12" s="24"/>
      <c r="P12" s="24"/>
      <c r="Q12" s="24"/>
      <c r="R12" s="24"/>
      <c r="V12" s="1"/>
      <c r="W12" s="1"/>
      <c r="X12" s="1"/>
      <c r="Y12" s="1"/>
    </row>
    <row r="13">
      <c r="A13" s="1"/>
      <c r="B13" s="18">
        <v>6.0</v>
      </c>
      <c r="C13" s="24"/>
      <c r="D13" s="18"/>
      <c r="E13" s="24"/>
      <c r="F13" s="24"/>
      <c r="G13" s="25"/>
      <c r="H13" s="26"/>
      <c r="I13" s="27"/>
      <c r="J13" s="25"/>
      <c r="K13" s="26"/>
      <c r="L13" s="27"/>
      <c r="M13" s="24"/>
      <c r="N13" s="24"/>
      <c r="O13" s="24"/>
      <c r="P13" s="24"/>
      <c r="Q13" s="24"/>
      <c r="R13" s="24"/>
      <c r="V13" s="1"/>
      <c r="W13" s="1"/>
      <c r="X13" s="1"/>
      <c r="Y13" s="1"/>
    </row>
    <row r="14">
      <c r="A14" s="1"/>
      <c r="B14" s="18">
        <v>7.0</v>
      </c>
      <c r="C14" s="24"/>
      <c r="D14" s="18"/>
      <c r="E14" s="24"/>
      <c r="F14" s="24"/>
      <c r="G14" s="25"/>
      <c r="H14" s="26"/>
      <c r="I14" s="27"/>
      <c r="J14" s="25"/>
      <c r="K14" s="26"/>
      <c r="L14" s="27"/>
      <c r="M14" s="24"/>
      <c r="N14" s="24"/>
      <c r="O14" s="24"/>
      <c r="P14" s="24"/>
      <c r="Q14" s="24"/>
      <c r="R14" s="24"/>
      <c r="V14" s="1"/>
      <c r="W14" s="1"/>
      <c r="X14" s="1"/>
      <c r="Y14" s="1"/>
    </row>
    <row r="15">
      <c r="A15" s="1"/>
      <c r="B15" s="18">
        <v>8.0</v>
      </c>
      <c r="C15" s="24"/>
      <c r="D15" s="18"/>
      <c r="E15" s="24"/>
      <c r="F15" s="24"/>
      <c r="G15" s="25"/>
      <c r="H15" s="26"/>
      <c r="I15" s="27"/>
      <c r="J15" s="25"/>
      <c r="K15" s="26"/>
      <c r="L15" s="27"/>
      <c r="M15" s="24"/>
      <c r="N15" s="24"/>
      <c r="O15" s="24"/>
      <c r="P15" s="24"/>
      <c r="Q15" s="24"/>
      <c r="R15" s="24"/>
      <c r="V15" s="1"/>
      <c r="W15" s="1"/>
      <c r="X15" s="1"/>
      <c r="Y15" s="1"/>
    </row>
    <row r="16">
      <c r="A16" s="1"/>
      <c r="B16" s="18">
        <v>9.0</v>
      </c>
      <c r="C16" s="24"/>
      <c r="D16" s="18"/>
      <c r="E16" s="24"/>
      <c r="F16" s="24"/>
      <c r="G16" s="25"/>
      <c r="H16" s="26"/>
      <c r="I16" s="27"/>
      <c r="J16" s="25"/>
      <c r="K16" s="26"/>
      <c r="L16" s="27"/>
      <c r="M16" s="24"/>
      <c r="N16" s="24"/>
      <c r="O16" s="24"/>
      <c r="P16" s="24"/>
      <c r="Q16" s="24"/>
      <c r="R16" s="24"/>
      <c r="V16" s="1"/>
      <c r="W16" s="1"/>
      <c r="X16" s="1"/>
      <c r="Y16" s="1"/>
    </row>
    <row r="17">
      <c r="A17" s="1"/>
      <c r="B17" s="18">
        <v>10.0</v>
      </c>
      <c r="C17" s="24"/>
      <c r="D17" s="18"/>
      <c r="E17" s="24"/>
      <c r="F17" s="24"/>
      <c r="G17" s="25"/>
      <c r="H17" s="26"/>
      <c r="I17" s="27"/>
      <c r="J17" s="25"/>
      <c r="K17" s="26"/>
      <c r="L17" s="27"/>
      <c r="M17" s="24"/>
      <c r="N17" s="24"/>
      <c r="O17" s="24"/>
      <c r="P17" s="24"/>
      <c r="Q17" s="24"/>
      <c r="R17" s="24"/>
      <c r="V17" s="1"/>
      <c r="W17" s="1"/>
      <c r="X17" s="1"/>
      <c r="Y17" s="1"/>
    </row>
    <row r="18">
      <c r="A18" s="1"/>
      <c r="B18" s="18">
        <v>11.0</v>
      </c>
      <c r="C18" s="24"/>
      <c r="D18" s="18"/>
      <c r="E18" s="24"/>
      <c r="F18" s="24"/>
      <c r="G18" s="25"/>
      <c r="H18" s="26"/>
      <c r="I18" s="27"/>
      <c r="J18" s="25"/>
      <c r="K18" s="26"/>
      <c r="L18" s="27"/>
      <c r="M18" s="24"/>
      <c r="N18" s="24"/>
      <c r="O18" s="24"/>
      <c r="P18" s="24"/>
      <c r="Q18" s="24"/>
      <c r="R18" s="24"/>
      <c r="V18" s="1"/>
      <c r="W18" s="1"/>
      <c r="X18" s="1"/>
      <c r="Y18" s="1"/>
    </row>
    <row r="19">
      <c r="A19" s="1"/>
      <c r="B19" s="18">
        <v>12.0</v>
      </c>
      <c r="C19" s="24"/>
      <c r="D19" s="18"/>
      <c r="E19" s="24"/>
      <c r="F19" s="24"/>
      <c r="G19" s="25"/>
      <c r="H19" s="26"/>
      <c r="I19" s="27"/>
      <c r="J19" s="25"/>
      <c r="K19" s="26"/>
      <c r="L19" s="27"/>
      <c r="M19" s="24"/>
      <c r="N19" s="24"/>
      <c r="O19" s="24"/>
      <c r="P19" s="24"/>
      <c r="Q19" s="24"/>
      <c r="R19" s="24"/>
      <c r="V19" s="1"/>
      <c r="W19" s="1"/>
      <c r="X19" s="1"/>
      <c r="Y19" s="1"/>
    </row>
    <row r="20">
      <c r="A20" s="1"/>
      <c r="B20" s="1"/>
      <c r="C20" s="1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T3:U3"/>
  </mergeCells>
  <conditionalFormatting sqref="D4:D19">
    <cfRule type="cellIs" dxfId="0" priority="1" operator="equal">
      <formula>"実施中"</formula>
    </cfRule>
  </conditionalFormatting>
  <conditionalFormatting sqref="D4:D19">
    <cfRule type="cellIs" dxfId="1" priority="2" operator="equal">
      <formula>"中断中"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 outlineLevelCol="1"/>
  <cols>
    <col customWidth="1" min="1" max="1" width="2.14"/>
    <col customWidth="1" min="2" max="2" width="4.43"/>
    <col customWidth="1" min="3" max="5" width="22.29"/>
    <col customWidth="1" hidden="1" min="6" max="8" width="6.14"/>
    <col customWidth="1" min="9" max="9" width="12.43"/>
    <col customWidth="1" min="10" max="10" width="26.71"/>
    <col customWidth="1" min="11" max="12" width="40.14"/>
    <col customWidth="1" min="13" max="13" width="12.57"/>
    <col customWidth="1" min="14" max="14" width="15.86" outlineLevel="1"/>
    <col customWidth="1" min="15" max="16" width="12.57" outlineLevel="1"/>
    <col customWidth="1" min="17" max="17" width="12.57"/>
    <col customWidth="1" min="18" max="18" width="16.43" outlineLevel="1"/>
    <col customWidth="1" min="19" max="20" width="12.57" outlineLevel="1"/>
    <col customWidth="1" min="21" max="21" width="12.57"/>
    <col customWidth="1" min="22" max="22" width="16.43" outlineLevel="1"/>
    <col customWidth="1" min="23" max="24" width="12.57" outlineLevel="1"/>
    <col customWidth="1" min="25" max="25" width="30.57"/>
  </cols>
  <sheetData>
    <row r="1" ht="10.5" customHeight="1">
      <c r="A1" s="29"/>
      <c r="B1" s="30"/>
      <c r="C1" s="29"/>
      <c r="D1" s="29"/>
      <c r="E1" s="29"/>
      <c r="F1" s="29"/>
      <c r="G1" s="29"/>
      <c r="H1" s="29"/>
      <c r="I1" s="29"/>
      <c r="J1" s="29"/>
      <c r="K1" s="29"/>
      <c r="L1" s="29"/>
      <c r="M1" s="30"/>
      <c r="N1" s="31"/>
      <c r="O1" s="31"/>
      <c r="P1" s="29"/>
      <c r="Q1" s="29"/>
      <c r="R1" s="29"/>
      <c r="S1" s="29"/>
    </row>
    <row r="2">
      <c r="A2" s="29"/>
      <c r="B2" s="32" t="s">
        <v>22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4" t="s">
        <v>23</v>
      </c>
      <c r="N2" s="35" t="s">
        <v>24</v>
      </c>
      <c r="O2" s="36" t="s">
        <v>12</v>
      </c>
      <c r="P2" s="37">
        <f t="shared" ref="P2:P8" si="1">COUNTIF(M$11:M$64830,O2)</f>
        <v>20</v>
      </c>
      <c r="Q2" s="38" t="s">
        <v>23</v>
      </c>
      <c r="R2" s="39" t="s">
        <v>25</v>
      </c>
      <c r="S2" s="36" t="s">
        <v>12</v>
      </c>
      <c r="T2" s="37">
        <f t="shared" ref="T2:T8" si="2">COUNTIF(Q$11:Q$64830,S2)</f>
        <v>0</v>
      </c>
      <c r="U2" s="38" t="s">
        <v>23</v>
      </c>
      <c r="V2" s="39" t="s">
        <v>26</v>
      </c>
      <c r="W2" s="36" t="s">
        <v>12</v>
      </c>
      <c r="X2" s="37">
        <f t="shared" ref="X2:X8" si="3">COUNTIF(U$11:U$64830,W2)</f>
        <v>0</v>
      </c>
      <c r="Y2" s="40"/>
      <c r="Z2" s="40"/>
      <c r="AA2" s="40"/>
      <c r="AB2" s="40"/>
      <c r="AC2" s="40"/>
      <c r="AD2" s="40"/>
    </row>
    <row r="3" ht="13.5" customHeight="1">
      <c r="A3" s="41"/>
      <c r="B3" s="42"/>
      <c r="C3" s="33"/>
      <c r="D3" s="33"/>
      <c r="E3" s="33"/>
      <c r="F3" s="33"/>
      <c r="G3" s="33"/>
      <c r="H3" s="33"/>
      <c r="I3" s="33"/>
      <c r="J3" s="43"/>
      <c r="K3" s="33"/>
      <c r="L3" s="33"/>
      <c r="M3" s="44" t="s">
        <v>27</v>
      </c>
      <c r="N3" s="45" t="s">
        <v>21</v>
      </c>
      <c r="O3" s="46" t="s">
        <v>13</v>
      </c>
      <c r="P3" s="47">
        <f t="shared" si="1"/>
        <v>0</v>
      </c>
      <c r="Q3" s="48" t="s">
        <v>27</v>
      </c>
      <c r="R3" s="49"/>
      <c r="S3" s="46" t="s">
        <v>13</v>
      </c>
      <c r="T3" s="47">
        <f t="shared" si="2"/>
        <v>0</v>
      </c>
      <c r="U3" s="48" t="s">
        <v>27</v>
      </c>
      <c r="V3" s="49"/>
      <c r="W3" s="46" t="s">
        <v>13</v>
      </c>
      <c r="X3" s="47">
        <f t="shared" si="3"/>
        <v>0</v>
      </c>
      <c r="Y3" s="40"/>
      <c r="Z3" s="40"/>
      <c r="AA3" s="40"/>
      <c r="AB3" s="40"/>
      <c r="AC3" s="40"/>
      <c r="AD3" s="40"/>
    </row>
    <row r="4" ht="13.5" customHeight="1">
      <c r="A4" s="41"/>
      <c r="B4" s="42"/>
      <c r="C4" s="50"/>
      <c r="D4" s="50"/>
      <c r="E4" s="50"/>
      <c r="F4" s="50"/>
      <c r="G4" s="33"/>
      <c r="H4" s="33"/>
      <c r="I4" s="33"/>
      <c r="J4" s="51"/>
      <c r="K4" s="33"/>
      <c r="L4" s="33"/>
      <c r="M4" s="44" t="s">
        <v>28</v>
      </c>
      <c r="N4" s="52" t="s">
        <v>29</v>
      </c>
      <c r="O4" s="53" t="s">
        <v>14</v>
      </c>
      <c r="P4" s="47">
        <f t="shared" si="1"/>
        <v>0</v>
      </c>
      <c r="Q4" s="48" t="s">
        <v>28</v>
      </c>
      <c r="R4" s="54"/>
      <c r="S4" s="53" t="s">
        <v>14</v>
      </c>
      <c r="T4" s="47">
        <f t="shared" si="2"/>
        <v>0</v>
      </c>
      <c r="U4" s="48" t="s">
        <v>28</v>
      </c>
      <c r="V4" s="54"/>
      <c r="W4" s="53" t="s">
        <v>14</v>
      </c>
      <c r="X4" s="47">
        <f t="shared" si="3"/>
        <v>0</v>
      </c>
      <c r="Y4" s="40"/>
      <c r="Z4" s="40"/>
      <c r="AA4" s="40"/>
      <c r="AB4" s="40"/>
      <c r="AC4" s="40"/>
      <c r="AD4" s="40"/>
    </row>
    <row r="5" ht="13.5" customHeight="1">
      <c r="A5" s="41"/>
      <c r="B5" s="42"/>
      <c r="C5" s="50"/>
      <c r="D5" s="50"/>
      <c r="E5" s="50"/>
      <c r="F5" s="50"/>
      <c r="G5" s="33"/>
      <c r="H5" s="33"/>
      <c r="I5" s="33"/>
      <c r="J5" s="51"/>
      <c r="K5" s="33"/>
      <c r="L5" s="33"/>
      <c r="M5" s="44" t="s">
        <v>30</v>
      </c>
      <c r="N5" s="52" t="s">
        <v>24</v>
      </c>
      <c r="O5" s="55" t="s">
        <v>15</v>
      </c>
      <c r="P5" s="47">
        <f t="shared" si="1"/>
        <v>0</v>
      </c>
      <c r="Q5" s="48" t="s">
        <v>30</v>
      </c>
      <c r="R5" s="54"/>
      <c r="S5" s="55" t="s">
        <v>15</v>
      </c>
      <c r="T5" s="47">
        <f t="shared" si="2"/>
        <v>0</v>
      </c>
      <c r="U5" s="48" t="s">
        <v>30</v>
      </c>
      <c r="V5" s="54"/>
      <c r="W5" s="55" t="s">
        <v>15</v>
      </c>
      <c r="X5" s="47">
        <f t="shared" si="3"/>
        <v>0</v>
      </c>
      <c r="Y5" s="40"/>
      <c r="Z5" s="40"/>
      <c r="AA5" s="40"/>
      <c r="AB5" s="40"/>
      <c r="AC5" s="40"/>
      <c r="AD5" s="40"/>
    </row>
    <row r="6" ht="13.5" customHeight="1">
      <c r="A6" s="41"/>
      <c r="B6" s="42"/>
      <c r="C6" s="50"/>
      <c r="D6" s="50"/>
      <c r="E6" s="50"/>
      <c r="F6" s="50"/>
      <c r="G6" s="33"/>
      <c r="H6" s="33"/>
      <c r="I6" s="33"/>
      <c r="J6" s="51"/>
      <c r="K6" s="33"/>
      <c r="L6" s="33"/>
      <c r="M6" s="56"/>
      <c r="N6" s="57"/>
      <c r="O6" s="58" t="s">
        <v>16</v>
      </c>
      <c r="P6" s="47">
        <f t="shared" si="1"/>
        <v>0</v>
      </c>
      <c r="Q6" s="59"/>
      <c r="R6" s="60"/>
      <c r="S6" s="58" t="s">
        <v>16</v>
      </c>
      <c r="T6" s="47">
        <f t="shared" si="2"/>
        <v>0</v>
      </c>
      <c r="U6" s="59"/>
      <c r="V6" s="60"/>
      <c r="W6" s="58" t="s">
        <v>16</v>
      </c>
      <c r="X6" s="47">
        <f t="shared" si="3"/>
        <v>0</v>
      </c>
      <c r="Y6" s="40"/>
      <c r="Z6" s="40"/>
      <c r="AA6" s="40"/>
      <c r="AB6" s="40"/>
      <c r="AC6" s="40"/>
      <c r="AD6" s="40"/>
    </row>
    <row r="7" ht="13.5" customHeight="1">
      <c r="A7" s="41"/>
      <c r="B7" s="42"/>
      <c r="C7" s="50"/>
      <c r="D7" s="50"/>
      <c r="E7" s="50"/>
      <c r="F7" s="50"/>
      <c r="G7" s="33"/>
      <c r="H7" s="33"/>
      <c r="I7" s="33"/>
      <c r="J7" s="51"/>
      <c r="K7" s="33"/>
      <c r="L7" s="33"/>
      <c r="M7" s="40"/>
      <c r="N7" s="40"/>
      <c r="O7" s="61" t="s">
        <v>17</v>
      </c>
      <c r="P7" s="47">
        <f t="shared" si="1"/>
        <v>0</v>
      </c>
      <c r="Q7" s="40"/>
      <c r="R7" s="62"/>
      <c r="S7" s="61" t="s">
        <v>17</v>
      </c>
      <c r="T7" s="47">
        <f t="shared" si="2"/>
        <v>20</v>
      </c>
      <c r="U7" s="40"/>
      <c r="V7" s="62"/>
      <c r="W7" s="61" t="s">
        <v>17</v>
      </c>
      <c r="X7" s="47">
        <f t="shared" si="3"/>
        <v>0</v>
      </c>
      <c r="Y7" s="40"/>
      <c r="Z7" s="40"/>
      <c r="AA7" s="40"/>
      <c r="AB7" s="40"/>
      <c r="AC7" s="40"/>
      <c r="AD7" s="40"/>
    </row>
    <row r="8" ht="13.5" customHeight="1">
      <c r="A8" s="41"/>
      <c r="B8" s="42"/>
      <c r="C8" s="50"/>
      <c r="D8" s="50"/>
      <c r="E8" s="50"/>
      <c r="F8" s="50"/>
      <c r="G8" s="33"/>
      <c r="H8" s="33"/>
      <c r="I8" s="33"/>
      <c r="J8" s="51"/>
      <c r="K8" s="33"/>
      <c r="L8" s="33"/>
      <c r="M8" s="40"/>
      <c r="N8" s="40"/>
      <c r="O8" s="63" t="s">
        <v>31</v>
      </c>
      <c r="P8" s="64">
        <f t="shared" si="1"/>
        <v>0</v>
      </c>
      <c r="Q8" s="40"/>
      <c r="R8" s="62"/>
      <c r="S8" s="63" t="s">
        <v>31</v>
      </c>
      <c r="T8" s="64">
        <f t="shared" si="2"/>
        <v>0</v>
      </c>
      <c r="U8" s="40"/>
      <c r="V8" s="62"/>
      <c r="W8" s="63" t="s">
        <v>31</v>
      </c>
      <c r="X8" s="64">
        <f t="shared" si="3"/>
        <v>0</v>
      </c>
      <c r="Y8" s="40"/>
      <c r="Z8" s="40"/>
      <c r="AA8" s="40"/>
      <c r="AB8" s="40"/>
      <c r="AC8" s="40"/>
      <c r="AD8" s="40"/>
    </row>
    <row r="9" ht="10.5" customHeight="1">
      <c r="A9" s="29"/>
      <c r="B9" s="30"/>
      <c r="C9" s="29"/>
      <c r="D9" s="29"/>
      <c r="E9" s="29"/>
      <c r="F9" s="29"/>
      <c r="G9" s="29"/>
      <c r="H9" s="29"/>
      <c r="I9" s="29"/>
      <c r="J9" s="29"/>
      <c r="K9" s="29"/>
      <c r="L9" s="29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40"/>
      <c r="AA9" s="40"/>
      <c r="AB9" s="40"/>
      <c r="AC9" s="40"/>
      <c r="AD9" s="40"/>
    </row>
    <row r="10" ht="18.75" customHeight="1">
      <c r="A10" s="65"/>
      <c r="B10" s="66" t="s">
        <v>1</v>
      </c>
      <c r="C10" s="67" t="s">
        <v>32</v>
      </c>
      <c r="D10" s="68" t="s">
        <v>33</v>
      </c>
      <c r="E10" s="69" t="s">
        <v>34</v>
      </c>
      <c r="F10" s="69" t="s">
        <v>35</v>
      </c>
      <c r="G10" s="69" t="s">
        <v>36</v>
      </c>
      <c r="H10" s="69" t="s">
        <v>37</v>
      </c>
      <c r="I10" s="70" t="s">
        <v>38</v>
      </c>
      <c r="J10" s="70" t="s">
        <v>39</v>
      </c>
      <c r="K10" s="69" t="s">
        <v>40</v>
      </c>
      <c r="L10" s="69" t="s">
        <v>41</v>
      </c>
      <c r="M10" s="71" t="s">
        <v>42</v>
      </c>
      <c r="N10" s="72" t="s">
        <v>43</v>
      </c>
      <c r="O10" s="73" t="s">
        <v>44</v>
      </c>
      <c r="P10" s="74" t="s">
        <v>45</v>
      </c>
      <c r="Q10" s="73" t="s">
        <v>42</v>
      </c>
      <c r="R10" s="72" t="s">
        <v>43</v>
      </c>
      <c r="S10" s="73" t="s">
        <v>44</v>
      </c>
      <c r="T10" s="74" t="s">
        <v>45</v>
      </c>
      <c r="U10" s="73" t="s">
        <v>42</v>
      </c>
      <c r="V10" s="72" t="s">
        <v>43</v>
      </c>
      <c r="W10" s="73" t="s">
        <v>44</v>
      </c>
      <c r="X10" s="74" t="s">
        <v>45</v>
      </c>
      <c r="Y10" s="74" t="s">
        <v>46</v>
      </c>
      <c r="Z10" s="40"/>
      <c r="AA10" s="40"/>
      <c r="AB10" s="40"/>
      <c r="AC10" s="40"/>
      <c r="AD10" s="40"/>
    </row>
    <row r="11">
      <c r="A11" s="29"/>
      <c r="B11" s="75">
        <f t="shared" ref="B11:B30" si="4">(ROW()-ROW($B$10))</f>
        <v>1</v>
      </c>
      <c r="C11" s="76" t="s">
        <v>47</v>
      </c>
      <c r="D11" s="77" t="s">
        <v>19</v>
      </c>
      <c r="E11" s="77" t="s">
        <v>19</v>
      </c>
      <c r="F11" s="77" t="s">
        <v>19</v>
      </c>
      <c r="G11" s="77" t="s">
        <v>19</v>
      </c>
      <c r="H11" s="77" t="s">
        <v>19</v>
      </c>
      <c r="I11" s="78" t="s">
        <v>48</v>
      </c>
      <c r="J11" s="77" t="s">
        <v>49</v>
      </c>
      <c r="K11" s="79" t="s">
        <v>50</v>
      </c>
      <c r="L11" s="77" t="s">
        <v>51</v>
      </c>
      <c r="M11" s="80" t="s">
        <v>12</v>
      </c>
      <c r="N11" s="81">
        <v>45526.0</v>
      </c>
      <c r="O11" s="82" t="s">
        <v>52</v>
      </c>
      <c r="P11" s="83"/>
      <c r="Q11" s="84" t="s">
        <v>17</v>
      </c>
      <c r="R11" s="85"/>
      <c r="S11" s="86"/>
      <c r="T11" s="83"/>
      <c r="U11" s="84"/>
      <c r="V11" s="85"/>
      <c r="W11" s="86"/>
      <c r="X11" s="83"/>
      <c r="Y11" s="87"/>
      <c r="Z11" s="40"/>
      <c r="AA11" s="40"/>
      <c r="AB11" s="40"/>
      <c r="AC11" s="40"/>
      <c r="AD11" s="40"/>
    </row>
    <row r="12">
      <c r="A12" s="29"/>
      <c r="B12" s="75">
        <f t="shared" si="4"/>
        <v>2</v>
      </c>
      <c r="C12" s="88" t="s">
        <v>47</v>
      </c>
      <c r="D12" s="77" t="s">
        <v>19</v>
      </c>
      <c r="E12" s="77" t="s">
        <v>19</v>
      </c>
      <c r="F12" s="77" t="s">
        <v>19</v>
      </c>
      <c r="G12" s="77" t="s">
        <v>19</v>
      </c>
      <c r="H12" s="77" t="s">
        <v>19</v>
      </c>
      <c r="I12" s="78" t="s">
        <v>48</v>
      </c>
      <c r="J12" s="77" t="s">
        <v>53</v>
      </c>
      <c r="K12" s="79" t="s">
        <v>50</v>
      </c>
      <c r="L12" s="77" t="s">
        <v>54</v>
      </c>
      <c r="M12" s="80" t="s">
        <v>12</v>
      </c>
      <c r="N12" s="81">
        <v>45526.0</v>
      </c>
      <c r="O12" s="82" t="s">
        <v>52</v>
      </c>
      <c r="P12" s="83"/>
      <c r="Q12" s="84" t="s">
        <v>17</v>
      </c>
      <c r="R12" s="85"/>
      <c r="S12" s="86"/>
      <c r="T12" s="83"/>
      <c r="U12" s="84"/>
      <c r="V12" s="85"/>
      <c r="W12" s="86"/>
      <c r="X12" s="83"/>
      <c r="Y12" s="87"/>
      <c r="Z12" s="40"/>
      <c r="AA12" s="40"/>
      <c r="AB12" s="40"/>
      <c r="AC12" s="40"/>
      <c r="AD12" s="40"/>
    </row>
    <row r="13">
      <c r="A13" s="29"/>
      <c r="B13" s="75">
        <f t="shared" si="4"/>
        <v>3</v>
      </c>
      <c r="C13" s="88" t="s">
        <v>47</v>
      </c>
      <c r="D13" s="77" t="s">
        <v>19</v>
      </c>
      <c r="E13" s="77" t="s">
        <v>19</v>
      </c>
      <c r="F13" s="77" t="s">
        <v>19</v>
      </c>
      <c r="G13" s="77" t="s">
        <v>19</v>
      </c>
      <c r="H13" s="77" t="s">
        <v>19</v>
      </c>
      <c r="I13" s="78" t="s">
        <v>48</v>
      </c>
      <c r="J13" s="78" t="s">
        <v>53</v>
      </c>
      <c r="K13" s="89" t="s">
        <v>50</v>
      </c>
      <c r="L13" s="77" t="s">
        <v>55</v>
      </c>
      <c r="M13" s="80" t="s">
        <v>12</v>
      </c>
      <c r="N13" s="81">
        <v>45526.0</v>
      </c>
      <c r="O13" s="82" t="s">
        <v>52</v>
      </c>
      <c r="P13" s="83"/>
      <c r="Q13" s="84" t="s">
        <v>17</v>
      </c>
      <c r="R13" s="85"/>
      <c r="S13" s="86"/>
      <c r="T13" s="83"/>
      <c r="U13" s="84"/>
      <c r="V13" s="85"/>
      <c r="W13" s="86"/>
      <c r="X13" s="83"/>
      <c r="Y13" s="87"/>
      <c r="Z13" s="40"/>
      <c r="AA13" s="40"/>
      <c r="AB13" s="40"/>
      <c r="AC13" s="40"/>
      <c r="AD13" s="40"/>
    </row>
    <row r="14">
      <c r="A14" s="40"/>
      <c r="B14" s="90">
        <f t="shared" si="4"/>
        <v>4</v>
      </c>
      <c r="C14" s="88" t="s">
        <v>19</v>
      </c>
      <c r="D14" s="77" t="s">
        <v>19</v>
      </c>
      <c r="E14" s="77" t="s">
        <v>56</v>
      </c>
      <c r="F14" s="77" t="s">
        <v>19</v>
      </c>
      <c r="G14" s="77" t="s">
        <v>19</v>
      </c>
      <c r="H14" s="77" t="s">
        <v>19</v>
      </c>
      <c r="I14" s="78" t="s">
        <v>48</v>
      </c>
      <c r="J14" s="77" t="s">
        <v>19</v>
      </c>
      <c r="K14" s="77" t="s">
        <v>57</v>
      </c>
      <c r="L14" s="91" t="s">
        <v>58</v>
      </c>
      <c r="M14" s="80" t="s">
        <v>12</v>
      </c>
      <c r="N14" s="81">
        <v>45526.0</v>
      </c>
      <c r="O14" s="82" t="s">
        <v>52</v>
      </c>
      <c r="P14" s="83"/>
      <c r="Q14" s="84" t="s">
        <v>17</v>
      </c>
      <c r="R14" s="85"/>
      <c r="S14" s="86"/>
      <c r="T14" s="83"/>
      <c r="U14" s="84"/>
      <c r="V14" s="85"/>
      <c r="W14" s="86"/>
      <c r="X14" s="83"/>
      <c r="Y14" s="87"/>
      <c r="Z14" s="40"/>
      <c r="AA14" s="40"/>
      <c r="AB14" s="40"/>
      <c r="AC14" s="40"/>
      <c r="AD14" s="40"/>
    </row>
    <row r="15">
      <c r="A15" s="40"/>
      <c r="B15" s="90">
        <f t="shared" si="4"/>
        <v>5</v>
      </c>
      <c r="C15" s="88" t="s">
        <v>19</v>
      </c>
      <c r="D15" s="77" t="s">
        <v>19</v>
      </c>
      <c r="E15" s="77" t="s">
        <v>56</v>
      </c>
      <c r="F15" s="77" t="s">
        <v>19</v>
      </c>
      <c r="G15" s="77" t="s">
        <v>19</v>
      </c>
      <c r="H15" s="77" t="s">
        <v>19</v>
      </c>
      <c r="I15" s="78" t="s">
        <v>48</v>
      </c>
      <c r="J15" s="77" t="s">
        <v>19</v>
      </c>
      <c r="K15" s="77" t="s">
        <v>57</v>
      </c>
      <c r="L15" s="91" t="s">
        <v>59</v>
      </c>
      <c r="M15" s="80" t="s">
        <v>12</v>
      </c>
      <c r="N15" s="81">
        <v>45526.0</v>
      </c>
      <c r="O15" s="82" t="s">
        <v>52</v>
      </c>
      <c r="P15" s="83"/>
      <c r="Q15" s="84" t="s">
        <v>17</v>
      </c>
      <c r="R15" s="85"/>
      <c r="S15" s="86"/>
      <c r="T15" s="83"/>
      <c r="U15" s="84"/>
      <c r="V15" s="85"/>
      <c r="W15" s="86"/>
      <c r="X15" s="83"/>
      <c r="Y15" s="87"/>
      <c r="Z15" s="40"/>
      <c r="AA15" s="40"/>
      <c r="AB15" s="40"/>
      <c r="AC15" s="40"/>
      <c r="AD15" s="40"/>
    </row>
    <row r="16">
      <c r="A16" s="40"/>
      <c r="B16" s="90">
        <f t="shared" si="4"/>
        <v>6</v>
      </c>
      <c r="C16" s="88" t="s">
        <v>19</v>
      </c>
      <c r="D16" s="77" t="s">
        <v>19</v>
      </c>
      <c r="E16" s="78" t="s">
        <v>56</v>
      </c>
      <c r="F16" s="77" t="s">
        <v>19</v>
      </c>
      <c r="G16" s="77" t="s">
        <v>19</v>
      </c>
      <c r="H16" s="77" t="s">
        <v>19</v>
      </c>
      <c r="I16" s="78" t="s">
        <v>48</v>
      </c>
      <c r="J16" s="91" t="s">
        <v>60</v>
      </c>
      <c r="K16" s="78" t="s">
        <v>57</v>
      </c>
      <c r="L16" s="91" t="s">
        <v>61</v>
      </c>
      <c r="M16" s="80" t="s">
        <v>12</v>
      </c>
      <c r="N16" s="81">
        <v>45526.0</v>
      </c>
      <c r="O16" s="82" t="s">
        <v>52</v>
      </c>
      <c r="P16" s="83"/>
      <c r="Q16" s="84" t="s">
        <v>17</v>
      </c>
      <c r="R16" s="85"/>
      <c r="S16" s="86"/>
      <c r="T16" s="83"/>
      <c r="U16" s="84"/>
      <c r="V16" s="85"/>
      <c r="W16" s="86"/>
      <c r="X16" s="83"/>
      <c r="Y16" s="87"/>
      <c r="Z16" s="40"/>
      <c r="AA16" s="40"/>
      <c r="AB16" s="40"/>
      <c r="AC16" s="40"/>
      <c r="AD16" s="40"/>
    </row>
    <row r="17">
      <c r="A17" s="29"/>
      <c r="B17" s="92">
        <f t="shared" si="4"/>
        <v>7</v>
      </c>
      <c r="C17" s="88" t="s">
        <v>19</v>
      </c>
      <c r="D17" s="91" t="s">
        <v>62</v>
      </c>
      <c r="E17" s="93" t="s">
        <v>56</v>
      </c>
      <c r="F17" s="93" t="s">
        <v>19</v>
      </c>
      <c r="G17" s="93" t="s">
        <v>19</v>
      </c>
      <c r="H17" s="93" t="s">
        <v>19</v>
      </c>
      <c r="I17" s="93" t="s">
        <v>48</v>
      </c>
      <c r="J17" s="93" t="s">
        <v>19</v>
      </c>
      <c r="K17" s="79" t="s">
        <v>63</v>
      </c>
      <c r="L17" s="94" t="s">
        <v>64</v>
      </c>
      <c r="M17" s="80" t="s">
        <v>12</v>
      </c>
      <c r="N17" s="81">
        <v>45526.0</v>
      </c>
      <c r="O17" s="82" t="s">
        <v>52</v>
      </c>
      <c r="P17" s="83"/>
      <c r="Q17" s="84" t="s">
        <v>17</v>
      </c>
      <c r="R17" s="85"/>
      <c r="S17" s="86"/>
      <c r="T17" s="83"/>
      <c r="U17" s="84"/>
      <c r="V17" s="85"/>
      <c r="W17" s="86"/>
      <c r="X17" s="83"/>
      <c r="Y17" s="87"/>
      <c r="Z17" s="40"/>
      <c r="AA17" s="40"/>
      <c r="AB17" s="40"/>
      <c r="AC17" s="40"/>
      <c r="AD17" s="40"/>
    </row>
    <row r="18">
      <c r="A18" s="29"/>
      <c r="B18" s="92">
        <f t="shared" si="4"/>
        <v>8</v>
      </c>
      <c r="C18" s="88" t="s">
        <v>19</v>
      </c>
      <c r="D18" s="91" t="s">
        <v>65</v>
      </c>
      <c r="E18" s="93" t="s">
        <v>56</v>
      </c>
      <c r="F18" s="93" t="s">
        <v>19</v>
      </c>
      <c r="G18" s="93" t="s">
        <v>19</v>
      </c>
      <c r="H18" s="93" t="s">
        <v>19</v>
      </c>
      <c r="I18" s="93" t="s">
        <v>48</v>
      </c>
      <c r="J18" s="93" t="s">
        <v>19</v>
      </c>
      <c r="K18" s="79" t="s">
        <v>66</v>
      </c>
      <c r="L18" s="94" t="s">
        <v>67</v>
      </c>
      <c r="M18" s="80" t="s">
        <v>12</v>
      </c>
      <c r="N18" s="81">
        <v>45526.0</v>
      </c>
      <c r="O18" s="82" t="s">
        <v>52</v>
      </c>
      <c r="P18" s="83"/>
      <c r="Q18" s="84" t="s">
        <v>17</v>
      </c>
      <c r="R18" s="85"/>
      <c r="S18" s="86"/>
      <c r="T18" s="83"/>
      <c r="U18" s="95"/>
      <c r="V18" s="85"/>
      <c r="W18" s="86"/>
      <c r="X18" s="83"/>
      <c r="Y18" s="87"/>
      <c r="Z18" s="40"/>
      <c r="AA18" s="40"/>
      <c r="AB18" s="40"/>
      <c r="AC18" s="40"/>
      <c r="AD18" s="40"/>
    </row>
    <row r="19">
      <c r="A19" s="29"/>
      <c r="B19" s="92">
        <f t="shared" si="4"/>
        <v>9</v>
      </c>
      <c r="C19" s="88" t="s">
        <v>19</v>
      </c>
      <c r="D19" s="91" t="s">
        <v>68</v>
      </c>
      <c r="E19" s="93" t="s">
        <v>56</v>
      </c>
      <c r="F19" s="93" t="s">
        <v>19</v>
      </c>
      <c r="G19" s="93" t="s">
        <v>19</v>
      </c>
      <c r="H19" s="93" t="s">
        <v>19</v>
      </c>
      <c r="I19" s="93" t="s">
        <v>48</v>
      </c>
      <c r="J19" s="93" t="s">
        <v>19</v>
      </c>
      <c r="K19" s="79" t="s">
        <v>69</v>
      </c>
      <c r="L19" s="94" t="s">
        <v>70</v>
      </c>
      <c r="M19" s="80" t="s">
        <v>12</v>
      </c>
      <c r="N19" s="81">
        <v>45526.0</v>
      </c>
      <c r="O19" s="82" t="s">
        <v>52</v>
      </c>
      <c r="P19" s="83"/>
      <c r="Q19" s="84" t="s">
        <v>17</v>
      </c>
      <c r="R19" s="85"/>
      <c r="S19" s="86"/>
      <c r="T19" s="83"/>
      <c r="U19" s="95"/>
      <c r="V19" s="85"/>
      <c r="W19" s="86"/>
      <c r="X19" s="83"/>
      <c r="Y19" s="87"/>
      <c r="Z19" s="40"/>
      <c r="AA19" s="40"/>
      <c r="AB19" s="40"/>
      <c r="AC19" s="40"/>
      <c r="AD19" s="40"/>
    </row>
    <row r="20">
      <c r="A20" s="62"/>
      <c r="B20" s="96">
        <f t="shared" si="4"/>
        <v>10</v>
      </c>
      <c r="C20" s="78" t="s">
        <v>19</v>
      </c>
      <c r="D20" s="77" t="s">
        <v>71</v>
      </c>
      <c r="E20" s="78" t="s">
        <v>56</v>
      </c>
      <c r="F20" s="78" t="s">
        <v>19</v>
      </c>
      <c r="G20" s="78" t="s">
        <v>19</v>
      </c>
      <c r="H20" s="78" t="s">
        <v>19</v>
      </c>
      <c r="I20" s="78" t="s">
        <v>48</v>
      </c>
      <c r="J20" s="78" t="s">
        <v>19</v>
      </c>
      <c r="K20" s="77" t="s">
        <v>72</v>
      </c>
      <c r="L20" s="77" t="s">
        <v>73</v>
      </c>
      <c r="M20" s="97" t="s">
        <v>12</v>
      </c>
      <c r="N20" s="98">
        <v>45526.0</v>
      </c>
      <c r="O20" s="99" t="s">
        <v>52</v>
      </c>
      <c r="P20" s="100"/>
      <c r="Q20" s="84" t="s">
        <v>17</v>
      </c>
      <c r="R20" s="101"/>
      <c r="S20" s="102"/>
      <c r="T20" s="100"/>
      <c r="U20" s="100"/>
      <c r="V20" s="101"/>
      <c r="W20" s="102"/>
      <c r="X20" s="100"/>
      <c r="Y20" s="103"/>
      <c r="Z20" s="40"/>
      <c r="AA20" s="40"/>
      <c r="AB20" s="40"/>
      <c r="AC20" s="40"/>
      <c r="AD20" s="40"/>
    </row>
    <row r="21" ht="15.75" customHeight="1">
      <c r="A21" s="29"/>
      <c r="B21" s="92">
        <f t="shared" si="4"/>
        <v>11</v>
      </c>
      <c r="C21" s="104" t="s">
        <v>74</v>
      </c>
      <c r="D21" s="79" t="s">
        <v>19</v>
      </c>
      <c r="E21" s="79" t="s">
        <v>19</v>
      </c>
      <c r="F21" s="79" t="s">
        <v>19</v>
      </c>
      <c r="G21" s="79" t="s">
        <v>19</v>
      </c>
      <c r="H21" s="79" t="s">
        <v>19</v>
      </c>
      <c r="I21" s="89" t="s">
        <v>48</v>
      </c>
      <c r="J21" s="77" t="s">
        <v>53</v>
      </c>
      <c r="K21" s="79" t="s">
        <v>75</v>
      </c>
      <c r="L21" s="94" t="s">
        <v>76</v>
      </c>
      <c r="M21" s="80" t="s">
        <v>12</v>
      </c>
      <c r="N21" s="81">
        <v>45527.0</v>
      </c>
      <c r="O21" s="82" t="s">
        <v>52</v>
      </c>
      <c r="P21" s="83"/>
      <c r="Q21" s="84" t="s">
        <v>17</v>
      </c>
      <c r="R21" s="85"/>
      <c r="S21" s="86"/>
      <c r="T21" s="83"/>
      <c r="U21" s="95"/>
      <c r="V21" s="85"/>
      <c r="W21" s="86"/>
      <c r="X21" s="83"/>
      <c r="Y21" s="87"/>
      <c r="Z21" s="40"/>
      <c r="AA21" s="40"/>
      <c r="AB21" s="40"/>
      <c r="AC21" s="40"/>
      <c r="AD21" s="40"/>
    </row>
    <row r="22" ht="15.75" customHeight="1">
      <c r="A22" s="29"/>
      <c r="B22" s="92">
        <f t="shared" si="4"/>
        <v>12</v>
      </c>
      <c r="C22" s="105" t="s">
        <v>74</v>
      </c>
      <c r="D22" s="79" t="s">
        <v>19</v>
      </c>
      <c r="E22" s="79" t="s">
        <v>19</v>
      </c>
      <c r="F22" s="79" t="s">
        <v>19</v>
      </c>
      <c r="G22" s="79" t="s">
        <v>19</v>
      </c>
      <c r="H22" s="79" t="s">
        <v>19</v>
      </c>
      <c r="I22" s="89" t="s">
        <v>48</v>
      </c>
      <c r="J22" s="78" t="s">
        <v>53</v>
      </c>
      <c r="K22" s="89" t="s">
        <v>77</v>
      </c>
      <c r="L22" s="94" t="s">
        <v>78</v>
      </c>
      <c r="M22" s="80" t="s">
        <v>12</v>
      </c>
      <c r="N22" s="81">
        <v>45527.0</v>
      </c>
      <c r="O22" s="82" t="s">
        <v>52</v>
      </c>
      <c r="P22" s="83"/>
      <c r="Q22" s="95" t="s">
        <v>17</v>
      </c>
      <c r="R22" s="85"/>
      <c r="S22" s="86"/>
      <c r="T22" s="83"/>
      <c r="U22" s="95"/>
      <c r="V22" s="85"/>
      <c r="W22" s="86"/>
      <c r="X22" s="83"/>
      <c r="Y22" s="87"/>
      <c r="Z22" s="40"/>
      <c r="AA22" s="40"/>
      <c r="AB22" s="40"/>
      <c r="AC22" s="40"/>
      <c r="AD22" s="40"/>
    </row>
    <row r="23" ht="15.75" customHeight="1">
      <c r="A23" s="29"/>
      <c r="B23" s="92">
        <f t="shared" si="4"/>
        <v>13</v>
      </c>
      <c r="C23" s="105" t="s">
        <v>74</v>
      </c>
      <c r="D23" s="79" t="s">
        <v>19</v>
      </c>
      <c r="E23" s="79" t="s">
        <v>19</v>
      </c>
      <c r="F23" s="79" t="s">
        <v>19</v>
      </c>
      <c r="G23" s="79" t="s">
        <v>19</v>
      </c>
      <c r="H23" s="79" t="s">
        <v>19</v>
      </c>
      <c r="I23" s="79" t="s">
        <v>79</v>
      </c>
      <c r="J23" s="78" t="s">
        <v>19</v>
      </c>
      <c r="K23" s="79" t="s">
        <v>80</v>
      </c>
      <c r="L23" s="94" t="s">
        <v>76</v>
      </c>
      <c r="M23" s="80" t="s">
        <v>12</v>
      </c>
      <c r="N23" s="81">
        <v>45527.0</v>
      </c>
      <c r="O23" s="82" t="s">
        <v>52</v>
      </c>
      <c r="P23" s="83"/>
      <c r="Q23" s="95" t="s">
        <v>17</v>
      </c>
      <c r="R23" s="85"/>
      <c r="S23" s="86"/>
      <c r="T23" s="83"/>
      <c r="U23" s="95"/>
      <c r="V23" s="85"/>
      <c r="W23" s="86"/>
      <c r="X23" s="83"/>
      <c r="Y23" s="106" t="s">
        <v>81</v>
      </c>
      <c r="Z23" s="40"/>
      <c r="AA23" s="40"/>
      <c r="AB23" s="40"/>
      <c r="AC23" s="40"/>
      <c r="AD23" s="40"/>
    </row>
    <row r="24" ht="15.75" customHeight="1">
      <c r="A24" s="29"/>
      <c r="B24" s="92">
        <f t="shared" si="4"/>
        <v>14</v>
      </c>
      <c r="C24" s="76" t="s">
        <v>82</v>
      </c>
      <c r="D24" s="79" t="s">
        <v>19</v>
      </c>
      <c r="E24" s="79" t="s">
        <v>19</v>
      </c>
      <c r="F24" s="91"/>
      <c r="G24" s="91"/>
      <c r="H24" s="91"/>
      <c r="I24" s="79" t="s">
        <v>48</v>
      </c>
      <c r="J24" s="77" t="s">
        <v>53</v>
      </c>
      <c r="K24" s="76" t="s">
        <v>83</v>
      </c>
      <c r="L24" s="77" t="s">
        <v>84</v>
      </c>
      <c r="M24" s="80" t="s">
        <v>12</v>
      </c>
      <c r="N24" s="81">
        <v>45527.0</v>
      </c>
      <c r="O24" s="82" t="s">
        <v>52</v>
      </c>
      <c r="P24" s="83"/>
      <c r="Q24" s="95" t="s">
        <v>17</v>
      </c>
      <c r="R24" s="85"/>
      <c r="S24" s="86"/>
      <c r="T24" s="83"/>
      <c r="U24" s="95"/>
      <c r="V24" s="85"/>
      <c r="W24" s="86"/>
      <c r="X24" s="83"/>
      <c r="Y24" s="87"/>
      <c r="Z24" s="40"/>
      <c r="AA24" s="40"/>
      <c r="AB24" s="40"/>
      <c r="AC24" s="40"/>
      <c r="AD24" s="40"/>
    </row>
    <row r="25" ht="15.75" customHeight="1">
      <c r="A25" s="29"/>
      <c r="B25" s="92">
        <f t="shared" si="4"/>
        <v>15</v>
      </c>
      <c r="C25" s="76" t="s">
        <v>85</v>
      </c>
      <c r="D25" s="79" t="s">
        <v>19</v>
      </c>
      <c r="E25" s="79" t="s">
        <v>19</v>
      </c>
      <c r="F25" s="91"/>
      <c r="G25" s="91"/>
      <c r="H25" s="91"/>
      <c r="I25" s="89" t="s">
        <v>48</v>
      </c>
      <c r="J25" s="78" t="s">
        <v>53</v>
      </c>
      <c r="K25" s="76" t="s">
        <v>86</v>
      </c>
      <c r="L25" s="77" t="s">
        <v>87</v>
      </c>
      <c r="M25" s="80" t="s">
        <v>12</v>
      </c>
      <c r="N25" s="81">
        <v>45527.0</v>
      </c>
      <c r="O25" s="82" t="s">
        <v>52</v>
      </c>
      <c r="P25" s="83"/>
      <c r="Q25" s="95" t="s">
        <v>17</v>
      </c>
      <c r="R25" s="85"/>
      <c r="S25" s="86"/>
      <c r="T25" s="83"/>
      <c r="U25" s="95"/>
      <c r="V25" s="85"/>
      <c r="W25" s="86"/>
      <c r="X25" s="83"/>
      <c r="Y25" s="87"/>
      <c r="Z25" s="40"/>
      <c r="AA25" s="40"/>
      <c r="AB25" s="40"/>
      <c r="AC25" s="40"/>
      <c r="AD25" s="40"/>
    </row>
    <row r="26" ht="15.75" customHeight="1">
      <c r="A26" s="29"/>
      <c r="B26" s="92">
        <f t="shared" si="4"/>
        <v>16</v>
      </c>
      <c r="C26" s="76" t="s">
        <v>88</v>
      </c>
      <c r="D26" s="77" t="s">
        <v>19</v>
      </c>
      <c r="E26" s="77" t="s">
        <v>19</v>
      </c>
      <c r="F26" s="77" t="s">
        <v>19</v>
      </c>
      <c r="G26" s="77" t="s">
        <v>19</v>
      </c>
      <c r="H26" s="77" t="s">
        <v>19</v>
      </c>
      <c r="I26" s="78" t="s">
        <v>48</v>
      </c>
      <c r="J26" s="78" t="s">
        <v>53</v>
      </c>
      <c r="K26" s="76" t="s">
        <v>89</v>
      </c>
      <c r="L26" s="77" t="s">
        <v>90</v>
      </c>
      <c r="M26" s="80" t="s">
        <v>12</v>
      </c>
      <c r="N26" s="81">
        <v>45527.0</v>
      </c>
      <c r="O26" s="82" t="s">
        <v>52</v>
      </c>
      <c r="P26" s="83"/>
      <c r="Q26" s="95" t="s">
        <v>17</v>
      </c>
      <c r="R26" s="85"/>
      <c r="S26" s="86"/>
      <c r="T26" s="83"/>
      <c r="U26" s="95"/>
      <c r="V26" s="85"/>
      <c r="W26" s="86"/>
      <c r="X26" s="83"/>
      <c r="Y26" s="87"/>
      <c r="Z26" s="40"/>
      <c r="AA26" s="40"/>
      <c r="AB26" s="40"/>
      <c r="AC26" s="40"/>
      <c r="AD26" s="40"/>
    </row>
    <row r="27" ht="15.75" customHeight="1">
      <c r="A27" s="29"/>
      <c r="B27" s="92">
        <f t="shared" si="4"/>
        <v>17</v>
      </c>
      <c r="C27" s="104" t="s">
        <v>91</v>
      </c>
      <c r="D27" s="79" t="s">
        <v>19</v>
      </c>
      <c r="E27" s="79" t="s">
        <v>92</v>
      </c>
      <c r="F27" s="91"/>
      <c r="G27" s="91"/>
      <c r="H27" s="91"/>
      <c r="I27" s="89" t="s">
        <v>48</v>
      </c>
      <c r="J27" s="78" t="s">
        <v>53</v>
      </c>
      <c r="K27" s="76" t="s">
        <v>93</v>
      </c>
      <c r="L27" s="79" t="s">
        <v>94</v>
      </c>
      <c r="M27" s="80" t="s">
        <v>12</v>
      </c>
      <c r="N27" s="81">
        <v>45527.0</v>
      </c>
      <c r="O27" s="82" t="s">
        <v>52</v>
      </c>
      <c r="P27" s="83"/>
      <c r="Q27" s="84" t="s">
        <v>17</v>
      </c>
      <c r="R27" s="85"/>
      <c r="S27" s="86"/>
      <c r="T27" s="83"/>
      <c r="U27" s="95"/>
      <c r="V27" s="85"/>
      <c r="W27" s="86"/>
      <c r="X27" s="83"/>
      <c r="Y27" s="87"/>
      <c r="Z27" s="40"/>
      <c r="AA27" s="40"/>
      <c r="AB27" s="40"/>
      <c r="AC27" s="40"/>
      <c r="AD27" s="40"/>
    </row>
    <row r="28" ht="15.75" customHeight="1">
      <c r="A28" s="29"/>
      <c r="B28" s="92">
        <f t="shared" si="4"/>
        <v>18</v>
      </c>
      <c r="C28" s="104" t="s">
        <v>91</v>
      </c>
      <c r="D28" s="79" t="s">
        <v>19</v>
      </c>
      <c r="E28" s="79" t="s">
        <v>92</v>
      </c>
      <c r="F28" s="91"/>
      <c r="G28" s="91"/>
      <c r="H28" s="91"/>
      <c r="I28" s="89" t="s">
        <v>48</v>
      </c>
      <c r="J28" s="78" t="s">
        <v>53</v>
      </c>
      <c r="K28" s="76" t="s">
        <v>95</v>
      </c>
      <c r="L28" s="79" t="s">
        <v>96</v>
      </c>
      <c r="M28" s="80" t="s">
        <v>12</v>
      </c>
      <c r="N28" s="81">
        <v>45527.0</v>
      </c>
      <c r="O28" s="82" t="s">
        <v>52</v>
      </c>
      <c r="P28" s="83"/>
      <c r="Q28" s="84" t="s">
        <v>17</v>
      </c>
      <c r="R28" s="85"/>
      <c r="S28" s="86"/>
      <c r="T28" s="83"/>
      <c r="U28" s="95"/>
      <c r="V28" s="85"/>
      <c r="W28" s="86"/>
      <c r="X28" s="83"/>
      <c r="Y28" s="87"/>
      <c r="Z28" s="40"/>
      <c r="AA28" s="40"/>
      <c r="AB28" s="40"/>
      <c r="AC28" s="40"/>
      <c r="AD28" s="40"/>
    </row>
    <row r="29" ht="15.75" customHeight="1">
      <c r="A29" s="29"/>
      <c r="B29" s="92">
        <f t="shared" si="4"/>
        <v>19</v>
      </c>
      <c r="C29" s="104" t="s">
        <v>91</v>
      </c>
      <c r="D29" s="79" t="s">
        <v>19</v>
      </c>
      <c r="E29" s="79" t="s">
        <v>92</v>
      </c>
      <c r="F29" s="91"/>
      <c r="G29" s="91"/>
      <c r="H29" s="91"/>
      <c r="I29" s="89" t="s">
        <v>48</v>
      </c>
      <c r="J29" s="78" t="s">
        <v>53</v>
      </c>
      <c r="K29" s="76" t="s">
        <v>97</v>
      </c>
      <c r="L29" s="79" t="s">
        <v>98</v>
      </c>
      <c r="M29" s="80" t="s">
        <v>12</v>
      </c>
      <c r="N29" s="81">
        <v>45527.0</v>
      </c>
      <c r="O29" s="82" t="s">
        <v>52</v>
      </c>
      <c r="P29" s="83"/>
      <c r="Q29" s="84" t="s">
        <v>17</v>
      </c>
      <c r="R29" s="85"/>
      <c r="S29" s="86"/>
      <c r="T29" s="83"/>
      <c r="U29" s="95"/>
      <c r="V29" s="85"/>
      <c r="W29" s="86"/>
      <c r="X29" s="83"/>
      <c r="Y29" s="87"/>
      <c r="Z29" s="40"/>
      <c r="AA29" s="40"/>
      <c r="AB29" s="40"/>
      <c r="AC29" s="40"/>
      <c r="AD29" s="40"/>
    </row>
    <row r="30" ht="15.75" customHeight="1">
      <c r="A30" s="29"/>
      <c r="B30" s="92">
        <f t="shared" si="4"/>
        <v>20</v>
      </c>
      <c r="C30" s="104" t="s">
        <v>91</v>
      </c>
      <c r="D30" s="79" t="s">
        <v>19</v>
      </c>
      <c r="E30" s="79" t="s">
        <v>92</v>
      </c>
      <c r="F30" s="91"/>
      <c r="G30" s="91"/>
      <c r="H30" s="91"/>
      <c r="I30" s="89" t="s">
        <v>48</v>
      </c>
      <c r="J30" s="78" t="s">
        <v>53</v>
      </c>
      <c r="K30" s="88" t="s">
        <v>99</v>
      </c>
      <c r="L30" s="79" t="s">
        <v>100</v>
      </c>
      <c r="M30" s="80" t="s">
        <v>12</v>
      </c>
      <c r="N30" s="81">
        <v>45527.0</v>
      </c>
      <c r="O30" s="82" t="s">
        <v>52</v>
      </c>
      <c r="P30" s="83"/>
      <c r="Q30" s="84" t="s">
        <v>17</v>
      </c>
      <c r="R30" s="85"/>
      <c r="S30" s="107"/>
      <c r="T30" s="108"/>
      <c r="U30" s="109"/>
      <c r="V30" s="110"/>
      <c r="W30" s="107"/>
      <c r="X30" s="108"/>
      <c r="Y30" s="111"/>
      <c r="Z30" s="40"/>
      <c r="AA30" s="40"/>
      <c r="AB30" s="40"/>
      <c r="AC30" s="40"/>
      <c r="AD30" s="40"/>
    </row>
    <row r="31" ht="10.5" customHeight="1">
      <c r="A31" s="29"/>
      <c r="B31" s="112"/>
      <c r="C31" s="113"/>
      <c r="D31" s="113"/>
      <c r="E31" s="113"/>
      <c r="F31" s="114"/>
      <c r="G31" s="114"/>
      <c r="H31" s="114"/>
      <c r="I31" s="114"/>
      <c r="J31" s="114"/>
      <c r="K31" s="114"/>
      <c r="L31" s="113"/>
      <c r="M31" s="115"/>
      <c r="N31" s="115"/>
      <c r="O31" s="115"/>
      <c r="P31" s="116"/>
      <c r="Q31" s="116"/>
      <c r="R31" s="116"/>
      <c r="S31" s="117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4FB1047E-4D61-41DE-8D63-5A2230DED20B}" filter="1" showAutoFilter="1">
      <autoFilter ref="$A$10:$S$31"/>
    </customSheetView>
  </customSheetViews>
  <conditionalFormatting sqref="M11:U30">
    <cfRule type="containsText" dxfId="2" priority="1" operator="containsText" text="OK">
      <formula>NOT(ISERROR(SEARCH(("OK"),(M11))))</formula>
    </cfRule>
  </conditionalFormatting>
  <conditionalFormatting sqref="M11:U30">
    <cfRule type="cellIs" dxfId="3" priority="2" operator="equal">
      <formula>"NG"</formula>
    </cfRule>
  </conditionalFormatting>
  <conditionalFormatting sqref="M11:U30">
    <cfRule type="cellIs" dxfId="4" priority="3" operator="equal">
      <formula>"NT"</formula>
    </cfRule>
  </conditionalFormatting>
  <conditionalFormatting sqref="M11:U30">
    <cfRule type="cellIs" dxfId="5" priority="4" operator="equal">
      <formula>"BK"</formula>
    </cfRule>
  </conditionalFormatting>
  <conditionalFormatting sqref="C11:K31">
    <cfRule type="expression" dxfId="6" priority="5">
      <formula>#REF!=C11</formula>
    </cfRule>
  </conditionalFormatting>
  <conditionalFormatting sqref="M11:U30">
    <cfRule type="cellIs" dxfId="4" priority="6" operator="equal">
      <formula>"対象外"</formula>
    </cfRule>
  </conditionalFormatting>
  <dataValidations>
    <dataValidation type="list" allowBlank="1" showErrorMessage="1" sqref="N2 R2 V2">
      <formula1>"Windows10,Android(SP),Android(TB)"</formula1>
    </dataValidation>
    <dataValidation type="list" allowBlank="1" sqref="M11:M30 Q11:Q30 U11:U30">
      <formula1>"OK,NG→OK,NG,保留,NT,対象外,BK"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4.86"/>
    <col customWidth="1" min="3" max="3" width="11.57"/>
    <col customWidth="1" min="4" max="4" width="8.43"/>
    <col customWidth="1" min="5" max="5" width="22.14"/>
    <col customWidth="1" min="6" max="9" width="14.29"/>
  </cols>
  <sheetData>
    <row r="2">
      <c r="B2" s="118" t="s">
        <v>1</v>
      </c>
      <c r="C2" s="119" t="s">
        <v>101</v>
      </c>
      <c r="D2" s="119" t="s">
        <v>102</v>
      </c>
      <c r="E2" s="119" t="s">
        <v>103</v>
      </c>
      <c r="F2" s="119" t="s">
        <v>104</v>
      </c>
      <c r="G2" s="119" t="s">
        <v>105</v>
      </c>
      <c r="H2" s="119" t="s">
        <v>106</v>
      </c>
      <c r="I2" s="119" t="s">
        <v>107</v>
      </c>
    </row>
    <row r="3">
      <c r="B3" s="120">
        <f t="shared" ref="B3:B12" si="1">ROW()-ROW($B$2)</f>
        <v>1</v>
      </c>
      <c r="C3" s="121"/>
      <c r="D3" s="122"/>
      <c r="E3" s="122"/>
      <c r="F3" s="122"/>
      <c r="G3" s="122"/>
      <c r="H3" s="122"/>
      <c r="I3" s="122"/>
    </row>
    <row r="4">
      <c r="B4" s="120">
        <f t="shared" si="1"/>
        <v>2</v>
      </c>
      <c r="C4" s="121"/>
      <c r="D4" s="122"/>
      <c r="E4" s="122"/>
      <c r="F4" s="122"/>
      <c r="G4" s="122"/>
      <c r="H4" s="122"/>
      <c r="I4" s="122"/>
    </row>
    <row r="5">
      <c r="B5" s="120">
        <f t="shared" si="1"/>
        <v>3</v>
      </c>
      <c r="C5" s="121"/>
      <c r="D5" s="122"/>
      <c r="E5" s="122"/>
      <c r="F5" s="122"/>
      <c r="G5" s="122"/>
      <c r="H5" s="122"/>
      <c r="I5" s="122"/>
    </row>
    <row r="6">
      <c r="B6" s="120">
        <f t="shared" si="1"/>
        <v>4</v>
      </c>
      <c r="C6" s="121"/>
      <c r="D6" s="122"/>
      <c r="E6" s="122"/>
      <c r="F6" s="122"/>
      <c r="G6" s="122"/>
      <c r="H6" s="122"/>
      <c r="I6" s="122"/>
    </row>
    <row r="7">
      <c r="B7" s="120">
        <f t="shared" si="1"/>
        <v>5</v>
      </c>
      <c r="C7" s="121"/>
      <c r="D7" s="122"/>
      <c r="E7" s="122"/>
      <c r="F7" s="122"/>
      <c r="G7" s="122"/>
      <c r="H7" s="122"/>
      <c r="I7" s="122"/>
    </row>
    <row r="8">
      <c r="B8" s="120">
        <f t="shared" si="1"/>
        <v>6</v>
      </c>
      <c r="C8" s="121"/>
      <c r="D8" s="122"/>
      <c r="E8" s="122"/>
      <c r="F8" s="122"/>
      <c r="G8" s="122"/>
      <c r="H8" s="122"/>
      <c r="I8" s="122"/>
    </row>
    <row r="9">
      <c r="B9" s="120">
        <f t="shared" si="1"/>
        <v>7</v>
      </c>
      <c r="C9" s="121"/>
      <c r="D9" s="122"/>
      <c r="E9" s="122"/>
      <c r="F9" s="122"/>
      <c r="G9" s="122"/>
      <c r="H9" s="122"/>
      <c r="I9" s="122"/>
    </row>
    <row r="10">
      <c r="B10" s="120">
        <f t="shared" si="1"/>
        <v>8</v>
      </c>
      <c r="C10" s="121"/>
      <c r="D10" s="122"/>
      <c r="E10" s="122"/>
      <c r="F10" s="122"/>
      <c r="G10" s="122"/>
      <c r="H10" s="122"/>
      <c r="I10" s="122"/>
    </row>
    <row r="11">
      <c r="B11" s="120">
        <f t="shared" si="1"/>
        <v>9</v>
      </c>
      <c r="C11" s="121"/>
      <c r="D11" s="122"/>
      <c r="E11" s="122"/>
      <c r="F11" s="122"/>
      <c r="G11" s="122"/>
      <c r="H11" s="122"/>
      <c r="I11" s="122"/>
    </row>
    <row r="12">
      <c r="B12" s="120">
        <f t="shared" si="1"/>
        <v>10</v>
      </c>
      <c r="C12" s="121"/>
      <c r="D12" s="122"/>
      <c r="E12" s="122"/>
      <c r="F12" s="122"/>
      <c r="G12" s="122"/>
      <c r="H12" s="122"/>
      <c r="I12" s="12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2.14"/>
    <col customWidth="1" min="2" max="2" width="4.43"/>
    <col customWidth="1" min="3" max="5" width="22.29"/>
    <col customWidth="1" min="6" max="9" width="12.43"/>
    <col customWidth="1" min="10" max="12" width="26.71"/>
    <col customWidth="1" min="13" max="13" width="13.14"/>
    <col customWidth="1" min="14" max="16" width="14.71"/>
    <col customWidth="1" min="17" max="17" width="15.57"/>
    <col customWidth="1" min="18" max="18" width="32.86"/>
    <col customWidth="1" min="19" max="19" width="2.29"/>
  </cols>
  <sheetData>
    <row r="1" ht="10.5" customHeight="1">
      <c r="A1" s="29"/>
      <c r="B1" s="30"/>
      <c r="C1" s="29"/>
      <c r="D1" s="29"/>
      <c r="E1" s="29"/>
      <c r="F1" s="29"/>
      <c r="G1" s="29"/>
      <c r="H1" s="29"/>
      <c r="I1" s="29"/>
      <c r="J1" s="29"/>
      <c r="K1" s="29"/>
      <c r="L1" s="29"/>
      <c r="M1" s="30"/>
      <c r="N1" s="31"/>
      <c r="O1" s="31"/>
      <c r="P1" s="29"/>
      <c r="Q1" s="29"/>
      <c r="R1" s="29"/>
      <c r="S1" s="29"/>
    </row>
    <row r="2">
      <c r="A2" s="29"/>
      <c r="B2" s="32" t="s">
        <v>108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123" t="s">
        <v>109</v>
      </c>
      <c r="N2" s="124"/>
      <c r="O2" s="124"/>
      <c r="P2" s="125"/>
      <c r="Q2" s="29"/>
      <c r="R2" s="29"/>
      <c r="S2" s="29"/>
    </row>
    <row r="3" ht="13.5" customHeight="1">
      <c r="A3" s="41"/>
      <c r="B3" s="42"/>
      <c r="C3" s="33"/>
      <c r="D3" s="33"/>
      <c r="E3" s="33"/>
      <c r="F3" s="33"/>
      <c r="G3" s="33"/>
      <c r="H3" s="33"/>
      <c r="I3" s="33"/>
      <c r="J3" s="43"/>
      <c r="K3" s="33"/>
      <c r="L3" s="33"/>
      <c r="M3" s="126" t="s">
        <v>5</v>
      </c>
      <c r="N3" s="127">
        <f>COUNT($B:$B)-$P$7</f>
        <v>99</v>
      </c>
      <c r="O3" s="128" t="s">
        <v>12</v>
      </c>
      <c r="P3" s="129">
        <f t="shared" ref="P3:P7" si="1">COUNTIF($M$10:$M$109,O3)</f>
        <v>1</v>
      </c>
      <c r="Q3" s="41"/>
      <c r="R3" s="41"/>
      <c r="S3" s="41"/>
    </row>
    <row r="4" ht="13.5" customHeight="1">
      <c r="A4" s="41"/>
      <c r="B4" s="42"/>
      <c r="C4" s="130" t="s">
        <v>23</v>
      </c>
      <c r="D4" s="131"/>
      <c r="E4" s="50"/>
      <c r="F4" s="33"/>
      <c r="G4" s="33"/>
      <c r="H4" s="33"/>
      <c r="I4" s="33"/>
      <c r="J4" s="51"/>
      <c r="K4" s="33"/>
      <c r="L4" s="33"/>
      <c r="M4" s="132" t="s">
        <v>6</v>
      </c>
      <c r="N4" s="133">
        <f>SUM($N$6,$P$4,$P$5)/$N$3</f>
        <v>0.0404040404</v>
      </c>
      <c r="O4" s="134" t="s">
        <v>13</v>
      </c>
      <c r="P4" s="135">
        <f t="shared" si="1"/>
        <v>1</v>
      </c>
      <c r="Q4" s="41"/>
      <c r="R4" s="41"/>
      <c r="S4" s="41"/>
    </row>
    <row r="5" ht="13.5" customHeight="1">
      <c r="A5" s="41"/>
      <c r="B5" s="42"/>
      <c r="C5" s="136" t="str">
        <f>IF(D4="PC","OS",IF(OR(D4="Android",D4="iOS",D4="FP"),"ブラウザ","自動表示"))</f>
        <v>自動表示</v>
      </c>
      <c r="D5" s="137"/>
      <c r="E5" s="50"/>
      <c r="F5" s="33"/>
      <c r="G5" s="33"/>
      <c r="H5" s="33"/>
      <c r="I5" s="33"/>
      <c r="J5" s="51"/>
      <c r="K5" s="33"/>
      <c r="L5" s="33"/>
      <c r="M5" s="138" t="s">
        <v>9</v>
      </c>
      <c r="N5" s="139">
        <f>$N$6/$N$3</f>
        <v>0.0202020202</v>
      </c>
      <c r="O5" s="134" t="s">
        <v>14</v>
      </c>
      <c r="P5" s="135">
        <f t="shared" si="1"/>
        <v>1</v>
      </c>
      <c r="Q5" s="41"/>
      <c r="R5" s="41"/>
      <c r="S5" s="41"/>
    </row>
    <row r="6" ht="13.5" customHeight="1">
      <c r="A6" s="41"/>
      <c r="B6" s="42"/>
      <c r="C6" s="136" t="str">
        <f>IF(C5="OS","ブラウザ",IF(C5="ブラウザ","端末名","自動表示"))</f>
        <v>自動表示</v>
      </c>
      <c r="D6" s="137"/>
      <c r="E6" s="50"/>
      <c r="F6" s="33"/>
      <c r="G6" s="33"/>
      <c r="H6" s="33"/>
      <c r="I6" s="33"/>
      <c r="J6" s="51"/>
      <c r="K6" s="33"/>
      <c r="L6" s="33"/>
      <c r="M6" s="140" t="s">
        <v>10</v>
      </c>
      <c r="N6" s="141">
        <f>SUM($P$3,$P$4)</f>
        <v>2</v>
      </c>
      <c r="O6" s="134" t="s">
        <v>16</v>
      </c>
      <c r="P6" s="135">
        <f t="shared" si="1"/>
        <v>1</v>
      </c>
      <c r="Q6" s="41"/>
      <c r="R6" s="41"/>
      <c r="S6" s="41"/>
    </row>
    <row r="7" ht="13.5" customHeight="1">
      <c r="A7" s="41"/>
      <c r="B7" s="42"/>
      <c r="C7" s="142" t="str">
        <f>IF(C6="自動表示","自動表示","Ver")</f>
        <v>自動表示</v>
      </c>
      <c r="D7" s="143"/>
      <c r="E7" s="50"/>
      <c r="F7" s="33"/>
      <c r="G7" s="33"/>
      <c r="H7" s="33"/>
      <c r="I7" s="33"/>
      <c r="J7" s="51"/>
      <c r="K7" s="33"/>
      <c r="L7" s="33"/>
      <c r="M7" s="144" t="s">
        <v>11</v>
      </c>
      <c r="N7" s="145">
        <f>$N$3-$N$6</f>
        <v>97</v>
      </c>
      <c r="O7" s="146" t="s">
        <v>17</v>
      </c>
      <c r="P7" s="147">
        <f t="shared" si="1"/>
        <v>1</v>
      </c>
      <c r="Q7" s="41"/>
      <c r="R7" s="41"/>
      <c r="S7" s="41"/>
    </row>
    <row r="8" ht="10.5" customHeight="1">
      <c r="A8" s="29"/>
      <c r="B8" s="30"/>
      <c r="C8" s="29"/>
      <c r="D8" s="29"/>
      <c r="E8" s="29"/>
      <c r="F8" s="29"/>
      <c r="G8" s="29"/>
      <c r="H8" s="29"/>
      <c r="I8" s="29"/>
      <c r="J8" s="29"/>
      <c r="K8" s="29"/>
      <c r="L8" s="29"/>
      <c r="M8" s="51"/>
      <c r="N8" s="51"/>
      <c r="O8" s="29"/>
      <c r="P8" s="29"/>
      <c r="Q8" s="29"/>
      <c r="R8" s="29"/>
      <c r="S8" s="29"/>
    </row>
    <row r="9" ht="18.75" customHeight="1">
      <c r="A9" s="65"/>
      <c r="B9" s="66" t="s">
        <v>1</v>
      </c>
      <c r="C9" s="148" t="s">
        <v>110</v>
      </c>
      <c r="D9" s="149" t="s">
        <v>111</v>
      </c>
      <c r="E9" s="148" t="s">
        <v>112</v>
      </c>
      <c r="F9" s="148" t="s">
        <v>35</v>
      </c>
      <c r="G9" s="148" t="s">
        <v>36</v>
      </c>
      <c r="H9" s="148" t="s">
        <v>37</v>
      </c>
      <c r="I9" s="150" t="s">
        <v>38</v>
      </c>
      <c r="J9" s="150" t="s">
        <v>39</v>
      </c>
      <c r="K9" s="148" t="s">
        <v>40</v>
      </c>
      <c r="L9" s="69" t="s">
        <v>41</v>
      </c>
      <c r="M9" s="151" t="s">
        <v>42</v>
      </c>
      <c r="N9" s="152" t="s">
        <v>43</v>
      </c>
      <c r="O9" s="153" t="s">
        <v>44</v>
      </c>
      <c r="P9" s="153" t="s">
        <v>45</v>
      </c>
      <c r="Q9" s="154" t="s">
        <v>113</v>
      </c>
      <c r="R9" s="155" t="s">
        <v>46</v>
      </c>
      <c r="S9" s="65"/>
    </row>
    <row r="10">
      <c r="A10" s="29"/>
      <c r="B10" s="92">
        <f t="shared" ref="B10:B109" si="2">(ROW()-ROW($B$9))</f>
        <v>1</v>
      </c>
      <c r="C10" s="156"/>
      <c r="D10" s="156"/>
      <c r="E10" s="156"/>
      <c r="F10" s="157"/>
      <c r="G10" s="158"/>
      <c r="H10" s="158"/>
      <c r="I10" s="158"/>
      <c r="J10" s="158"/>
      <c r="K10" s="158"/>
      <c r="L10" s="157"/>
      <c r="M10" s="159" t="s">
        <v>12</v>
      </c>
      <c r="N10" s="160"/>
      <c r="O10" s="161"/>
      <c r="P10" s="162"/>
      <c r="Q10" s="163"/>
      <c r="R10" s="164"/>
      <c r="S10" s="117"/>
    </row>
    <row r="11">
      <c r="A11" s="29"/>
      <c r="B11" s="92">
        <f t="shared" si="2"/>
        <v>2</v>
      </c>
      <c r="C11" s="165"/>
      <c r="D11" s="156"/>
      <c r="E11" s="166"/>
      <c r="F11" s="158"/>
      <c r="G11" s="158"/>
      <c r="H11" s="158"/>
      <c r="I11" s="158"/>
      <c r="J11" s="158"/>
      <c r="K11" s="158"/>
      <c r="L11" s="157"/>
      <c r="M11" s="159" t="s">
        <v>14</v>
      </c>
      <c r="N11" s="160"/>
      <c r="O11" s="161"/>
      <c r="P11" s="162"/>
      <c r="Q11" s="163"/>
      <c r="R11" s="164"/>
      <c r="S11" s="117"/>
    </row>
    <row r="12">
      <c r="A12" s="29"/>
      <c r="B12" s="92">
        <f t="shared" si="2"/>
        <v>3</v>
      </c>
      <c r="C12" s="165"/>
      <c r="D12" s="156"/>
      <c r="E12" s="166"/>
      <c r="F12" s="158"/>
      <c r="G12" s="158"/>
      <c r="H12" s="158"/>
      <c r="I12" s="158"/>
      <c r="J12" s="158"/>
      <c r="K12" s="158"/>
      <c r="L12" s="157"/>
      <c r="M12" s="159" t="s">
        <v>17</v>
      </c>
      <c r="N12" s="160"/>
      <c r="O12" s="161"/>
      <c r="P12" s="162"/>
      <c r="Q12" s="163"/>
      <c r="R12" s="164"/>
      <c r="S12" s="117"/>
    </row>
    <row r="13">
      <c r="A13" s="29"/>
      <c r="B13" s="92">
        <f t="shared" si="2"/>
        <v>4</v>
      </c>
      <c r="C13" s="165"/>
      <c r="D13" s="156"/>
      <c r="E13" s="166"/>
      <c r="F13" s="158"/>
      <c r="G13" s="158"/>
      <c r="H13" s="158"/>
      <c r="I13" s="158"/>
      <c r="J13" s="158"/>
      <c r="K13" s="158"/>
      <c r="L13" s="157"/>
      <c r="M13" s="159" t="s">
        <v>13</v>
      </c>
      <c r="N13" s="160"/>
      <c r="O13" s="161"/>
      <c r="P13" s="162"/>
      <c r="Q13" s="163"/>
      <c r="R13" s="164"/>
      <c r="S13" s="117"/>
    </row>
    <row r="14">
      <c r="A14" s="29"/>
      <c r="B14" s="92">
        <f t="shared" si="2"/>
        <v>5</v>
      </c>
      <c r="C14" s="165"/>
      <c r="D14" s="156"/>
      <c r="E14" s="166"/>
      <c r="F14" s="158"/>
      <c r="G14" s="158"/>
      <c r="H14" s="158"/>
      <c r="I14" s="158"/>
      <c r="J14" s="158"/>
      <c r="K14" s="158"/>
      <c r="L14" s="157"/>
      <c r="M14" s="159" t="s">
        <v>16</v>
      </c>
      <c r="N14" s="160"/>
      <c r="O14" s="161"/>
      <c r="P14" s="162"/>
      <c r="Q14" s="163"/>
      <c r="R14" s="164"/>
      <c r="S14" s="117"/>
    </row>
    <row r="15">
      <c r="A15" s="29"/>
      <c r="B15" s="92">
        <f t="shared" si="2"/>
        <v>6</v>
      </c>
      <c r="C15" s="165"/>
      <c r="D15" s="156"/>
      <c r="E15" s="166"/>
      <c r="F15" s="158"/>
      <c r="G15" s="158"/>
      <c r="H15" s="158"/>
      <c r="I15" s="158"/>
      <c r="J15" s="158"/>
      <c r="K15" s="158"/>
      <c r="L15" s="157"/>
      <c r="M15" s="159"/>
      <c r="N15" s="160"/>
      <c r="O15" s="161"/>
      <c r="P15" s="162"/>
      <c r="Q15" s="163"/>
      <c r="R15" s="164"/>
      <c r="S15" s="117"/>
    </row>
    <row r="16">
      <c r="A16" s="29"/>
      <c r="B16" s="92">
        <f t="shared" si="2"/>
        <v>7</v>
      </c>
      <c r="C16" s="165"/>
      <c r="D16" s="156"/>
      <c r="E16" s="166"/>
      <c r="F16" s="158"/>
      <c r="G16" s="158"/>
      <c r="H16" s="158"/>
      <c r="I16" s="158"/>
      <c r="J16" s="158"/>
      <c r="K16" s="158"/>
      <c r="L16" s="157"/>
      <c r="M16" s="159"/>
      <c r="N16" s="160"/>
      <c r="O16" s="161"/>
      <c r="P16" s="162"/>
      <c r="Q16" s="163"/>
      <c r="R16" s="164"/>
      <c r="S16" s="117"/>
    </row>
    <row r="17">
      <c r="A17" s="29"/>
      <c r="B17" s="92">
        <f t="shared" si="2"/>
        <v>8</v>
      </c>
      <c r="C17" s="165"/>
      <c r="D17" s="156"/>
      <c r="E17" s="166"/>
      <c r="F17" s="158"/>
      <c r="G17" s="158"/>
      <c r="H17" s="158"/>
      <c r="I17" s="158"/>
      <c r="J17" s="158"/>
      <c r="K17" s="158"/>
      <c r="L17" s="157"/>
      <c r="M17" s="159"/>
      <c r="N17" s="160"/>
      <c r="O17" s="161"/>
      <c r="P17" s="162"/>
      <c r="Q17" s="163"/>
      <c r="R17" s="164"/>
      <c r="S17" s="117"/>
    </row>
    <row r="18">
      <c r="A18" s="29"/>
      <c r="B18" s="92">
        <f t="shared" si="2"/>
        <v>9</v>
      </c>
      <c r="C18" s="165"/>
      <c r="D18" s="156"/>
      <c r="E18" s="166"/>
      <c r="F18" s="158"/>
      <c r="G18" s="158"/>
      <c r="H18" s="158"/>
      <c r="I18" s="158"/>
      <c r="J18" s="158"/>
      <c r="K18" s="158"/>
      <c r="L18" s="157"/>
      <c r="M18" s="159"/>
      <c r="N18" s="160"/>
      <c r="O18" s="161"/>
      <c r="P18" s="162"/>
      <c r="Q18" s="163"/>
      <c r="R18" s="164"/>
      <c r="S18" s="117"/>
    </row>
    <row r="19">
      <c r="A19" s="29"/>
      <c r="B19" s="92">
        <f t="shared" si="2"/>
        <v>10</v>
      </c>
      <c r="C19" s="165"/>
      <c r="D19" s="156"/>
      <c r="E19" s="166"/>
      <c r="F19" s="158"/>
      <c r="G19" s="158"/>
      <c r="H19" s="158"/>
      <c r="I19" s="158"/>
      <c r="J19" s="158"/>
      <c r="K19" s="158"/>
      <c r="L19" s="157"/>
      <c r="M19" s="159"/>
      <c r="N19" s="160"/>
      <c r="O19" s="161"/>
      <c r="P19" s="162"/>
      <c r="Q19" s="163"/>
      <c r="R19" s="164"/>
      <c r="S19" s="117"/>
    </row>
    <row r="20">
      <c r="A20" s="29"/>
      <c r="B20" s="92">
        <f t="shared" si="2"/>
        <v>11</v>
      </c>
      <c r="C20" s="165"/>
      <c r="D20" s="156"/>
      <c r="E20" s="166"/>
      <c r="F20" s="158"/>
      <c r="G20" s="158"/>
      <c r="H20" s="158"/>
      <c r="I20" s="158"/>
      <c r="J20" s="158"/>
      <c r="K20" s="158"/>
      <c r="L20" s="157"/>
      <c r="M20" s="159"/>
      <c r="N20" s="160"/>
      <c r="O20" s="161"/>
      <c r="P20" s="162"/>
      <c r="Q20" s="163"/>
      <c r="R20" s="164"/>
      <c r="S20" s="117"/>
    </row>
    <row r="21" ht="15.75" customHeight="1">
      <c r="A21" s="29"/>
      <c r="B21" s="92">
        <f t="shared" si="2"/>
        <v>12</v>
      </c>
      <c r="C21" s="165"/>
      <c r="D21" s="156"/>
      <c r="E21" s="166"/>
      <c r="F21" s="158"/>
      <c r="G21" s="158"/>
      <c r="H21" s="158"/>
      <c r="I21" s="158"/>
      <c r="J21" s="158"/>
      <c r="K21" s="158"/>
      <c r="L21" s="157"/>
      <c r="M21" s="159"/>
      <c r="N21" s="160"/>
      <c r="O21" s="161"/>
      <c r="P21" s="162"/>
      <c r="Q21" s="163"/>
      <c r="R21" s="164"/>
      <c r="S21" s="117"/>
    </row>
    <row r="22" ht="15.75" customHeight="1">
      <c r="A22" s="29"/>
      <c r="B22" s="92">
        <f t="shared" si="2"/>
        <v>13</v>
      </c>
      <c r="C22" s="165"/>
      <c r="D22" s="156"/>
      <c r="E22" s="166"/>
      <c r="F22" s="158"/>
      <c r="G22" s="158"/>
      <c r="H22" s="158"/>
      <c r="I22" s="158"/>
      <c r="J22" s="158"/>
      <c r="K22" s="158"/>
      <c r="L22" s="157"/>
      <c r="M22" s="159"/>
      <c r="N22" s="160"/>
      <c r="O22" s="161"/>
      <c r="P22" s="162"/>
      <c r="Q22" s="163"/>
      <c r="R22" s="164"/>
      <c r="S22" s="117"/>
    </row>
    <row r="23" ht="15.75" customHeight="1">
      <c r="A23" s="29"/>
      <c r="B23" s="92">
        <f t="shared" si="2"/>
        <v>14</v>
      </c>
      <c r="C23" s="165"/>
      <c r="D23" s="156"/>
      <c r="E23" s="166"/>
      <c r="F23" s="158"/>
      <c r="G23" s="158"/>
      <c r="H23" s="158"/>
      <c r="I23" s="158"/>
      <c r="J23" s="158"/>
      <c r="K23" s="158"/>
      <c r="L23" s="157"/>
      <c r="M23" s="159"/>
      <c r="N23" s="160"/>
      <c r="O23" s="161"/>
      <c r="P23" s="162"/>
      <c r="Q23" s="163"/>
      <c r="R23" s="164"/>
      <c r="S23" s="117"/>
    </row>
    <row r="24" ht="15.75" customHeight="1">
      <c r="A24" s="29"/>
      <c r="B24" s="92">
        <f t="shared" si="2"/>
        <v>15</v>
      </c>
      <c r="C24" s="165"/>
      <c r="D24" s="156"/>
      <c r="E24" s="166"/>
      <c r="F24" s="158"/>
      <c r="G24" s="158"/>
      <c r="H24" s="158"/>
      <c r="I24" s="158"/>
      <c r="J24" s="158"/>
      <c r="K24" s="158"/>
      <c r="L24" s="157"/>
      <c r="M24" s="159"/>
      <c r="N24" s="160"/>
      <c r="O24" s="161"/>
      <c r="P24" s="162"/>
      <c r="Q24" s="163"/>
      <c r="R24" s="164"/>
      <c r="S24" s="117"/>
    </row>
    <row r="25" ht="15.75" customHeight="1">
      <c r="A25" s="29"/>
      <c r="B25" s="92">
        <f t="shared" si="2"/>
        <v>16</v>
      </c>
      <c r="C25" s="165"/>
      <c r="D25" s="156"/>
      <c r="E25" s="166"/>
      <c r="F25" s="158"/>
      <c r="G25" s="158"/>
      <c r="H25" s="158"/>
      <c r="I25" s="158"/>
      <c r="J25" s="158"/>
      <c r="K25" s="158"/>
      <c r="L25" s="157"/>
      <c r="M25" s="159"/>
      <c r="N25" s="160"/>
      <c r="O25" s="161"/>
      <c r="P25" s="162"/>
      <c r="Q25" s="163"/>
      <c r="R25" s="164"/>
      <c r="S25" s="117"/>
    </row>
    <row r="26" ht="15.75" customHeight="1">
      <c r="A26" s="29"/>
      <c r="B26" s="92">
        <f t="shared" si="2"/>
        <v>17</v>
      </c>
      <c r="C26" s="165"/>
      <c r="D26" s="156"/>
      <c r="E26" s="166"/>
      <c r="F26" s="158"/>
      <c r="G26" s="158"/>
      <c r="H26" s="158"/>
      <c r="I26" s="158"/>
      <c r="J26" s="158"/>
      <c r="K26" s="158"/>
      <c r="L26" s="157"/>
      <c r="M26" s="159"/>
      <c r="N26" s="160"/>
      <c r="O26" s="161"/>
      <c r="P26" s="162"/>
      <c r="Q26" s="163"/>
      <c r="R26" s="164"/>
      <c r="S26" s="117"/>
    </row>
    <row r="27" ht="15.75" customHeight="1">
      <c r="A27" s="29"/>
      <c r="B27" s="92">
        <f t="shared" si="2"/>
        <v>18</v>
      </c>
      <c r="C27" s="165"/>
      <c r="D27" s="156"/>
      <c r="E27" s="166"/>
      <c r="F27" s="158"/>
      <c r="G27" s="158"/>
      <c r="H27" s="158"/>
      <c r="I27" s="158"/>
      <c r="J27" s="158"/>
      <c r="K27" s="158"/>
      <c r="L27" s="157"/>
      <c r="M27" s="159"/>
      <c r="N27" s="160"/>
      <c r="O27" s="161"/>
      <c r="P27" s="162"/>
      <c r="Q27" s="163"/>
      <c r="R27" s="164"/>
      <c r="S27" s="117"/>
    </row>
    <row r="28" ht="15.75" customHeight="1">
      <c r="A28" s="29"/>
      <c r="B28" s="92">
        <f t="shared" si="2"/>
        <v>19</v>
      </c>
      <c r="C28" s="165"/>
      <c r="D28" s="156"/>
      <c r="E28" s="166"/>
      <c r="F28" s="158"/>
      <c r="G28" s="158"/>
      <c r="H28" s="158"/>
      <c r="I28" s="158"/>
      <c r="J28" s="158"/>
      <c r="K28" s="158"/>
      <c r="L28" s="157"/>
      <c r="M28" s="159"/>
      <c r="N28" s="160"/>
      <c r="O28" s="161"/>
      <c r="P28" s="162"/>
      <c r="Q28" s="163"/>
      <c r="R28" s="164"/>
      <c r="S28" s="117"/>
    </row>
    <row r="29" ht="15.75" customHeight="1">
      <c r="A29" s="29"/>
      <c r="B29" s="92">
        <f t="shared" si="2"/>
        <v>20</v>
      </c>
      <c r="C29" s="165"/>
      <c r="D29" s="156"/>
      <c r="E29" s="166"/>
      <c r="F29" s="158"/>
      <c r="G29" s="158"/>
      <c r="H29" s="158"/>
      <c r="I29" s="158"/>
      <c r="J29" s="158"/>
      <c r="K29" s="158"/>
      <c r="L29" s="157"/>
      <c r="M29" s="159"/>
      <c r="N29" s="160"/>
      <c r="O29" s="161"/>
      <c r="P29" s="162"/>
      <c r="Q29" s="163"/>
      <c r="R29" s="164"/>
      <c r="S29" s="117"/>
    </row>
    <row r="30" ht="15.75" customHeight="1">
      <c r="A30" s="29"/>
      <c r="B30" s="92">
        <f t="shared" si="2"/>
        <v>21</v>
      </c>
      <c r="C30" s="165"/>
      <c r="D30" s="156"/>
      <c r="E30" s="166"/>
      <c r="F30" s="158"/>
      <c r="G30" s="158"/>
      <c r="H30" s="158"/>
      <c r="I30" s="158"/>
      <c r="J30" s="158"/>
      <c r="K30" s="158"/>
      <c r="L30" s="157"/>
      <c r="M30" s="159"/>
      <c r="N30" s="160"/>
      <c r="O30" s="161"/>
      <c r="P30" s="162"/>
      <c r="Q30" s="163"/>
      <c r="R30" s="164"/>
      <c r="S30" s="117"/>
    </row>
    <row r="31" ht="15.75" customHeight="1">
      <c r="A31" s="29"/>
      <c r="B31" s="92">
        <f t="shared" si="2"/>
        <v>22</v>
      </c>
      <c r="C31" s="165"/>
      <c r="D31" s="156"/>
      <c r="E31" s="166"/>
      <c r="F31" s="158"/>
      <c r="G31" s="158"/>
      <c r="H31" s="158"/>
      <c r="I31" s="158"/>
      <c r="J31" s="158"/>
      <c r="K31" s="158"/>
      <c r="L31" s="157"/>
      <c r="M31" s="159"/>
      <c r="N31" s="160"/>
      <c r="O31" s="161"/>
      <c r="P31" s="162"/>
      <c r="Q31" s="163"/>
      <c r="R31" s="164"/>
      <c r="S31" s="117"/>
    </row>
    <row r="32" ht="15.75" customHeight="1">
      <c r="A32" s="29"/>
      <c r="B32" s="92">
        <f t="shared" si="2"/>
        <v>23</v>
      </c>
      <c r="C32" s="165"/>
      <c r="D32" s="156"/>
      <c r="E32" s="166"/>
      <c r="F32" s="158"/>
      <c r="G32" s="158"/>
      <c r="H32" s="158"/>
      <c r="I32" s="158"/>
      <c r="J32" s="158"/>
      <c r="K32" s="158"/>
      <c r="L32" s="157"/>
      <c r="M32" s="159"/>
      <c r="N32" s="160"/>
      <c r="O32" s="161"/>
      <c r="P32" s="162"/>
      <c r="Q32" s="163"/>
      <c r="R32" s="164"/>
      <c r="S32" s="117"/>
    </row>
    <row r="33" ht="15.75" customHeight="1">
      <c r="A33" s="29"/>
      <c r="B33" s="92">
        <f t="shared" si="2"/>
        <v>24</v>
      </c>
      <c r="C33" s="165"/>
      <c r="D33" s="156"/>
      <c r="E33" s="166"/>
      <c r="F33" s="158"/>
      <c r="G33" s="158"/>
      <c r="H33" s="158"/>
      <c r="I33" s="158"/>
      <c r="J33" s="158"/>
      <c r="K33" s="158"/>
      <c r="L33" s="157"/>
      <c r="M33" s="159"/>
      <c r="N33" s="160"/>
      <c r="O33" s="161"/>
      <c r="P33" s="162"/>
      <c r="Q33" s="163"/>
      <c r="R33" s="164"/>
      <c r="S33" s="117"/>
    </row>
    <row r="34" ht="15.75" customHeight="1">
      <c r="A34" s="29"/>
      <c r="B34" s="92">
        <f t="shared" si="2"/>
        <v>25</v>
      </c>
      <c r="C34" s="165"/>
      <c r="D34" s="156"/>
      <c r="E34" s="166"/>
      <c r="F34" s="158"/>
      <c r="G34" s="158"/>
      <c r="H34" s="158"/>
      <c r="I34" s="158"/>
      <c r="J34" s="158"/>
      <c r="K34" s="158"/>
      <c r="L34" s="157"/>
      <c r="M34" s="159"/>
      <c r="N34" s="160"/>
      <c r="O34" s="161"/>
      <c r="P34" s="162"/>
      <c r="Q34" s="163"/>
      <c r="R34" s="164"/>
      <c r="S34" s="117"/>
    </row>
    <row r="35" ht="15.75" customHeight="1">
      <c r="A35" s="29"/>
      <c r="B35" s="92">
        <f t="shared" si="2"/>
        <v>26</v>
      </c>
      <c r="C35" s="165"/>
      <c r="D35" s="156"/>
      <c r="E35" s="166"/>
      <c r="F35" s="158"/>
      <c r="G35" s="158"/>
      <c r="H35" s="158"/>
      <c r="I35" s="158"/>
      <c r="J35" s="158"/>
      <c r="K35" s="158"/>
      <c r="L35" s="157"/>
      <c r="M35" s="159"/>
      <c r="N35" s="160"/>
      <c r="O35" s="161"/>
      <c r="P35" s="162"/>
      <c r="Q35" s="163"/>
      <c r="R35" s="164"/>
      <c r="S35" s="117"/>
    </row>
    <row r="36" ht="15.75" customHeight="1">
      <c r="A36" s="29"/>
      <c r="B36" s="92">
        <f t="shared" si="2"/>
        <v>27</v>
      </c>
      <c r="C36" s="165"/>
      <c r="D36" s="156"/>
      <c r="E36" s="166"/>
      <c r="F36" s="158"/>
      <c r="G36" s="158"/>
      <c r="H36" s="158"/>
      <c r="I36" s="158"/>
      <c r="J36" s="158"/>
      <c r="K36" s="158"/>
      <c r="L36" s="157"/>
      <c r="M36" s="159"/>
      <c r="N36" s="160"/>
      <c r="O36" s="161"/>
      <c r="P36" s="162"/>
      <c r="Q36" s="163"/>
      <c r="R36" s="164"/>
      <c r="S36" s="117"/>
    </row>
    <row r="37" ht="15.75" customHeight="1">
      <c r="A37" s="29"/>
      <c r="B37" s="92">
        <f t="shared" si="2"/>
        <v>28</v>
      </c>
      <c r="C37" s="165"/>
      <c r="D37" s="156"/>
      <c r="E37" s="166"/>
      <c r="F37" s="158"/>
      <c r="G37" s="158"/>
      <c r="H37" s="158"/>
      <c r="I37" s="158"/>
      <c r="J37" s="158"/>
      <c r="K37" s="158"/>
      <c r="L37" s="157"/>
      <c r="M37" s="159"/>
      <c r="N37" s="160"/>
      <c r="O37" s="161"/>
      <c r="P37" s="162"/>
      <c r="Q37" s="163"/>
      <c r="R37" s="164"/>
      <c r="S37" s="117"/>
    </row>
    <row r="38" ht="15.75" customHeight="1">
      <c r="A38" s="29"/>
      <c r="B38" s="92">
        <f t="shared" si="2"/>
        <v>29</v>
      </c>
      <c r="C38" s="165"/>
      <c r="D38" s="156"/>
      <c r="E38" s="166"/>
      <c r="F38" s="158"/>
      <c r="G38" s="158"/>
      <c r="H38" s="158"/>
      <c r="I38" s="158"/>
      <c r="J38" s="158"/>
      <c r="K38" s="158"/>
      <c r="L38" s="157"/>
      <c r="M38" s="159"/>
      <c r="N38" s="160"/>
      <c r="O38" s="161"/>
      <c r="P38" s="162"/>
      <c r="Q38" s="163"/>
      <c r="R38" s="164"/>
      <c r="S38" s="117"/>
    </row>
    <row r="39" ht="15.75" customHeight="1">
      <c r="A39" s="29"/>
      <c r="B39" s="92">
        <f t="shared" si="2"/>
        <v>30</v>
      </c>
      <c r="C39" s="165"/>
      <c r="D39" s="156"/>
      <c r="E39" s="166"/>
      <c r="F39" s="158"/>
      <c r="G39" s="158"/>
      <c r="H39" s="158"/>
      <c r="I39" s="158"/>
      <c r="J39" s="158"/>
      <c r="K39" s="158"/>
      <c r="L39" s="157"/>
      <c r="M39" s="159"/>
      <c r="N39" s="160"/>
      <c r="O39" s="161"/>
      <c r="P39" s="162"/>
      <c r="Q39" s="163"/>
      <c r="R39" s="164"/>
      <c r="S39" s="117"/>
    </row>
    <row r="40" ht="15.75" customHeight="1">
      <c r="A40" s="29"/>
      <c r="B40" s="92">
        <f t="shared" si="2"/>
        <v>31</v>
      </c>
      <c r="C40" s="165"/>
      <c r="D40" s="156"/>
      <c r="E40" s="166"/>
      <c r="F40" s="158"/>
      <c r="G40" s="158"/>
      <c r="H40" s="158"/>
      <c r="I40" s="158"/>
      <c r="J40" s="158"/>
      <c r="K40" s="158"/>
      <c r="L40" s="157"/>
      <c r="M40" s="159"/>
      <c r="N40" s="160"/>
      <c r="O40" s="161"/>
      <c r="P40" s="162"/>
      <c r="Q40" s="163"/>
      <c r="R40" s="164"/>
      <c r="S40" s="117"/>
    </row>
    <row r="41" ht="15.75" customHeight="1">
      <c r="A41" s="29"/>
      <c r="B41" s="92">
        <f t="shared" si="2"/>
        <v>32</v>
      </c>
      <c r="C41" s="165"/>
      <c r="D41" s="156"/>
      <c r="E41" s="166"/>
      <c r="F41" s="158"/>
      <c r="G41" s="158"/>
      <c r="H41" s="158"/>
      <c r="I41" s="158"/>
      <c r="J41" s="158"/>
      <c r="K41" s="158"/>
      <c r="L41" s="157"/>
      <c r="M41" s="159"/>
      <c r="N41" s="160"/>
      <c r="O41" s="161"/>
      <c r="P41" s="162"/>
      <c r="Q41" s="163"/>
      <c r="R41" s="164"/>
      <c r="S41" s="117"/>
    </row>
    <row r="42" ht="15.75" customHeight="1">
      <c r="A42" s="29"/>
      <c r="B42" s="92">
        <f t="shared" si="2"/>
        <v>33</v>
      </c>
      <c r="C42" s="165"/>
      <c r="D42" s="156"/>
      <c r="E42" s="166"/>
      <c r="F42" s="158"/>
      <c r="G42" s="158"/>
      <c r="H42" s="158"/>
      <c r="I42" s="158"/>
      <c r="J42" s="158"/>
      <c r="K42" s="158"/>
      <c r="L42" s="157"/>
      <c r="M42" s="159"/>
      <c r="N42" s="160"/>
      <c r="O42" s="161"/>
      <c r="P42" s="162"/>
      <c r="Q42" s="163"/>
      <c r="R42" s="164"/>
      <c r="S42" s="117"/>
    </row>
    <row r="43" ht="15.75" customHeight="1">
      <c r="A43" s="29"/>
      <c r="B43" s="92">
        <f t="shared" si="2"/>
        <v>34</v>
      </c>
      <c r="C43" s="165"/>
      <c r="D43" s="156"/>
      <c r="E43" s="166"/>
      <c r="F43" s="158"/>
      <c r="G43" s="158"/>
      <c r="H43" s="158"/>
      <c r="I43" s="158"/>
      <c r="J43" s="158"/>
      <c r="K43" s="158"/>
      <c r="L43" s="167"/>
      <c r="M43" s="159"/>
      <c r="N43" s="160"/>
      <c r="O43" s="161"/>
      <c r="P43" s="162"/>
      <c r="Q43" s="163"/>
      <c r="R43" s="164"/>
      <c r="S43" s="117"/>
    </row>
    <row r="44" ht="15.75" customHeight="1">
      <c r="A44" s="29"/>
      <c r="B44" s="92">
        <f t="shared" si="2"/>
        <v>35</v>
      </c>
      <c r="C44" s="165"/>
      <c r="D44" s="156"/>
      <c r="E44" s="166"/>
      <c r="F44" s="158"/>
      <c r="G44" s="158"/>
      <c r="H44" s="158"/>
      <c r="I44" s="158"/>
      <c r="J44" s="158"/>
      <c r="K44" s="158"/>
      <c r="L44" s="167"/>
      <c r="M44" s="159"/>
      <c r="N44" s="160"/>
      <c r="O44" s="161"/>
      <c r="P44" s="162"/>
      <c r="Q44" s="163"/>
      <c r="R44" s="164"/>
      <c r="S44" s="117"/>
    </row>
    <row r="45" ht="15.75" customHeight="1">
      <c r="A45" s="29"/>
      <c r="B45" s="92">
        <f t="shared" si="2"/>
        <v>36</v>
      </c>
      <c r="C45" s="165"/>
      <c r="D45" s="156"/>
      <c r="E45" s="166"/>
      <c r="F45" s="158"/>
      <c r="G45" s="158"/>
      <c r="H45" s="158"/>
      <c r="I45" s="158"/>
      <c r="J45" s="158"/>
      <c r="K45" s="158"/>
      <c r="L45" s="157"/>
      <c r="M45" s="159"/>
      <c r="N45" s="160"/>
      <c r="O45" s="161"/>
      <c r="P45" s="162"/>
      <c r="Q45" s="163"/>
      <c r="R45" s="164"/>
      <c r="S45" s="117"/>
    </row>
    <row r="46" ht="15.75" customHeight="1">
      <c r="A46" s="29"/>
      <c r="B46" s="92">
        <f t="shared" si="2"/>
        <v>37</v>
      </c>
      <c r="C46" s="165"/>
      <c r="D46" s="156"/>
      <c r="E46" s="166"/>
      <c r="F46" s="158"/>
      <c r="G46" s="158"/>
      <c r="H46" s="158"/>
      <c r="I46" s="158"/>
      <c r="J46" s="158"/>
      <c r="K46" s="158"/>
      <c r="L46" s="157"/>
      <c r="M46" s="159"/>
      <c r="N46" s="160"/>
      <c r="O46" s="161"/>
      <c r="P46" s="162"/>
      <c r="Q46" s="163"/>
      <c r="R46" s="164"/>
      <c r="S46" s="117"/>
    </row>
    <row r="47" ht="15.75" customHeight="1">
      <c r="A47" s="29"/>
      <c r="B47" s="92">
        <f t="shared" si="2"/>
        <v>38</v>
      </c>
      <c r="C47" s="165"/>
      <c r="D47" s="156"/>
      <c r="E47" s="166"/>
      <c r="F47" s="158"/>
      <c r="G47" s="158"/>
      <c r="H47" s="158"/>
      <c r="I47" s="158"/>
      <c r="J47" s="158"/>
      <c r="K47" s="158"/>
      <c r="L47" s="157"/>
      <c r="M47" s="159"/>
      <c r="N47" s="160"/>
      <c r="O47" s="161"/>
      <c r="P47" s="162"/>
      <c r="Q47" s="163"/>
      <c r="R47" s="164"/>
      <c r="S47" s="117"/>
    </row>
    <row r="48" ht="15.75" customHeight="1">
      <c r="A48" s="29"/>
      <c r="B48" s="92">
        <f t="shared" si="2"/>
        <v>39</v>
      </c>
      <c r="C48" s="165"/>
      <c r="D48" s="156"/>
      <c r="E48" s="166"/>
      <c r="F48" s="158"/>
      <c r="G48" s="158"/>
      <c r="H48" s="158"/>
      <c r="I48" s="158"/>
      <c r="J48" s="158"/>
      <c r="K48" s="158"/>
      <c r="L48" s="157"/>
      <c r="M48" s="159"/>
      <c r="N48" s="160"/>
      <c r="O48" s="161"/>
      <c r="P48" s="162"/>
      <c r="Q48" s="163"/>
      <c r="R48" s="164"/>
      <c r="S48" s="117"/>
    </row>
    <row r="49" ht="15.75" customHeight="1">
      <c r="A49" s="29"/>
      <c r="B49" s="92">
        <f t="shared" si="2"/>
        <v>40</v>
      </c>
      <c r="C49" s="165"/>
      <c r="D49" s="156"/>
      <c r="E49" s="166"/>
      <c r="F49" s="158"/>
      <c r="G49" s="158"/>
      <c r="H49" s="158"/>
      <c r="I49" s="158"/>
      <c r="J49" s="158"/>
      <c r="K49" s="158"/>
      <c r="L49" s="157"/>
      <c r="M49" s="159"/>
      <c r="N49" s="160"/>
      <c r="O49" s="161"/>
      <c r="P49" s="162"/>
      <c r="Q49" s="163"/>
      <c r="R49" s="164"/>
      <c r="S49" s="117"/>
    </row>
    <row r="50" ht="15.75" customHeight="1">
      <c r="A50" s="29"/>
      <c r="B50" s="92">
        <f t="shared" si="2"/>
        <v>41</v>
      </c>
      <c r="C50" s="165"/>
      <c r="D50" s="156"/>
      <c r="E50" s="166"/>
      <c r="F50" s="158"/>
      <c r="G50" s="158"/>
      <c r="H50" s="158"/>
      <c r="I50" s="158"/>
      <c r="J50" s="158"/>
      <c r="K50" s="158"/>
      <c r="L50" s="157"/>
      <c r="M50" s="159"/>
      <c r="N50" s="160"/>
      <c r="O50" s="161"/>
      <c r="P50" s="162"/>
      <c r="Q50" s="163"/>
      <c r="R50" s="164"/>
      <c r="S50" s="117"/>
    </row>
    <row r="51" ht="15.75" customHeight="1">
      <c r="A51" s="29"/>
      <c r="B51" s="92">
        <f t="shared" si="2"/>
        <v>42</v>
      </c>
      <c r="C51" s="165"/>
      <c r="D51" s="156"/>
      <c r="E51" s="166"/>
      <c r="F51" s="158"/>
      <c r="G51" s="158"/>
      <c r="H51" s="158"/>
      <c r="I51" s="158"/>
      <c r="J51" s="158"/>
      <c r="K51" s="158"/>
      <c r="L51" s="157"/>
      <c r="M51" s="159"/>
      <c r="N51" s="160"/>
      <c r="O51" s="161"/>
      <c r="P51" s="162"/>
      <c r="Q51" s="163"/>
      <c r="R51" s="164"/>
      <c r="S51" s="117"/>
    </row>
    <row r="52" ht="15.75" customHeight="1">
      <c r="A52" s="29"/>
      <c r="B52" s="92">
        <f t="shared" si="2"/>
        <v>43</v>
      </c>
      <c r="C52" s="165"/>
      <c r="D52" s="156"/>
      <c r="E52" s="166"/>
      <c r="F52" s="158"/>
      <c r="G52" s="158"/>
      <c r="H52" s="158"/>
      <c r="I52" s="158"/>
      <c r="J52" s="158"/>
      <c r="K52" s="158"/>
      <c r="L52" s="157"/>
      <c r="M52" s="159"/>
      <c r="N52" s="160"/>
      <c r="O52" s="161"/>
      <c r="P52" s="162"/>
      <c r="Q52" s="163"/>
      <c r="R52" s="164"/>
      <c r="S52" s="117"/>
    </row>
    <row r="53" ht="15.75" customHeight="1">
      <c r="A53" s="29"/>
      <c r="B53" s="92">
        <f t="shared" si="2"/>
        <v>44</v>
      </c>
      <c r="C53" s="165"/>
      <c r="D53" s="156"/>
      <c r="E53" s="166"/>
      <c r="F53" s="158"/>
      <c r="G53" s="158"/>
      <c r="H53" s="158"/>
      <c r="I53" s="158"/>
      <c r="J53" s="158"/>
      <c r="K53" s="158"/>
      <c r="L53" s="157"/>
      <c r="M53" s="159"/>
      <c r="N53" s="160"/>
      <c r="O53" s="161"/>
      <c r="P53" s="162"/>
      <c r="Q53" s="163"/>
      <c r="R53" s="164"/>
      <c r="S53" s="117"/>
    </row>
    <row r="54" ht="15.75" customHeight="1">
      <c r="A54" s="29"/>
      <c r="B54" s="92">
        <f t="shared" si="2"/>
        <v>45</v>
      </c>
      <c r="C54" s="165"/>
      <c r="D54" s="156"/>
      <c r="E54" s="166"/>
      <c r="F54" s="158"/>
      <c r="G54" s="158"/>
      <c r="H54" s="158"/>
      <c r="I54" s="158"/>
      <c r="J54" s="158"/>
      <c r="K54" s="158"/>
      <c r="L54" s="157"/>
      <c r="M54" s="159"/>
      <c r="N54" s="160"/>
      <c r="O54" s="161"/>
      <c r="P54" s="162"/>
      <c r="Q54" s="163"/>
      <c r="R54" s="164"/>
      <c r="S54" s="117"/>
    </row>
    <row r="55" ht="15.75" customHeight="1">
      <c r="A55" s="29"/>
      <c r="B55" s="92">
        <f t="shared" si="2"/>
        <v>46</v>
      </c>
      <c r="C55" s="165"/>
      <c r="D55" s="156"/>
      <c r="E55" s="166"/>
      <c r="F55" s="158"/>
      <c r="G55" s="158"/>
      <c r="H55" s="158"/>
      <c r="I55" s="158"/>
      <c r="J55" s="158"/>
      <c r="K55" s="158"/>
      <c r="L55" s="157"/>
      <c r="M55" s="159"/>
      <c r="N55" s="160"/>
      <c r="O55" s="161"/>
      <c r="P55" s="162"/>
      <c r="Q55" s="163"/>
      <c r="R55" s="164"/>
      <c r="S55" s="117"/>
    </row>
    <row r="56" ht="15.75" customHeight="1">
      <c r="A56" s="29"/>
      <c r="B56" s="92">
        <f t="shared" si="2"/>
        <v>47</v>
      </c>
      <c r="C56" s="165"/>
      <c r="D56" s="156"/>
      <c r="E56" s="166"/>
      <c r="F56" s="158"/>
      <c r="G56" s="158"/>
      <c r="H56" s="158"/>
      <c r="I56" s="158"/>
      <c r="J56" s="158"/>
      <c r="K56" s="158"/>
      <c r="L56" s="157"/>
      <c r="M56" s="159"/>
      <c r="N56" s="160"/>
      <c r="O56" s="161"/>
      <c r="P56" s="162"/>
      <c r="Q56" s="163"/>
      <c r="R56" s="164"/>
      <c r="S56" s="117"/>
    </row>
    <row r="57" ht="15.75" customHeight="1">
      <c r="A57" s="29"/>
      <c r="B57" s="92">
        <f t="shared" si="2"/>
        <v>48</v>
      </c>
      <c r="C57" s="165"/>
      <c r="D57" s="156"/>
      <c r="E57" s="166"/>
      <c r="F57" s="158"/>
      <c r="G57" s="158"/>
      <c r="H57" s="158"/>
      <c r="I57" s="158"/>
      <c r="J57" s="158"/>
      <c r="K57" s="158"/>
      <c r="L57" s="157"/>
      <c r="M57" s="159"/>
      <c r="N57" s="160"/>
      <c r="O57" s="161"/>
      <c r="P57" s="162"/>
      <c r="Q57" s="163"/>
      <c r="R57" s="164"/>
      <c r="S57" s="117"/>
    </row>
    <row r="58" ht="15.75" customHeight="1">
      <c r="A58" s="29"/>
      <c r="B58" s="92">
        <f t="shared" si="2"/>
        <v>49</v>
      </c>
      <c r="C58" s="165"/>
      <c r="D58" s="156"/>
      <c r="E58" s="166"/>
      <c r="F58" s="158"/>
      <c r="G58" s="158"/>
      <c r="H58" s="158"/>
      <c r="I58" s="158"/>
      <c r="J58" s="158"/>
      <c r="K58" s="158"/>
      <c r="L58" s="157"/>
      <c r="M58" s="159"/>
      <c r="N58" s="160"/>
      <c r="O58" s="161"/>
      <c r="P58" s="162"/>
      <c r="Q58" s="163"/>
      <c r="R58" s="164"/>
      <c r="S58" s="117"/>
    </row>
    <row r="59" ht="15.75" customHeight="1">
      <c r="A59" s="29"/>
      <c r="B59" s="92">
        <f t="shared" si="2"/>
        <v>50</v>
      </c>
      <c r="C59" s="165"/>
      <c r="D59" s="156"/>
      <c r="E59" s="166"/>
      <c r="F59" s="158"/>
      <c r="G59" s="158"/>
      <c r="H59" s="158"/>
      <c r="I59" s="158"/>
      <c r="J59" s="158"/>
      <c r="K59" s="158"/>
      <c r="L59" s="157"/>
      <c r="M59" s="159"/>
      <c r="N59" s="160"/>
      <c r="O59" s="161"/>
      <c r="P59" s="162"/>
      <c r="Q59" s="163"/>
      <c r="R59" s="164"/>
      <c r="S59" s="117"/>
    </row>
    <row r="60" ht="15.75" customHeight="1">
      <c r="A60" s="29"/>
      <c r="B60" s="92">
        <f t="shared" si="2"/>
        <v>51</v>
      </c>
      <c r="C60" s="165"/>
      <c r="D60" s="156"/>
      <c r="E60" s="166"/>
      <c r="F60" s="158"/>
      <c r="G60" s="158"/>
      <c r="H60" s="158"/>
      <c r="I60" s="158"/>
      <c r="J60" s="158"/>
      <c r="K60" s="158"/>
      <c r="L60" s="157"/>
      <c r="M60" s="159"/>
      <c r="N60" s="160"/>
      <c r="O60" s="161"/>
      <c r="P60" s="162"/>
      <c r="Q60" s="163"/>
      <c r="R60" s="164"/>
      <c r="S60" s="117"/>
    </row>
    <row r="61" ht="15.75" customHeight="1">
      <c r="A61" s="29"/>
      <c r="B61" s="92">
        <f t="shared" si="2"/>
        <v>52</v>
      </c>
      <c r="C61" s="165"/>
      <c r="D61" s="156"/>
      <c r="E61" s="166"/>
      <c r="F61" s="158"/>
      <c r="G61" s="158"/>
      <c r="H61" s="158"/>
      <c r="I61" s="158"/>
      <c r="J61" s="158"/>
      <c r="K61" s="158"/>
      <c r="L61" s="157"/>
      <c r="M61" s="159"/>
      <c r="N61" s="160"/>
      <c r="O61" s="161"/>
      <c r="P61" s="162"/>
      <c r="Q61" s="163"/>
      <c r="R61" s="164"/>
      <c r="S61" s="117"/>
    </row>
    <row r="62" ht="15.75" customHeight="1">
      <c r="A62" s="29"/>
      <c r="B62" s="92">
        <f t="shared" si="2"/>
        <v>53</v>
      </c>
      <c r="C62" s="165"/>
      <c r="D62" s="156"/>
      <c r="E62" s="166"/>
      <c r="F62" s="158"/>
      <c r="G62" s="158"/>
      <c r="H62" s="158"/>
      <c r="I62" s="158"/>
      <c r="J62" s="158"/>
      <c r="K62" s="158"/>
      <c r="L62" s="157"/>
      <c r="M62" s="159"/>
      <c r="N62" s="160"/>
      <c r="O62" s="161"/>
      <c r="P62" s="162"/>
      <c r="Q62" s="163"/>
      <c r="R62" s="164"/>
      <c r="S62" s="117"/>
    </row>
    <row r="63" ht="15.75" customHeight="1">
      <c r="A63" s="29"/>
      <c r="B63" s="92">
        <f t="shared" si="2"/>
        <v>54</v>
      </c>
      <c r="C63" s="165"/>
      <c r="D63" s="156"/>
      <c r="E63" s="166"/>
      <c r="F63" s="158"/>
      <c r="G63" s="158"/>
      <c r="H63" s="158"/>
      <c r="I63" s="158"/>
      <c r="J63" s="158"/>
      <c r="K63" s="158"/>
      <c r="L63" s="157"/>
      <c r="M63" s="159"/>
      <c r="N63" s="160"/>
      <c r="O63" s="161"/>
      <c r="P63" s="162"/>
      <c r="Q63" s="163"/>
      <c r="R63" s="164"/>
      <c r="S63" s="117"/>
    </row>
    <row r="64" ht="15.75" customHeight="1">
      <c r="A64" s="29"/>
      <c r="B64" s="92">
        <f t="shared" si="2"/>
        <v>55</v>
      </c>
      <c r="C64" s="165"/>
      <c r="D64" s="156"/>
      <c r="E64" s="166"/>
      <c r="F64" s="158"/>
      <c r="G64" s="158"/>
      <c r="H64" s="158"/>
      <c r="I64" s="158"/>
      <c r="J64" s="158"/>
      <c r="K64" s="158"/>
      <c r="L64" s="157"/>
      <c r="M64" s="159"/>
      <c r="N64" s="160"/>
      <c r="O64" s="161"/>
      <c r="P64" s="162"/>
      <c r="Q64" s="163"/>
      <c r="R64" s="164"/>
      <c r="S64" s="117"/>
    </row>
    <row r="65" ht="15.75" customHeight="1">
      <c r="A65" s="29"/>
      <c r="B65" s="92">
        <f t="shared" si="2"/>
        <v>56</v>
      </c>
      <c r="C65" s="165"/>
      <c r="D65" s="156"/>
      <c r="E65" s="166"/>
      <c r="F65" s="158"/>
      <c r="G65" s="158"/>
      <c r="H65" s="158"/>
      <c r="I65" s="158"/>
      <c r="J65" s="158"/>
      <c r="K65" s="158"/>
      <c r="L65" s="157"/>
      <c r="M65" s="159"/>
      <c r="N65" s="160"/>
      <c r="O65" s="161"/>
      <c r="P65" s="162"/>
      <c r="Q65" s="163"/>
      <c r="R65" s="164"/>
      <c r="S65" s="117"/>
    </row>
    <row r="66" ht="15.75" customHeight="1">
      <c r="A66" s="29"/>
      <c r="B66" s="92">
        <f t="shared" si="2"/>
        <v>57</v>
      </c>
      <c r="C66" s="165"/>
      <c r="D66" s="156"/>
      <c r="E66" s="166"/>
      <c r="F66" s="158"/>
      <c r="G66" s="158"/>
      <c r="H66" s="158"/>
      <c r="I66" s="158"/>
      <c r="J66" s="158"/>
      <c r="K66" s="158"/>
      <c r="L66" s="157"/>
      <c r="M66" s="159"/>
      <c r="N66" s="160"/>
      <c r="O66" s="161"/>
      <c r="P66" s="162"/>
      <c r="Q66" s="163"/>
      <c r="R66" s="164"/>
      <c r="S66" s="117"/>
    </row>
    <row r="67" ht="15.75" customHeight="1">
      <c r="A67" s="29"/>
      <c r="B67" s="92">
        <f t="shared" si="2"/>
        <v>58</v>
      </c>
      <c r="C67" s="165"/>
      <c r="D67" s="156"/>
      <c r="E67" s="166"/>
      <c r="F67" s="158"/>
      <c r="G67" s="158"/>
      <c r="H67" s="158"/>
      <c r="I67" s="158"/>
      <c r="J67" s="158"/>
      <c r="K67" s="158"/>
      <c r="L67" s="157"/>
      <c r="M67" s="159"/>
      <c r="N67" s="160"/>
      <c r="O67" s="161"/>
      <c r="P67" s="162"/>
      <c r="Q67" s="163"/>
      <c r="R67" s="164"/>
      <c r="S67" s="117"/>
    </row>
    <row r="68" ht="15.75" customHeight="1">
      <c r="A68" s="29"/>
      <c r="B68" s="92">
        <f t="shared" si="2"/>
        <v>59</v>
      </c>
      <c r="C68" s="165"/>
      <c r="D68" s="156"/>
      <c r="E68" s="166"/>
      <c r="F68" s="158"/>
      <c r="G68" s="158"/>
      <c r="H68" s="158"/>
      <c r="I68" s="158"/>
      <c r="J68" s="158"/>
      <c r="K68" s="158"/>
      <c r="L68" s="157"/>
      <c r="M68" s="159"/>
      <c r="N68" s="160"/>
      <c r="O68" s="161"/>
      <c r="P68" s="162"/>
      <c r="Q68" s="163"/>
      <c r="R68" s="164"/>
      <c r="S68" s="117"/>
    </row>
    <row r="69" ht="15.75" customHeight="1">
      <c r="A69" s="29"/>
      <c r="B69" s="92">
        <f t="shared" si="2"/>
        <v>60</v>
      </c>
      <c r="C69" s="165"/>
      <c r="D69" s="156"/>
      <c r="E69" s="166"/>
      <c r="F69" s="158"/>
      <c r="G69" s="158"/>
      <c r="H69" s="158"/>
      <c r="I69" s="158"/>
      <c r="J69" s="158"/>
      <c r="K69" s="158"/>
      <c r="L69" s="157"/>
      <c r="M69" s="159"/>
      <c r="N69" s="160"/>
      <c r="O69" s="161"/>
      <c r="P69" s="162"/>
      <c r="Q69" s="163"/>
      <c r="R69" s="164"/>
      <c r="S69" s="117"/>
    </row>
    <row r="70" ht="15.75" customHeight="1">
      <c r="A70" s="29"/>
      <c r="B70" s="92">
        <f t="shared" si="2"/>
        <v>61</v>
      </c>
      <c r="C70" s="165"/>
      <c r="D70" s="156"/>
      <c r="E70" s="166"/>
      <c r="F70" s="158"/>
      <c r="G70" s="158"/>
      <c r="H70" s="158"/>
      <c r="I70" s="158"/>
      <c r="J70" s="158"/>
      <c r="K70" s="158"/>
      <c r="L70" s="157"/>
      <c r="M70" s="159"/>
      <c r="N70" s="160"/>
      <c r="O70" s="161"/>
      <c r="P70" s="162"/>
      <c r="Q70" s="163"/>
      <c r="R70" s="164"/>
      <c r="S70" s="117"/>
    </row>
    <row r="71" ht="15.75" customHeight="1">
      <c r="A71" s="29"/>
      <c r="B71" s="92">
        <f t="shared" si="2"/>
        <v>62</v>
      </c>
      <c r="C71" s="165"/>
      <c r="D71" s="156"/>
      <c r="E71" s="166"/>
      <c r="F71" s="158"/>
      <c r="G71" s="158"/>
      <c r="H71" s="158"/>
      <c r="I71" s="158"/>
      <c r="J71" s="158"/>
      <c r="K71" s="158"/>
      <c r="L71" s="157"/>
      <c r="M71" s="159"/>
      <c r="N71" s="160"/>
      <c r="O71" s="161"/>
      <c r="P71" s="162"/>
      <c r="Q71" s="163"/>
      <c r="R71" s="164"/>
      <c r="S71" s="117"/>
    </row>
    <row r="72" ht="15.75" customHeight="1">
      <c r="A72" s="29"/>
      <c r="B72" s="92">
        <f t="shared" si="2"/>
        <v>63</v>
      </c>
      <c r="C72" s="165"/>
      <c r="D72" s="156"/>
      <c r="E72" s="166"/>
      <c r="F72" s="158"/>
      <c r="G72" s="158"/>
      <c r="H72" s="158"/>
      <c r="I72" s="158"/>
      <c r="J72" s="158"/>
      <c r="K72" s="158"/>
      <c r="L72" s="157"/>
      <c r="M72" s="159"/>
      <c r="N72" s="160"/>
      <c r="O72" s="161"/>
      <c r="P72" s="162"/>
      <c r="Q72" s="163"/>
      <c r="R72" s="164"/>
      <c r="S72" s="117"/>
    </row>
    <row r="73" ht="15.75" customHeight="1">
      <c r="A73" s="29"/>
      <c r="B73" s="92">
        <f t="shared" si="2"/>
        <v>64</v>
      </c>
      <c r="C73" s="165"/>
      <c r="D73" s="156"/>
      <c r="E73" s="166"/>
      <c r="F73" s="158"/>
      <c r="G73" s="158"/>
      <c r="H73" s="158"/>
      <c r="I73" s="158"/>
      <c r="J73" s="158"/>
      <c r="K73" s="158"/>
      <c r="L73" s="157"/>
      <c r="M73" s="159"/>
      <c r="N73" s="160"/>
      <c r="O73" s="161"/>
      <c r="P73" s="162"/>
      <c r="Q73" s="163"/>
      <c r="R73" s="164"/>
      <c r="S73" s="117"/>
    </row>
    <row r="74" ht="15.75" customHeight="1">
      <c r="A74" s="29"/>
      <c r="B74" s="92">
        <f t="shared" si="2"/>
        <v>65</v>
      </c>
      <c r="C74" s="165"/>
      <c r="D74" s="156"/>
      <c r="E74" s="166"/>
      <c r="F74" s="158"/>
      <c r="G74" s="158"/>
      <c r="H74" s="158"/>
      <c r="I74" s="158"/>
      <c r="J74" s="158"/>
      <c r="K74" s="158"/>
      <c r="L74" s="157"/>
      <c r="M74" s="159"/>
      <c r="N74" s="160"/>
      <c r="O74" s="161"/>
      <c r="P74" s="162"/>
      <c r="Q74" s="163"/>
      <c r="R74" s="164"/>
      <c r="S74" s="117"/>
    </row>
    <row r="75" ht="15.75" customHeight="1">
      <c r="A75" s="29"/>
      <c r="B75" s="92">
        <f t="shared" si="2"/>
        <v>66</v>
      </c>
      <c r="C75" s="165"/>
      <c r="D75" s="156"/>
      <c r="E75" s="166"/>
      <c r="F75" s="158"/>
      <c r="G75" s="158"/>
      <c r="H75" s="158"/>
      <c r="I75" s="158"/>
      <c r="J75" s="158"/>
      <c r="K75" s="158"/>
      <c r="L75" s="157"/>
      <c r="M75" s="159"/>
      <c r="N75" s="160"/>
      <c r="O75" s="161"/>
      <c r="P75" s="162"/>
      <c r="Q75" s="163"/>
      <c r="R75" s="164"/>
      <c r="S75" s="117"/>
    </row>
    <row r="76" ht="15.75" customHeight="1">
      <c r="A76" s="29"/>
      <c r="B76" s="92">
        <f t="shared" si="2"/>
        <v>67</v>
      </c>
      <c r="C76" s="165"/>
      <c r="D76" s="156"/>
      <c r="E76" s="166"/>
      <c r="F76" s="158"/>
      <c r="G76" s="158"/>
      <c r="H76" s="158"/>
      <c r="I76" s="158"/>
      <c r="J76" s="158"/>
      <c r="K76" s="158"/>
      <c r="L76" s="157"/>
      <c r="M76" s="159"/>
      <c r="N76" s="160"/>
      <c r="O76" s="161"/>
      <c r="P76" s="162"/>
      <c r="Q76" s="163"/>
      <c r="R76" s="164"/>
      <c r="S76" s="117"/>
    </row>
    <row r="77" ht="15.75" customHeight="1">
      <c r="A77" s="29"/>
      <c r="B77" s="92">
        <f t="shared" si="2"/>
        <v>68</v>
      </c>
      <c r="C77" s="165"/>
      <c r="D77" s="156"/>
      <c r="E77" s="166"/>
      <c r="F77" s="158"/>
      <c r="G77" s="158"/>
      <c r="H77" s="158"/>
      <c r="I77" s="158"/>
      <c r="J77" s="158"/>
      <c r="K77" s="158"/>
      <c r="L77" s="157"/>
      <c r="M77" s="159"/>
      <c r="N77" s="160"/>
      <c r="O77" s="161"/>
      <c r="P77" s="162"/>
      <c r="Q77" s="163"/>
      <c r="R77" s="164"/>
      <c r="S77" s="117"/>
    </row>
    <row r="78" ht="15.75" customHeight="1">
      <c r="A78" s="29"/>
      <c r="B78" s="92">
        <f t="shared" si="2"/>
        <v>69</v>
      </c>
      <c r="C78" s="165"/>
      <c r="D78" s="156"/>
      <c r="E78" s="166"/>
      <c r="F78" s="158"/>
      <c r="G78" s="158"/>
      <c r="H78" s="158"/>
      <c r="I78" s="158"/>
      <c r="J78" s="158"/>
      <c r="K78" s="158"/>
      <c r="L78" s="157"/>
      <c r="M78" s="159"/>
      <c r="N78" s="160"/>
      <c r="O78" s="161"/>
      <c r="P78" s="162"/>
      <c r="Q78" s="163"/>
      <c r="R78" s="164"/>
      <c r="S78" s="117"/>
    </row>
    <row r="79" ht="15.75" customHeight="1">
      <c r="A79" s="29"/>
      <c r="B79" s="92">
        <f t="shared" si="2"/>
        <v>70</v>
      </c>
      <c r="C79" s="165"/>
      <c r="D79" s="156"/>
      <c r="E79" s="166"/>
      <c r="F79" s="158"/>
      <c r="G79" s="158"/>
      <c r="H79" s="158"/>
      <c r="I79" s="158"/>
      <c r="J79" s="158"/>
      <c r="K79" s="158"/>
      <c r="L79" s="157"/>
      <c r="M79" s="159"/>
      <c r="N79" s="160"/>
      <c r="O79" s="161"/>
      <c r="P79" s="162"/>
      <c r="Q79" s="163"/>
      <c r="R79" s="164"/>
      <c r="S79" s="117"/>
    </row>
    <row r="80" ht="15.75" customHeight="1">
      <c r="A80" s="29"/>
      <c r="B80" s="92">
        <f t="shared" si="2"/>
        <v>71</v>
      </c>
      <c r="C80" s="165"/>
      <c r="D80" s="156"/>
      <c r="E80" s="166"/>
      <c r="F80" s="158"/>
      <c r="G80" s="158"/>
      <c r="H80" s="158"/>
      <c r="I80" s="158"/>
      <c r="J80" s="158"/>
      <c r="K80" s="158"/>
      <c r="L80" s="157"/>
      <c r="M80" s="159"/>
      <c r="N80" s="160"/>
      <c r="O80" s="161"/>
      <c r="P80" s="162"/>
      <c r="Q80" s="163"/>
      <c r="R80" s="164"/>
      <c r="S80" s="117"/>
    </row>
    <row r="81" ht="15.75" customHeight="1">
      <c r="A81" s="29"/>
      <c r="B81" s="92">
        <f t="shared" si="2"/>
        <v>72</v>
      </c>
      <c r="C81" s="165"/>
      <c r="D81" s="156"/>
      <c r="E81" s="166"/>
      <c r="F81" s="158"/>
      <c r="G81" s="158"/>
      <c r="H81" s="158"/>
      <c r="I81" s="158"/>
      <c r="J81" s="158"/>
      <c r="K81" s="158"/>
      <c r="L81" s="157"/>
      <c r="M81" s="159"/>
      <c r="N81" s="160"/>
      <c r="O81" s="161"/>
      <c r="P81" s="162"/>
      <c r="Q81" s="163"/>
      <c r="R81" s="164"/>
      <c r="S81" s="117"/>
    </row>
    <row r="82" ht="15.75" customHeight="1">
      <c r="A82" s="29"/>
      <c r="B82" s="92">
        <f t="shared" si="2"/>
        <v>73</v>
      </c>
      <c r="C82" s="165"/>
      <c r="D82" s="156"/>
      <c r="E82" s="166"/>
      <c r="F82" s="158"/>
      <c r="G82" s="158"/>
      <c r="H82" s="158"/>
      <c r="I82" s="158"/>
      <c r="J82" s="158"/>
      <c r="K82" s="158"/>
      <c r="L82" s="157"/>
      <c r="M82" s="159"/>
      <c r="N82" s="160"/>
      <c r="O82" s="161"/>
      <c r="P82" s="162"/>
      <c r="Q82" s="163"/>
      <c r="R82" s="164"/>
      <c r="S82" s="117"/>
    </row>
    <row r="83" ht="15.75" customHeight="1">
      <c r="A83" s="29"/>
      <c r="B83" s="92">
        <f t="shared" si="2"/>
        <v>74</v>
      </c>
      <c r="C83" s="165"/>
      <c r="D83" s="156"/>
      <c r="E83" s="166"/>
      <c r="F83" s="158"/>
      <c r="G83" s="158"/>
      <c r="H83" s="158"/>
      <c r="I83" s="158"/>
      <c r="J83" s="158"/>
      <c r="K83" s="158"/>
      <c r="L83" s="157"/>
      <c r="M83" s="159"/>
      <c r="N83" s="160"/>
      <c r="O83" s="161"/>
      <c r="P83" s="162"/>
      <c r="Q83" s="163"/>
      <c r="R83" s="164"/>
      <c r="S83" s="117"/>
    </row>
    <row r="84" ht="15.75" customHeight="1">
      <c r="A84" s="29"/>
      <c r="B84" s="92">
        <f t="shared" si="2"/>
        <v>75</v>
      </c>
      <c r="C84" s="165"/>
      <c r="D84" s="156"/>
      <c r="E84" s="166"/>
      <c r="F84" s="158"/>
      <c r="G84" s="158"/>
      <c r="H84" s="158"/>
      <c r="I84" s="158"/>
      <c r="J84" s="158"/>
      <c r="K84" s="158"/>
      <c r="L84" s="157"/>
      <c r="M84" s="159"/>
      <c r="N84" s="160"/>
      <c r="O84" s="161"/>
      <c r="P84" s="162"/>
      <c r="Q84" s="163"/>
      <c r="R84" s="164"/>
      <c r="S84" s="117"/>
    </row>
    <row r="85" ht="15.75" customHeight="1">
      <c r="A85" s="29"/>
      <c r="B85" s="92">
        <f t="shared" si="2"/>
        <v>76</v>
      </c>
      <c r="C85" s="165"/>
      <c r="D85" s="156"/>
      <c r="E85" s="166"/>
      <c r="F85" s="158"/>
      <c r="G85" s="158"/>
      <c r="H85" s="158"/>
      <c r="I85" s="158"/>
      <c r="J85" s="158"/>
      <c r="K85" s="158"/>
      <c r="L85" s="157"/>
      <c r="M85" s="159"/>
      <c r="N85" s="160"/>
      <c r="O85" s="161"/>
      <c r="P85" s="162"/>
      <c r="Q85" s="163"/>
      <c r="R85" s="164"/>
      <c r="S85" s="117"/>
    </row>
    <row r="86" ht="15.75" customHeight="1">
      <c r="A86" s="29"/>
      <c r="B86" s="92">
        <f t="shared" si="2"/>
        <v>77</v>
      </c>
      <c r="C86" s="165"/>
      <c r="D86" s="156"/>
      <c r="E86" s="166"/>
      <c r="F86" s="158"/>
      <c r="G86" s="158"/>
      <c r="H86" s="158"/>
      <c r="I86" s="158"/>
      <c r="J86" s="158"/>
      <c r="K86" s="158"/>
      <c r="L86" s="157"/>
      <c r="M86" s="159"/>
      <c r="N86" s="160"/>
      <c r="O86" s="161"/>
      <c r="P86" s="162"/>
      <c r="Q86" s="163"/>
      <c r="R86" s="164"/>
      <c r="S86" s="117"/>
    </row>
    <row r="87" ht="15.75" customHeight="1">
      <c r="A87" s="29"/>
      <c r="B87" s="92">
        <f t="shared" si="2"/>
        <v>78</v>
      </c>
      <c r="C87" s="165"/>
      <c r="D87" s="156"/>
      <c r="E87" s="166"/>
      <c r="F87" s="158"/>
      <c r="G87" s="158"/>
      <c r="H87" s="158"/>
      <c r="I87" s="158"/>
      <c r="J87" s="158"/>
      <c r="K87" s="158"/>
      <c r="L87" s="157"/>
      <c r="M87" s="159"/>
      <c r="N87" s="160"/>
      <c r="O87" s="161"/>
      <c r="P87" s="162"/>
      <c r="Q87" s="163"/>
      <c r="R87" s="164"/>
      <c r="S87" s="117"/>
    </row>
    <row r="88" ht="15.75" customHeight="1">
      <c r="A88" s="29"/>
      <c r="B88" s="92">
        <f t="shared" si="2"/>
        <v>79</v>
      </c>
      <c r="C88" s="165"/>
      <c r="D88" s="156"/>
      <c r="E88" s="166"/>
      <c r="F88" s="158"/>
      <c r="G88" s="158"/>
      <c r="H88" s="158"/>
      <c r="I88" s="158"/>
      <c r="J88" s="158"/>
      <c r="K88" s="158"/>
      <c r="L88" s="157"/>
      <c r="M88" s="159"/>
      <c r="N88" s="160"/>
      <c r="O88" s="161"/>
      <c r="P88" s="162"/>
      <c r="Q88" s="163"/>
      <c r="R88" s="164"/>
      <c r="S88" s="117"/>
    </row>
    <row r="89" ht="15.75" customHeight="1">
      <c r="A89" s="29"/>
      <c r="B89" s="92">
        <f t="shared" si="2"/>
        <v>80</v>
      </c>
      <c r="C89" s="165"/>
      <c r="D89" s="156"/>
      <c r="E89" s="166"/>
      <c r="F89" s="158"/>
      <c r="G89" s="158"/>
      <c r="H89" s="158"/>
      <c r="I89" s="158"/>
      <c r="J89" s="158"/>
      <c r="K89" s="158"/>
      <c r="L89" s="157"/>
      <c r="M89" s="159"/>
      <c r="N89" s="160"/>
      <c r="O89" s="161"/>
      <c r="P89" s="162"/>
      <c r="Q89" s="163"/>
      <c r="R89" s="164"/>
      <c r="S89" s="117"/>
    </row>
    <row r="90" ht="15.75" customHeight="1">
      <c r="A90" s="29"/>
      <c r="B90" s="92">
        <f t="shared" si="2"/>
        <v>81</v>
      </c>
      <c r="C90" s="165"/>
      <c r="D90" s="156"/>
      <c r="E90" s="166"/>
      <c r="F90" s="158"/>
      <c r="G90" s="158"/>
      <c r="H90" s="158"/>
      <c r="I90" s="158"/>
      <c r="J90" s="158"/>
      <c r="K90" s="158"/>
      <c r="L90" s="157"/>
      <c r="M90" s="159"/>
      <c r="N90" s="160"/>
      <c r="O90" s="161"/>
      <c r="P90" s="162"/>
      <c r="Q90" s="163"/>
      <c r="R90" s="164"/>
      <c r="S90" s="117"/>
    </row>
    <row r="91" ht="15.75" customHeight="1">
      <c r="A91" s="29"/>
      <c r="B91" s="92">
        <f t="shared" si="2"/>
        <v>82</v>
      </c>
      <c r="C91" s="165"/>
      <c r="D91" s="156"/>
      <c r="E91" s="166"/>
      <c r="F91" s="158"/>
      <c r="G91" s="158"/>
      <c r="H91" s="158"/>
      <c r="I91" s="158"/>
      <c r="J91" s="158"/>
      <c r="K91" s="158"/>
      <c r="L91" s="157"/>
      <c r="M91" s="159"/>
      <c r="N91" s="160"/>
      <c r="O91" s="161"/>
      <c r="P91" s="162"/>
      <c r="Q91" s="163"/>
      <c r="R91" s="164"/>
      <c r="S91" s="117"/>
    </row>
    <row r="92" ht="15.75" customHeight="1">
      <c r="A92" s="29"/>
      <c r="B92" s="92">
        <f t="shared" si="2"/>
        <v>83</v>
      </c>
      <c r="C92" s="165"/>
      <c r="D92" s="156"/>
      <c r="E92" s="166"/>
      <c r="F92" s="158"/>
      <c r="G92" s="158"/>
      <c r="H92" s="158"/>
      <c r="I92" s="158"/>
      <c r="J92" s="158"/>
      <c r="K92" s="158"/>
      <c r="L92" s="157"/>
      <c r="M92" s="159"/>
      <c r="N92" s="160"/>
      <c r="O92" s="161"/>
      <c r="P92" s="162"/>
      <c r="Q92" s="163"/>
      <c r="R92" s="164"/>
      <c r="S92" s="117"/>
    </row>
    <row r="93" ht="15.75" customHeight="1">
      <c r="A93" s="29"/>
      <c r="B93" s="92">
        <f t="shared" si="2"/>
        <v>84</v>
      </c>
      <c r="C93" s="165"/>
      <c r="D93" s="156"/>
      <c r="E93" s="166"/>
      <c r="F93" s="158"/>
      <c r="G93" s="158"/>
      <c r="H93" s="158"/>
      <c r="I93" s="158"/>
      <c r="J93" s="158"/>
      <c r="K93" s="158"/>
      <c r="L93" s="157"/>
      <c r="M93" s="159"/>
      <c r="N93" s="160"/>
      <c r="O93" s="161"/>
      <c r="P93" s="162"/>
      <c r="Q93" s="163"/>
      <c r="R93" s="164"/>
      <c r="S93" s="117"/>
    </row>
    <row r="94" ht="15.75" customHeight="1">
      <c r="A94" s="29"/>
      <c r="B94" s="92">
        <f t="shared" si="2"/>
        <v>85</v>
      </c>
      <c r="C94" s="165"/>
      <c r="D94" s="156"/>
      <c r="E94" s="166"/>
      <c r="F94" s="158"/>
      <c r="G94" s="158"/>
      <c r="H94" s="158"/>
      <c r="I94" s="158"/>
      <c r="J94" s="158"/>
      <c r="K94" s="158"/>
      <c r="L94" s="157"/>
      <c r="M94" s="159"/>
      <c r="N94" s="160"/>
      <c r="O94" s="161"/>
      <c r="P94" s="162"/>
      <c r="Q94" s="163"/>
      <c r="R94" s="164"/>
      <c r="S94" s="117"/>
    </row>
    <row r="95" ht="15.75" customHeight="1">
      <c r="A95" s="29"/>
      <c r="B95" s="92">
        <f t="shared" si="2"/>
        <v>86</v>
      </c>
      <c r="C95" s="165"/>
      <c r="D95" s="156"/>
      <c r="E95" s="166"/>
      <c r="F95" s="158"/>
      <c r="G95" s="158"/>
      <c r="H95" s="158"/>
      <c r="I95" s="158"/>
      <c r="J95" s="158"/>
      <c r="K95" s="158"/>
      <c r="L95" s="157"/>
      <c r="M95" s="159"/>
      <c r="N95" s="160"/>
      <c r="O95" s="161"/>
      <c r="P95" s="162"/>
      <c r="Q95" s="163"/>
      <c r="R95" s="164"/>
      <c r="S95" s="117"/>
    </row>
    <row r="96" ht="15.75" customHeight="1">
      <c r="A96" s="29"/>
      <c r="B96" s="92">
        <f t="shared" si="2"/>
        <v>87</v>
      </c>
      <c r="C96" s="165"/>
      <c r="D96" s="156"/>
      <c r="E96" s="166"/>
      <c r="F96" s="158"/>
      <c r="G96" s="158"/>
      <c r="H96" s="158"/>
      <c r="I96" s="158"/>
      <c r="J96" s="158"/>
      <c r="K96" s="158"/>
      <c r="L96" s="157"/>
      <c r="M96" s="159"/>
      <c r="N96" s="160"/>
      <c r="O96" s="161"/>
      <c r="P96" s="162"/>
      <c r="Q96" s="163"/>
      <c r="R96" s="164"/>
      <c r="S96" s="117"/>
    </row>
    <row r="97" ht="15.75" customHeight="1">
      <c r="A97" s="29"/>
      <c r="B97" s="92">
        <f t="shared" si="2"/>
        <v>88</v>
      </c>
      <c r="C97" s="165"/>
      <c r="D97" s="156"/>
      <c r="E97" s="166"/>
      <c r="F97" s="158"/>
      <c r="G97" s="158"/>
      <c r="H97" s="158"/>
      <c r="I97" s="158"/>
      <c r="J97" s="158"/>
      <c r="K97" s="158"/>
      <c r="L97" s="157"/>
      <c r="M97" s="159"/>
      <c r="N97" s="160"/>
      <c r="O97" s="161"/>
      <c r="P97" s="162"/>
      <c r="Q97" s="163"/>
      <c r="R97" s="164"/>
      <c r="S97" s="117"/>
    </row>
    <row r="98" ht="15.75" customHeight="1">
      <c r="A98" s="29"/>
      <c r="B98" s="92">
        <f t="shared" si="2"/>
        <v>89</v>
      </c>
      <c r="C98" s="165"/>
      <c r="D98" s="156"/>
      <c r="E98" s="166"/>
      <c r="F98" s="158"/>
      <c r="G98" s="158"/>
      <c r="H98" s="158"/>
      <c r="I98" s="158"/>
      <c r="J98" s="158"/>
      <c r="K98" s="158"/>
      <c r="L98" s="157"/>
      <c r="M98" s="159"/>
      <c r="N98" s="160"/>
      <c r="O98" s="161"/>
      <c r="P98" s="162"/>
      <c r="Q98" s="163"/>
      <c r="R98" s="164"/>
      <c r="S98" s="117"/>
    </row>
    <row r="99" ht="15.75" customHeight="1">
      <c r="A99" s="29"/>
      <c r="B99" s="92">
        <f t="shared" si="2"/>
        <v>90</v>
      </c>
      <c r="C99" s="165"/>
      <c r="D99" s="156"/>
      <c r="E99" s="166"/>
      <c r="F99" s="158"/>
      <c r="G99" s="158"/>
      <c r="H99" s="158"/>
      <c r="I99" s="158"/>
      <c r="J99" s="158"/>
      <c r="K99" s="158"/>
      <c r="L99" s="157"/>
      <c r="M99" s="159"/>
      <c r="N99" s="160"/>
      <c r="O99" s="161"/>
      <c r="P99" s="162"/>
      <c r="Q99" s="163"/>
      <c r="R99" s="164"/>
      <c r="S99" s="117"/>
    </row>
    <row r="100" ht="15.75" customHeight="1">
      <c r="A100" s="29"/>
      <c r="B100" s="92">
        <f t="shared" si="2"/>
        <v>91</v>
      </c>
      <c r="C100" s="165"/>
      <c r="D100" s="156"/>
      <c r="E100" s="166"/>
      <c r="F100" s="158"/>
      <c r="G100" s="158"/>
      <c r="H100" s="158"/>
      <c r="I100" s="158"/>
      <c r="J100" s="158"/>
      <c r="K100" s="158"/>
      <c r="L100" s="157"/>
      <c r="M100" s="159"/>
      <c r="N100" s="160"/>
      <c r="O100" s="161"/>
      <c r="P100" s="162"/>
      <c r="Q100" s="163"/>
      <c r="R100" s="164"/>
      <c r="S100" s="117"/>
    </row>
    <row r="101" ht="15.75" customHeight="1">
      <c r="A101" s="29"/>
      <c r="B101" s="92">
        <f t="shared" si="2"/>
        <v>92</v>
      </c>
      <c r="C101" s="165"/>
      <c r="D101" s="156"/>
      <c r="E101" s="166"/>
      <c r="F101" s="158"/>
      <c r="G101" s="158"/>
      <c r="H101" s="158"/>
      <c r="I101" s="158"/>
      <c r="J101" s="158"/>
      <c r="K101" s="158"/>
      <c r="L101" s="157"/>
      <c r="M101" s="159"/>
      <c r="N101" s="160"/>
      <c r="O101" s="161"/>
      <c r="P101" s="162"/>
      <c r="Q101" s="163"/>
      <c r="R101" s="164"/>
      <c r="S101" s="117"/>
    </row>
    <row r="102" ht="15.75" customHeight="1">
      <c r="A102" s="29"/>
      <c r="B102" s="92">
        <f t="shared" si="2"/>
        <v>93</v>
      </c>
      <c r="C102" s="165"/>
      <c r="D102" s="156"/>
      <c r="E102" s="166"/>
      <c r="F102" s="158"/>
      <c r="G102" s="158"/>
      <c r="H102" s="158"/>
      <c r="I102" s="158"/>
      <c r="J102" s="158"/>
      <c r="K102" s="158"/>
      <c r="L102" s="157"/>
      <c r="M102" s="159"/>
      <c r="N102" s="160"/>
      <c r="O102" s="161"/>
      <c r="P102" s="162"/>
      <c r="Q102" s="163"/>
      <c r="R102" s="164"/>
      <c r="S102" s="117"/>
    </row>
    <row r="103" ht="15.75" customHeight="1">
      <c r="A103" s="29"/>
      <c r="B103" s="92">
        <f t="shared" si="2"/>
        <v>94</v>
      </c>
      <c r="C103" s="165"/>
      <c r="D103" s="156"/>
      <c r="E103" s="166"/>
      <c r="F103" s="158"/>
      <c r="G103" s="158"/>
      <c r="H103" s="158"/>
      <c r="I103" s="158"/>
      <c r="J103" s="158"/>
      <c r="K103" s="158"/>
      <c r="L103" s="157"/>
      <c r="M103" s="159"/>
      <c r="N103" s="160"/>
      <c r="O103" s="161"/>
      <c r="P103" s="162"/>
      <c r="Q103" s="163"/>
      <c r="R103" s="164"/>
      <c r="S103" s="117"/>
    </row>
    <row r="104" ht="15.75" customHeight="1">
      <c r="A104" s="29"/>
      <c r="B104" s="92">
        <f t="shared" si="2"/>
        <v>95</v>
      </c>
      <c r="C104" s="165"/>
      <c r="D104" s="156"/>
      <c r="E104" s="166"/>
      <c r="F104" s="158"/>
      <c r="G104" s="158"/>
      <c r="H104" s="158"/>
      <c r="I104" s="158"/>
      <c r="J104" s="158"/>
      <c r="K104" s="158"/>
      <c r="L104" s="157"/>
      <c r="M104" s="159"/>
      <c r="N104" s="160"/>
      <c r="O104" s="161"/>
      <c r="P104" s="162"/>
      <c r="Q104" s="163"/>
      <c r="R104" s="164"/>
      <c r="S104" s="117"/>
    </row>
    <row r="105" ht="15.75" customHeight="1">
      <c r="A105" s="29"/>
      <c r="B105" s="92">
        <f t="shared" si="2"/>
        <v>96</v>
      </c>
      <c r="C105" s="165"/>
      <c r="D105" s="156"/>
      <c r="E105" s="166"/>
      <c r="F105" s="158"/>
      <c r="G105" s="158"/>
      <c r="H105" s="158"/>
      <c r="I105" s="158"/>
      <c r="J105" s="158"/>
      <c r="K105" s="158"/>
      <c r="L105" s="157"/>
      <c r="M105" s="159"/>
      <c r="N105" s="160"/>
      <c r="O105" s="161"/>
      <c r="P105" s="162"/>
      <c r="Q105" s="163"/>
      <c r="R105" s="164"/>
      <c r="S105" s="117"/>
    </row>
    <row r="106" ht="15.75" customHeight="1">
      <c r="A106" s="29"/>
      <c r="B106" s="92">
        <f t="shared" si="2"/>
        <v>97</v>
      </c>
      <c r="C106" s="165"/>
      <c r="D106" s="156"/>
      <c r="E106" s="166"/>
      <c r="F106" s="158"/>
      <c r="G106" s="158"/>
      <c r="H106" s="158"/>
      <c r="I106" s="158"/>
      <c r="J106" s="158"/>
      <c r="K106" s="158"/>
      <c r="L106" s="157"/>
      <c r="M106" s="159"/>
      <c r="N106" s="160"/>
      <c r="O106" s="161"/>
      <c r="P106" s="162"/>
      <c r="Q106" s="163"/>
      <c r="R106" s="164"/>
      <c r="S106" s="117"/>
    </row>
    <row r="107" ht="15.75" customHeight="1">
      <c r="A107" s="29"/>
      <c r="B107" s="92">
        <f t="shared" si="2"/>
        <v>98</v>
      </c>
      <c r="C107" s="165"/>
      <c r="D107" s="156"/>
      <c r="E107" s="166"/>
      <c r="F107" s="158"/>
      <c r="G107" s="158"/>
      <c r="H107" s="158"/>
      <c r="I107" s="158"/>
      <c r="J107" s="158"/>
      <c r="K107" s="158"/>
      <c r="L107" s="157"/>
      <c r="M107" s="159"/>
      <c r="N107" s="160"/>
      <c r="O107" s="161"/>
      <c r="P107" s="162"/>
      <c r="Q107" s="163"/>
      <c r="R107" s="164"/>
      <c r="S107" s="117"/>
    </row>
    <row r="108" ht="15.75" customHeight="1">
      <c r="A108" s="29"/>
      <c r="B108" s="92">
        <f t="shared" si="2"/>
        <v>99</v>
      </c>
      <c r="C108" s="165"/>
      <c r="D108" s="156"/>
      <c r="E108" s="166"/>
      <c r="F108" s="158"/>
      <c r="G108" s="158"/>
      <c r="H108" s="158"/>
      <c r="I108" s="158"/>
      <c r="J108" s="158"/>
      <c r="K108" s="158"/>
      <c r="L108" s="157"/>
      <c r="M108" s="159"/>
      <c r="N108" s="160"/>
      <c r="O108" s="161"/>
      <c r="P108" s="162"/>
      <c r="Q108" s="163"/>
      <c r="R108" s="164"/>
      <c r="S108" s="117"/>
    </row>
    <row r="109" ht="15.75" customHeight="1">
      <c r="A109" s="29"/>
      <c r="B109" s="168">
        <f t="shared" si="2"/>
        <v>100</v>
      </c>
      <c r="C109" s="165"/>
      <c r="D109" s="156"/>
      <c r="E109" s="166"/>
      <c r="F109" s="158"/>
      <c r="G109" s="169"/>
      <c r="H109" s="169"/>
      <c r="I109" s="169"/>
      <c r="J109" s="169"/>
      <c r="K109" s="169"/>
      <c r="L109" s="170"/>
      <c r="M109" s="171"/>
      <c r="N109" s="172"/>
      <c r="O109" s="173"/>
      <c r="P109" s="174"/>
      <c r="Q109" s="175"/>
      <c r="R109" s="176"/>
      <c r="S109" s="117"/>
    </row>
    <row r="110" ht="10.5" customHeight="1">
      <c r="A110" s="29"/>
      <c r="B110" s="112"/>
      <c r="C110" s="113"/>
      <c r="D110" s="113"/>
      <c r="E110" s="113"/>
      <c r="F110" s="114"/>
      <c r="G110" s="114"/>
      <c r="H110" s="114"/>
      <c r="I110" s="114"/>
      <c r="J110" s="114"/>
      <c r="K110" s="114"/>
      <c r="L110" s="113"/>
      <c r="M110" s="115"/>
      <c r="N110" s="115"/>
      <c r="O110" s="115"/>
      <c r="P110" s="116"/>
      <c r="Q110" s="116"/>
      <c r="R110" s="116"/>
      <c r="S110" s="117"/>
    </row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4FB1047E-4D61-41DE-8D63-5A2230DED20B}" filter="1" showAutoFilter="1">
      <autoFilter ref="$A$9:$S$110"/>
    </customSheetView>
  </customSheetViews>
  <mergeCells count="1">
    <mergeCell ref="M2:P2"/>
  </mergeCells>
  <conditionalFormatting sqref="M10:M109">
    <cfRule type="containsText" dxfId="2" priority="1" operator="containsText" text="OK">
      <formula>NOT(ISERROR(SEARCH(("OK"),(M10))))</formula>
    </cfRule>
  </conditionalFormatting>
  <conditionalFormatting sqref="M10:M109">
    <cfRule type="cellIs" dxfId="3" priority="2" operator="equal">
      <formula>"NG"</formula>
    </cfRule>
  </conditionalFormatting>
  <conditionalFormatting sqref="M10:M109">
    <cfRule type="cellIs" dxfId="4" priority="3" operator="equal">
      <formula>"NT"</formula>
    </cfRule>
  </conditionalFormatting>
  <conditionalFormatting sqref="M10:M109">
    <cfRule type="cellIs" dxfId="5" priority="4" operator="equal">
      <formula>"BK"</formula>
    </cfRule>
  </conditionalFormatting>
  <dataValidations>
    <dataValidation type="list" allowBlank="1" showErrorMessage="1" sqref="D4">
      <formula1>"PC,Android,iOS,FP"</formula1>
    </dataValidation>
    <dataValidation type="list" allowBlank="1" showErrorMessage="1" sqref="M10:M109">
      <formula1>"OK,NG,NT,NG→OK,BK"</formula1>
    </dataValidation>
  </dataValidations>
  <printOptions/>
  <pageMargins bottom="0.75" footer="0.0" header="0.0" left="0.7" right="0.7" top="0.75"/>
  <pageSetup paperSize="9" orientation="portrait"/>
  <drawing r:id="rId1"/>
</worksheet>
</file>