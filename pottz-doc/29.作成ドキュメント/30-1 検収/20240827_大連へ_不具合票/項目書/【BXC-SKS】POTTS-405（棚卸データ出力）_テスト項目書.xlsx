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5（棚卸データ出力）" sheetId="2" r:id="rId5"/>
    <sheet state="visible" name="変更履歴" sheetId="3" r:id="rId6"/>
    <sheet state="hidden" name="template" sheetId="4" r:id="rId7"/>
  </sheets>
  <definedNames>
    <definedName name="wrn.見積・注文.">#REF!</definedName>
    <definedName name="ええ">#REF!</definedName>
    <definedName name="HTML1_14">#REF!</definedName>
    <definedName name="TTT">#REF!</definedName>
    <definedName name="EEE">#REF!</definedName>
    <definedName name="wrn.2050保守作業.">#REF!</definedName>
    <definedName name="だ">#REF!</definedName>
    <definedName name="画面名">#REF!</definedName>
    <definedName name="RRR">#REF!</definedName>
    <definedName name="RR">#REF!</definedName>
    <definedName name="テスト観点">#REF!</definedName>
    <definedName name="B">#REF!</definedName>
    <definedName name="CCCC">#REF!</definedName>
    <definedName name="ｙｙｙ">#REF!</definedName>
    <definedName name="Ｄ">#REF!</definedName>
    <definedName name="wrn.追加ＰＣ見積.">#REF!</definedName>
    <definedName name="I">#REF!</definedName>
    <definedName name="NNN">#REF!</definedName>
    <definedName name="CCC">#REF!</definedName>
    <definedName name="QQQ">#REF!</definedName>
    <definedName name="FFF">#REF!</definedName>
    <definedName name="ｚｚｚ">#REF!</definedName>
    <definedName name="HTML1_13">#REF!</definedName>
    <definedName name="SSS">#REF!</definedName>
    <definedName name="AAAA">#REF!</definedName>
    <definedName name="DDD">#REF!</definedName>
    <definedName name="ううう">#REF!</definedName>
    <definedName name="ｚ">#REF!</definedName>
    <definedName name="ざ">#REF!</definedName>
    <definedName name="ｘ">#REF!</definedName>
    <definedName name="PP">#REF!</definedName>
    <definedName name="うう">#REF!</definedName>
    <definedName name="UUU">#REF!</definedName>
    <definedName name="XX">#REF!</definedName>
    <definedName name="ｘｘｘ">#REF!</definedName>
    <definedName name="い">#REF!</definedName>
    <definedName name="ああああ">#REF!</definedName>
    <definedName name="ｖｖｖ">#REF!</definedName>
    <definedName name="実施結果">#REF!</definedName>
    <definedName name="AA">#REF!</definedName>
    <definedName name="あああ">#REF!</definedName>
    <definedName name="BB">#REF!</definedName>
    <definedName name="PPP">#REF!</definedName>
    <definedName name="aaaaa">#REF!</definedName>
    <definedName name="か">#REF!</definedName>
    <definedName name="ｊｊｊ">#REF!</definedName>
    <definedName name="いいい">#REF!</definedName>
    <definedName name="A">#REF!</definedName>
    <definedName name="CC">#REF!</definedName>
    <definedName name="いい">#REF!</definedName>
    <definedName name="HTML1_15">#REF!</definedName>
    <definedName name="W">#REF!</definedName>
    <definedName name="んｎ">#REF!</definedName>
    <definedName name="abc">#REF!</definedName>
    <definedName name="QQ">#REF!</definedName>
    <definedName hidden="1" localSheetId="1" name="Z_8E01A1B4_FF24_4245_BF96_23F2B5D6EC71_.wvu.FilterData">'POTTS-405（棚卸データ出力）'!$A$10:$O$59</definedName>
    <definedName hidden="1" localSheetId="3" name="Z_8E01A1B4_FF24_4245_BF96_23F2B5D6EC71_.wvu.FilterData">template!$A$9:$S$110</definedName>
  </definedNames>
  <calcPr/>
  <customWorkbookViews>
    <customWorkbookView activeSheetId="0" maximized="1" windowHeight="0" windowWidth="0" guid="{8E01A1B4-FF24-4245-BF96-23F2B5D6EC71}" name="フィルタ 1"/>
  </customWorkbookViews>
</workbook>
</file>

<file path=xl/sharedStrings.xml><?xml version="1.0" encoding="utf-8"?>
<sst xmlns="http://schemas.openxmlformats.org/spreadsheetml/2006/main" count="612" uniqueCount="142">
  <si>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</si>
  <si>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</si>
  <si>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</si>
  <si>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</si>
  <si>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</si>
  <si>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</si>
  <si>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</si>
  <si>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</si>
  <si>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</si>
  <si>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</si>
  <si>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</si>
  <si>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</si>
  <si>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</si>
  <si>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</si>
  <si>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</si>
  <si>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</si>
  <si>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</si>
  <si>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</si>
  <si>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</si>
  <si>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</si>
  <si>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</si>
  <si>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</si>
  <si>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</si>
  <si>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POTTS-405（棚卸データ出力）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</si>
  <si>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</si>
  <si>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</si>
  <si>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</si>
  <si>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</si>
  <si>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</si>
  <si>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</si>
  <si>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</si>
  <si>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</si>
  <si>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</si>
  <si>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</si>
  <si>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</si>
  <si>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</si>
  <si>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</si>
  <si>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</si>
  <si>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</si>
  <si>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</si>
  <si>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</si>
  <si>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</si>
  <si>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</si>
  <si>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</si>
  <si>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</si>
  <si>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</si>
  <si>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</si>
  <si>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1.棚卸データ出力画面に遷移する</t>
  </si>
  <si>
    <t>棚卸日が空白で表示されること</t>
  </si>
  <si>
    <t>DH岡嵜</t>
  </si>
  <si>
    <t>期待結果：下記設計書より、本日の日付が表示されることを正とし、OKとしております。
▼参照設計書
「POTTS_設計書-405（棚卸データ出力）」＞イベント仕様＞セルW7
→『検索条件「棚卸日」デフォルト当日時間検索』と記載</t>
  </si>
  <si>
    <t>「一覧」タブが表示されていること</t>
  </si>
  <si>
    <t>状態が「確定」の棚卸データが存在する</t>
  </si>
  <si>
    <t>「一覧」タブの棚卸データ出力一覧に下記の条件を全て満たすデータが表示されること
・棚卸日がテスト実施日と合致する
・状態が「確定」</t>
  </si>
  <si>
    <t>一覧タブに表示されているデータの件数が表示されること</t>
  </si>
  <si>
    <t>状態が「確定」かつ連携状態が「未連携」の棚卸データが存在する</t>
  </si>
  <si>
    <t>「未連携」タブに下記の条件に合致するデータ件数が表示されること
・棚卸日がテスト実施日と合致する
・状態が「確定」
・連携状態が「未連携」</t>
  </si>
  <si>
    <t>状態が「確定」かつ連携状態が「連携済」の棚卸データが存在する</t>
  </si>
  <si>
    <t>「連携済」タブに下記の条件に合致するデータ件数が表示されること
・棚卸日がテスト実施日と合致する
・状態が「確定」
・連携状態が「連携済」</t>
  </si>
  <si>
    <t>棚卸日</t>
  </si>
  <si>
    <t>1.棚卸日を押下する</t>
  </si>
  <si>
    <t>カレンダーダイアログが表示されること</t>
  </si>
  <si>
    <t>検索</t>
  </si>
  <si>
    <t>1.状態が「確定」の棚卸データが存在する
2.「一覧」タブを選択している</t>
  </si>
  <si>
    <t>1.棚卸日を設定する
2.「検索」ボタンを押下する</t>
  </si>
  <si>
    <t>「一覧」タブの棚卸データ出力一覧に下記の条件を全て満たすデータが表示されること
・棚卸日が入力した日付と合致する
・状態が「確定」</t>
  </si>
  <si>
    <t>表示順が棚卸日の降順であること</t>
  </si>
  <si>
    <t>検証手順：棚卸日のソート観点の項目の為、棚卸日の入力は空欄として検証しております。</t>
  </si>
  <si>
    <t>一覧タブに下記の条件に合致するデータの件数が表示されること
・棚卸日が入力した日付と合致する
・状態が「確定」</t>
  </si>
  <si>
    <t>1.状態が「確定」かつ連携状態が「未連携」の棚卸データが存在する
2.「一覧」タブを選択している</t>
  </si>
  <si>
    <t>未連携タブに下記の条件に合致するデータの件数が表示されること
・棚卸日が入力した日付と合致する
・状態が「確定」
・連携状態が「未連携」</t>
  </si>
  <si>
    <t>1.状態が「確定」かつ連携状態が「連携済」の棚卸データが存在する
2.「一覧」タブを選択している</t>
  </si>
  <si>
    <t>未連携タブに下記の条件に合致するデータの件数が表示されること
・棚卸日が入力した日付と合致する
・状態が「確定」
・連携状態が「連携済」</t>
  </si>
  <si>
    <t>tab切替</t>
  </si>
  <si>
    <t>棚卸データ出力一覧</t>
  </si>
  <si>
    <t>1.状態が「確定」の棚卸データが存在する
2.「未連携」タブ以外を選択している</t>
  </si>
  <si>
    <t>1.「未連携」タブを選択する</t>
  </si>
  <si>
    <t>「一覧」タブの棚卸データ出力一覧に下記の条件を全て満たすデータが表示されること
・棚卸日が入力した日付と合致する（未入力の場合テスト実施日）
・状態が「確定」
・連携状態が「未連携」</t>
  </si>
  <si>
    <t>1.状態が「確定」かつ連携状態が「未連携」の棚卸データが存在する
2.「未連携」タブを選択している</t>
  </si>
  <si>
    <t>「未連携」タブの棚卸データ出力未連携に下記の条件を全て満たすデータが表示されること
・棚卸日が入力した日付と合致する
・状態が「確定」
・連携状態が「未連携」</t>
  </si>
  <si>
    <t>「未連携」タブに下記の条件に合致するデータの件数が表示されること
・棚卸日が入力した日付と合致する
・状態が「確定」
・連携状態が「未連携」</t>
  </si>
  <si>
    <t>1.状態が「確定」の棚卸データが存在する
2.「未連携」タブを選択している</t>
  </si>
  <si>
    <t>1.状態が「確定」かつ連携状態が「連携済」の棚卸データが存在する
2.「連携済」タブを選択している</t>
  </si>
  <si>
    <t>連携済タブに下記の条件に合致するデータの件数が表示されること
・棚卸日が入力した日付と合致する
・状態が「確定」
・連携状態が「連携済」</t>
  </si>
  <si>
    <t>1.状態が「確定」の棚卸データが存在する
2.「連携済」タブ以外を選択している</t>
  </si>
  <si>
    <t>1.「連携済」タブを選択する</t>
  </si>
  <si>
    <t>「一覧」タブの棚卸データ出力一覧に下記の条件を全て満たすデータが表示されること
・棚卸日が入力した日付と合致する（未入力の場合テスト実施日）
・状態が「確定」
・連携状態が「連携済」</t>
  </si>
  <si>
    <t>「連携済」タブの棚卸データ出力連携に下記の条件を全て満たすデータが表示されること
・棚卸日が入力した日付と合致する
・状態が「確定」
・連携状態が「連携済」</t>
  </si>
  <si>
    <t>1.状態が「確定」の棚卸データが存在する
2.「連携済」タブを選択している</t>
  </si>
  <si>
    <t>1.状態が「確定」かつ連携状態が「未連携」の棚卸データが存在する
2.「連携済」タブを選択している</t>
  </si>
  <si>
    <t>1.表示中のタブが「一覧」であること
2.表示中のタブ内に表示される棚卸データ11件以上存在すること
3.現在の表示ページが1ページ目以降であること（次ページが存在する状態であること）</t>
  </si>
  <si>
    <t>1.「&gt;」リンクを押下する</t>
  </si>
  <si>
    <t>タブ内でページ遷移されること（11件目以降のデータが表示されること）</t>
  </si>
  <si>
    <t>1.表示中のタブが「一覧」であること
2.表示中のタブ内に表示される棚卸データ11件以上存在すること
3.現在の表示ページが2ページ目以降であること（前ページが存在する状態であること）</t>
  </si>
  <si>
    <t>1.「&lt;」リンクを押下する</t>
  </si>
  <si>
    <t>タブ内でページ遷移されること（前ページのデータが表示されること）</t>
  </si>
  <si>
    <t>1.表示中のタブが「一覧」であること
2.表示中のタブ内に表示される棚卸データ11件以上存在すること</t>
  </si>
  <si>
    <t>1.「1ページあたり」の表示数を変更する</t>
  </si>
  <si>
    <t>選択した表示数に合わせてタブ内の表示データ数が変化すること</t>
  </si>
  <si>
    <t>1.表示中のタブが「未連携」であること
2.表示中のタブ内に表示される棚卸データ11件以上存在すること
3.現在の表示ページが1ページ目以降であること（次ページが存在する状態であること）</t>
  </si>
  <si>
    <t>1.表示中のタブが「未連携」であること
2.表示中のタブ内に表示される棚卸データ11件以上存在すること
3.現在の表示ページが2ページ目以降であること（前ページが存在する状態であること）</t>
  </si>
  <si>
    <t>1.表示中のタブが「未連携」であること
2.表示中のタブ内に表示される棚卸データ11件以上存在すること</t>
  </si>
  <si>
    <t>1.表示中のタブが「連携済」であること
2.表示中のタブ内に表示される棚卸データ11件以上存在すること
3.現在の表示ページが1ページ目以降であること（次ページが存在する状態であること）</t>
  </si>
  <si>
    <t>1.表示中のタブが「連携済」であること
2.表示中のタブ内に表示される棚卸データ11件以上存在すること
3.現在の表示ページが2ページ目以降であること（前ページが存在する状態であること）</t>
  </si>
  <si>
    <t>1.表示中のタブが「連携済」であること
2.表示中のタブ内に表示される棚卸データ11件以上存在すること</t>
  </si>
  <si>
    <t>全選択/全解除</t>
  </si>
  <si>
    <t>1.「一覧」タブ内に表示される棚卸データが存在すること
2.「一覧」タブを選択していること
3.「一覧」タブの棚卸データのチェックボックスのチェックが外れていること</t>
  </si>
  <si>
    <t>1.「全選択」ボタンを押下する</t>
  </si>
  <si>
    <t>表示中の棚卸データのチェックボックスが全てチェック済みになること</t>
  </si>
  <si>
    <t>1.「一覧」タブ内に表示される棚卸データが存在すること
2.「一覧」タブを選択していること
3.「一覧」タブの棚卸データのチェックボックスのチェックがチェック済みであること</t>
  </si>
  <si>
    <t>1.「全解除」ボタンを押下する</t>
  </si>
  <si>
    <t>表示中の棚卸データのチェックボックスのチェックが全て外れること</t>
  </si>
  <si>
    <t>1.「未連携」タブ内に表示される棚卸データが存在すること
2.「未連携」タブを選択していること
3.「未連携」タブの棚卸データのチェックボックスのチェックが外れていること</t>
  </si>
  <si>
    <t>1.「未連携」タブ内に表示される棚卸データが存在すること
2.「未連携」タブを選択していること
3.「未連携」タブの棚卸データのチェックボックスのチェックがチェック済みであること</t>
  </si>
  <si>
    <t>1.「連携済」タブ内に表示される棚卸データが存在すること
2.「連携済」タブを選択していること
3.「連携済」タブの棚卸データのチェックボックスのチェックが外れていること</t>
  </si>
  <si>
    <t>1.「連携済」タブ内に表示される棚卸データが存在すること
2.「連携済」タブを選択していること
3.「連携済」タブの棚卸データのチェックボックスのチェックがチェック済みであること</t>
  </si>
  <si>
    <t>CSVデータ出力</t>
  </si>
  <si>
    <t>1.「一覧」タブ内に表示される棚卸データが存在すること
2.「一覧」タブを選択していること</t>
  </si>
  <si>
    <t>1.現在表示されている棚卸データを選択していないこと
2.「CSV」ボタンを押下すること</t>
  </si>
  <si>
    <t>エラーメッセージが表示されること</t>
  </si>
  <si>
    <t>設計書にエラーメッセージの記載が無い為、メッセージ内容が乖離していなければOKとする</t>
  </si>
  <si>
    <t>1.現在表示されている棚卸データを選択していること
2.「CSV」ボタンを押下すること</t>
  </si>
  <si>
    <t>CSVファイルが出力されること</t>
  </si>
  <si>
    <t>出力される内容などの記載が無い為、テスト実施時はファイルが出力され出力されたデータがチェックしたデータであればOKとする</t>
  </si>
  <si>
    <t>1.「未連携」タブ内に表示される棚卸データが存在すること
2.「未連携」タブを選択していること</t>
  </si>
  <si>
    <t>1.「連携済」タブ内に表示される棚卸データが存在すること
2.「連携済」タブを選択していること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</si>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</sst>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readingOrder="0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29" fillId="0" fontId="8" numFmtId="0" xfId="0" applyAlignment="1" applyBorder="1" applyFont="1">
      <alignment shrinkToFit="0" vertical="top" wrapText="1"/>
    </xf>
    <xf borderId="3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4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6" fillId="0" fontId="3" numFmtId="0" xfId="0" applyAlignment="1" applyBorder="1" applyFont="1">
      <alignment horizontal="center" shrinkToFit="0" vertical="center" wrapText="1"/>
    </xf>
    <xf borderId="36" fillId="0" fontId="18" numFmtId="0" xfId="0" applyAlignment="1" applyBorder="1" applyFont="1">
      <alignment shrinkToFit="0" vertical="center" wrapText="1"/>
    </xf>
    <xf borderId="36" fillId="0" fontId="18" numFmtId="0" xfId="0" applyAlignment="1" applyBorder="1" applyFont="1">
      <alignment horizontal="center" shrinkToFit="0" vertical="top" wrapText="1"/>
    </xf>
    <xf borderId="36" fillId="0" fontId="17" numFmtId="164" xfId="0" applyAlignment="1" applyBorder="1" applyFont="1" applyNumberFormat="1">
      <alignment shrinkToFit="0" vertical="center" wrapText="1"/>
    </xf>
    <xf borderId="36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17" numFmtId="0" xfId="0" applyAlignment="1" applyBorder="1" applyFont="1">
      <alignment shrinkToFit="0" vertical="center" wrapText="1"/>
    </xf>
    <xf borderId="53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4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5" fillId="17" fontId="17" numFmtId="165" xfId="0" applyAlignment="1" applyBorder="1" applyFont="1" applyNumberFormat="1">
      <alignment horizontal="center" shrinkToFit="0" vertical="center" wrapText="1"/>
    </xf>
    <xf borderId="55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6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3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35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中断中</v>
      </c>
      <c r="E4" s="12">
        <f t="shared" ref="E4:F4" si="1">SUM(E5)</f>
        <v>94</v>
      </c>
      <c r="F4" s="12">
        <f t="shared" si="1"/>
        <v>47</v>
      </c>
      <c r="G4" s="13">
        <f>IFERROR(SUM(M4:Q4)/F4,"")</f>
        <v>1</v>
      </c>
      <c r="H4" s="14">
        <f t="shared" ref="H4:H7" si="6">SUM(M4:Q4)</f>
        <v>47</v>
      </c>
      <c r="I4" s="15">
        <f t="shared" ref="I4:I7" si="7">F4-H4</f>
        <v>0</v>
      </c>
      <c r="J4" s="13">
        <f>IFERROR(SUM(M4:N4)/F4,"")</f>
        <v>0.7872340426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37</v>
      </c>
      <c r="N4" s="12">
        <f t="shared" si="3"/>
        <v>0</v>
      </c>
      <c r="O4" s="12">
        <f t="shared" si="3"/>
        <v>10</v>
      </c>
      <c r="P4" s="12">
        <f t="shared" si="3"/>
        <v>0</v>
      </c>
      <c r="Q4" s="12">
        <f t="shared" si="3"/>
        <v>0</v>
      </c>
      <c r="R4" s="12">
        <f t="shared" si="3"/>
        <v>47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SUM(E6:E7)</f>
        <v>94</v>
      </c>
      <c r="F5" s="19">
        <f t="shared" si="5"/>
        <v>47</v>
      </c>
      <c r="G5" s="21">
        <f t="shared" ref="G5:G7" si="9">IFERROR((M5+N5+O5)/E5,"-")</f>
        <v>0.5</v>
      </c>
      <c r="H5" s="22">
        <f t="shared" si="6"/>
        <v>47</v>
      </c>
      <c r="I5" s="23">
        <f t="shared" si="7"/>
        <v>0</v>
      </c>
      <c r="J5" s="21">
        <f t="shared" ref="J5:J7" si="10">IFERROR((M5+N5)/E5,"-")</f>
        <v>0.3936170213</v>
      </c>
      <c r="K5" s="22"/>
      <c r="L5" s="23"/>
      <c r="M5" s="19">
        <f t="shared" ref="M5:R5" si="8">SUM(M6:M7)</f>
        <v>37</v>
      </c>
      <c r="N5" s="19">
        <f t="shared" si="8"/>
        <v>0</v>
      </c>
      <c r="O5" s="19">
        <f t="shared" si="8"/>
        <v>10</v>
      </c>
      <c r="P5" s="19">
        <f t="shared" si="8"/>
        <v>0</v>
      </c>
      <c r="Q5" s="19">
        <f t="shared" si="8"/>
        <v>0</v>
      </c>
      <c r="R5" s="19">
        <f t="shared" si="8"/>
        <v>47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中断中</v>
      </c>
      <c r="E6" s="25">
        <f t="shared" ref="E6:E7" si="11">IFERROR(MAX(INDIRECT($C6&amp;"!B:B")),"")</f>
        <v>47</v>
      </c>
      <c r="F6" s="25">
        <f t="shared" ref="F6:F7" si="12">E6-(R6+0)</f>
        <v>47</v>
      </c>
      <c r="G6" s="26">
        <f t="shared" si="9"/>
        <v>1</v>
      </c>
      <c r="H6" s="27">
        <f t="shared" si="6"/>
        <v>47</v>
      </c>
      <c r="I6" s="28">
        <f t="shared" si="7"/>
        <v>0</v>
      </c>
      <c r="J6" s="26">
        <f t="shared" si="10"/>
        <v>0.7872340426</v>
      </c>
      <c r="K6" s="27"/>
      <c r="L6" s="28"/>
      <c r="M6" s="25">
        <f>IFERROR(INDIRECT($C6&amp;"!L2"),"")</f>
        <v>37</v>
      </c>
      <c r="N6" s="25">
        <f>IFERROR(INDIRECT($C6&amp;"!L3"),"")</f>
        <v>0</v>
      </c>
      <c r="O6" s="25">
        <f>IFERROR(INDIRECT($C6&amp;"!L4"),"")</f>
        <v>10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47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47</v>
      </c>
      <c r="T7" s="24"/>
      <c r="U7" s="24"/>
      <c r="V7" s="1"/>
      <c r="W7" s="1"/>
      <c r="X7" s="1"/>
      <c r="Y7" s="1"/>
    </row>
    <row r="8">
      <c r="A8" s="1"/>
      <c r="B8" s="18">
        <v>2.0</v>
      </c>
      <c r="C8" s="25"/>
      <c r="D8" s="18"/>
      <c r="E8" s="25"/>
      <c r="F8" s="25"/>
      <c r="G8" s="26"/>
      <c r="H8" s="27"/>
      <c r="I8" s="28"/>
      <c r="J8" s="26"/>
      <c r="K8" s="27"/>
      <c r="L8" s="28"/>
      <c r="M8" s="25"/>
      <c r="N8" s="25"/>
      <c r="O8" s="25"/>
      <c r="P8" s="25"/>
      <c r="Q8" s="25"/>
      <c r="R8" s="25"/>
      <c r="T8" s="24"/>
      <c r="U8" s="24"/>
      <c r="V8" s="1"/>
      <c r="W8" s="1"/>
      <c r="X8" s="1"/>
      <c r="Y8" s="1"/>
    </row>
    <row r="9">
      <c r="A9" s="1"/>
      <c r="B9" s="18">
        <v>3.0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4.0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5.0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6.0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7.0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8.0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9.0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10.0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11.0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12.0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COUNTIF(I$11:I$64858,K2)</f>
        <v>37</v>
      </c>
      <c r="M2" s="38" t="s">
        <v>24</v>
      </c>
      <c r="N2" s="39" t="s">
        <v>26</v>
      </c>
      <c r="O2" s="36" t="s">
        <v>13</v>
      </c>
      <c r="P2" s="37">
        <f t="shared" ref="P2:P8" si="2">COUNTIF(M$11:M$64858,O2)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COUNTIF(Q$11:Q$64858,S2)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29</v>
      </c>
      <c r="J4" s="52" t="s">
        <v>30</v>
      </c>
      <c r="K4" s="53" t="s">
        <v>15</v>
      </c>
      <c r="L4" s="47">
        <f t="shared" si="1"/>
        <v>10</v>
      </c>
      <c r="M4" s="48" t="s">
        <v>29</v>
      </c>
      <c r="N4" s="54"/>
      <c r="O4" s="53" t="s">
        <v>15</v>
      </c>
      <c r="P4" s="47">
        <f t="shared" si="2"/>
        <v>0</v>
      </c>
      <c r="Q4" s="48" t="s">
        <v>29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31</v>
      </c>
      <c r="J5" s="52" t="s">
        <v>25</v>
      </c>
      <c r="K5" s="55" t="s">
        <v>16</v>
      </c>
      <c r="L5" s="47">
        <f t="shared" si="1"/>
        <v>0</v>
      </c>
      <c r="M5" s="48" t="s">
        <v>31</v>
      </c>
      <c r="N5" s="54"/>
      <c r="O5" s="55" t="s">
        <v>16</v>
      </c>
      <c r="P5" s="47">
        <f t="shared" si="2"/>
        <v>0</v>
      </c>
      <c r="Q5" s="48" t="s">
        <v>31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47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32</v>
      </c>
      <c r="L8" s="64">
        <f t="shared" si="1"/>
        <v>0</v>
      </c>
      <c r="M8" s="40"/>
      <c r="N8" s="62"/>
      <c r="O8" s="63" t="s">
        <v>32</v>
      </c>
      <c r="P8" s="64">
        <f t="shared" si="2"/>
        <v>0</v>
      </c>
      <c r="Q8" s="40"/>
      <c r="R8" s="62"/>
      <c r="S8" s="63" t="s">
        <v>32</v>
      </c>
      <c r="T8" s="64">
        <f t="shared" si="3"/>
        <v>47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33</v>
      </c>
      <c r="D10" s="68" t="s">
        <v>34</v>
      </c>
      <c r="E10" s="69" t="s">
        <v>35</v>
      </c>
      <c r="F10" s="69" t="s">
        <v>36</v>
      </c>
      <c r="G10" s="67" t="s">
        <v>37</v>
      </c>
      <c r="H10" s="70" t="s">
        <v>38</v>
      </c>
      <c r="I10" s="71" t="s">
        <v>39</v>
      </c>
      <c r="J10" s="72" t="s">
        <v>40</v>
      </c>
      <c r="K10" s="73" t="s">
        <v>41</v>
      </c>
      <c r="L10" s="74" t="s">
        <v>42</v>
      </c>
      <c r="M10" s="73" t="s">
        <v>39</v>
      </c>
      <c r="N10" s="72" t="s">
        <v>40</v>
      </c>
      <c r="O10" s="73" t="s">
        <v>41</v>
      </c>
      <c r="P10" s="74" t="s">
        <v>42</v>
      </c>
      <c r="Q10" s="73" t="s">
        <v>39</v>
      </c>
      <c r="R10" s="72" t="s">
        <v>40</v>
      </c>
      <c r="S10" s="73" t="s">
        <v>41</v>
      </c>
      <c r="T10" s="74" t="s">
        <v>42</v>
      </c>
      <c r="U10" s="74" t="s">
        <v>43</v>
      </c>
      <c r="V10" s="40"/>
      <c r="W10" s="40"/>
      <c r="X10" s="40"/>
      <c r="Y10" s="40"/>
      <c r="Z10" s="40"/>
    </row>
    <row r="11">
      <c r="A11" s="29"/>
      <c r="B11" s="75">
        <f t="shared" ref="B11:B33" si="4">(ROW()-ROW($B$10))</f>
        <v>1</v>
      </c>
      <c r="C11" s="76" t="s">
        <v>44</v>
      </c>
      <c r="D11" s="76" t="s">
        <v>20</v>
      </c>
      <c r="E11" s="77" t="s">
        <v>45</v>
      </c>
      <c r="F11" s="78" t="s">
        <v>46</v>
      </c>
      <c r="G11" s="78" t="s">
        <v>47</v>
      </c>
      <c r="H11" s="79" t="s">
        <v>48</v>
      </c>
      <c r="I11" s="80" t="s">
        <v>13</v>
      </c>
      <c r="J11" s="81">
        <v>45526.0</v>
      </c>
      <c r="K11" s="82" t="s">
        <v>49</v>
      </c>
      <c r="L11" s="83"/>
      <c r="M11" s="84" t="s">
        <v>18</v>
      </c>
      <c r="N11" s="85"/>
      <c r="O11" s="86"/>
      <c r="P11" s="83"/>
      <c r="Q11" s="84" t="s">
        <v>32</v>
      </c>
      <c r="R11" s="85"/>
      <c r="S11" s="86"/>
      <c r="T11" s="83"/>
      <c r="U11" s="87" t="s">
        <v>50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44</v>
      </c>
      <c r="D12" s="76" t="s">
        <v>20</v>
      </c>
      <c r="E12" s="77" t="s">
        <v>45</v>
      </c>
      <c r="F12" s="78" t="s">
        <v>46</v>
      </c>
      <c r="G12" s="78" t="s">
        <v>47</v>
      </c>
      <c r="H12" s="79" t="s">
        <v>51</v>
      </c>
      <c r="I12" s="88" t="s">
        <v>13</v>
      </c>
      <c r="J12" s="81">
        <v>45526.0</v>
      </c>
      <c r="K12" s="82" t="s">
        <v>49</v>
      </c>
      <c r="L12" s="83"/>
      <c r="M12" s="89" t="s">
        <v>18</v>
      </c>
      <c r="N12" s="85"/>
      <c r="O12" s="86"/>
      <c r="P12" s="83"/>
      <c r="Q12" s="89" t="s">
        <v>32</v>
      </c>
      <c r="R12" s="85"/>
      <c r="S12" s="86"/>
      <c r="T12" s="83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44</v>
      </c>
      <c r="D13" s="76" t="s">
        <v>20</v>
      </c>
      <c r="E13" s="77" t="s">
        <v>45</v>
      </c>
      <c r="F13" s="78" t="s">
        <v>52</v>
      </c>
      <c r="G13" s="78" t="s">
        <v>47</v>
      </c>
      <c r="H13" s="79" t="s">
        <v>53</v>
      </c>
      <c r="I13" s="88" t="s">
        <v>13</v>
      </c>
      <c r="J13" s="81">
        <v>45526.0</v>
      </c>
      <c r="K13" s="82" t="s">
        <v>49</v>
      </c>
      <c r="L13" s="83"/>
      <c r="M13" s="89" t="s">
        <v>18</v>
      </c>
      <c r="N13" s="85"/>
      <c r="O13" s="86"/>
      <c r="P13" s="83"/>
      <c r="Q13" s="89" t="s">
        <v>32</v>
      </c>
      <c r="R13" s="85"/>
      <c r="S13" s="86"/>
      <c r="T13" s="83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44</v>
      </c>
      <c r="D14" s="76" t="s">
        <v>20</v>
      </c>
      <c r="E14" s="77" t="s">
        <v>45</v>
      </c>
      <c r="F14" s="78" t="s">
        <v>52</v>
      </c>
      <c r="G14" s="78" t="s">
        <v>47</v>
      </c>
      <c r="H14" s="90" t="s">
        <v>54</v>
      </c>
      <c r="I14" s="88" t="s">
        <v>13</v>
      </c>
      <c r="J14" s="81">
        <v>45526.0</v>
      </c>
      <c r="K14" s="82" t="s">
        <v>49</v>
      </c>
      <c r="L14" s="83"/>
      <c r="M14" s="89" t="s">
        <v>18</v>
      </c>
      <c r="N14" s="85"/>
      <c r="O14" s="86"/>
      <c r="P14" s="83"/>
      <c r="Q14" s="89" t="s">
        <v>32</v>
      </c>
      <c r="R14" s="85"/>
      <c r="S14" s="86"/>
      <c r="T14" s="83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44</v>
      </c>
      <c r="D15" s="76" t="s">
        <v>20</v>
      </c>
      <c r="E15" s="77" t="s">
        <v>45</v>
      </c>
      <c r="F15" s="78" t="s">
        <v>55</v>
      </c>
      <c r="G15" s="78" t="s">
        <v>47</v>
      </c>
      <c r="H15" s="90" t="s">
        <v>56</v>
      </c>
      <c r="I15" s="88" t="s">
        <v>13</v>
      </c>
      <c r="J15" s="81">
        <v>45526.0</v>
      </c>
      <c r="K15" s="82" t="s">
        <v>49</v>
      </c>
      <c r="L15" s="83"/>
      <c r="M15" s="89" t="s">
        <v>18</v>
      </c>
      <c r="N15" s="85"/>
      <c r="O15" s="86"/>
      <c r="P15" s="83"/>
      <c r="Q15" s="89" t="s">
        <v>32</v>
      </c>
      <c r="R15" s="85"/>
      <c r="S15" s="86"/>
      <c r="T15" s="83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44</v>
      </c>
      <c r="D16" s="76" t="s">
        <v>20</v>
      </c>
      <c r="E16" s="77" t="s">
        <v>45</v>
      </c>
      <c r="F16" s="78" t="s">
        <v>57</v>
      </c>
      <c r="G16" s="78" t="s">
        <v>47</v>
      </c>
      <c r="H16" s="90" t="s">
        <v>58</v>
      </c>
      <c r="I16" s="88" t="s">
        <v>13</v>
      </c>
      <c r="J16" s="81">
        <v>45526.0</v>
      </c>
      <c r="K16" s="82" t="s">
        <v>49</v>
      </c>
      <c r="L16" s="83"/>
      <c r="M16" s="89" t="s">
        <v>18</v>
      </c>
      <c r="N16" s="85"/>
      <c r="O16" s="86"/>
      <c r="P16" s="83"/>
      <c r="Q16" s="89" t="s">
        <v>32</v>
      </c>
      <c r="R16" s="85"/>
      <c r="S16" s="86"/>
      <c r="T16" s="83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59</v>
      </c>
      <c r="E17" s="77" t="s">
        <v>45</v>
      </c>
      <c r="F17" s="78" t="s">
        <v>46</v>
      </c>
      <c r="G17" s="78" t="s">
        <v>60</v>
      </c>
      <c r="H17" s="91" t="s">
        <v>61</v>
      </c>
      <c r="I17" s="88" t="s">
        <v>13</v>
      </c>
      <c r="J17" s="81">
        <v>45526.0</v>
      </c>
      <c r="K17" s="82" t="s">
        <v>49</v>
      </c>
      <c r="L17" s="83"/>
      <c r="M17" s="89" t="s">
        <v>18</v>
      </c>
      <c r="N17" s="85"/>
      <c r="O17" s="86"/>
      <c r="P17" s="83"/>
      <c r="Q17" s="89" t="s">
        <v>32</v>
      </c>
      <c r="R17" s="85"/>
      <c r="S17" s="86"/>
      <c r="T17" s="83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62</v>
      </c>
      <c r="D18" s="76" t="s">
        <v>20</v>
      </c>
      <c r="E18" s="77" t="s">
        <v>45</v>
      </c>
      <c r="F18" s="78" t="s">
        <v>63</v>
      </c>
      <c r="G18" s="78" t="s">
        <v>64</v>
      </c>
      <c r="H18" s="79" t="s">
        <v>65</v>
      </c>
      <c r="I18" s="88" t="s">
        <v>13</v>
      </c>
      <c r="J18" s="81">
        <v>45526.0</v>
      </c>
      <c r="K18" s="82" t="s">
        <v>49</v>
      </c>
      <c r="L18" s="83"/>
      <c r="M18" s="89" t="s">
        <v>18</v>
      </c>
      <c r="N18" s="85"/>
      <c r="O18" s="86"/>
      <c r="P18" s="83"/>
      <c r="Q18" s="89" t="s">
        <v>32</v>
      </c>
      <c r="R18" s="85"/>
      <c r="S18" s="86"/>
      <c r="T18" s="83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62</v>
      </c>
      <c r="D19" s="76" t="s">
        <v>20</v>
      </c>
      <c r="E19" s="77" t="s">
        <v>45</v>
      </c>
      <c r="F19" s="78" t="s">
        <v>63</v>
      </c>
      <c r="G19" s="78" t="s">
        <v>64</v>
      </c>
      <c r="H19" s="79" t="s">
        <v>66</v>
      </c>
      <c r="I19" s="88" t="s">
        <v>13</v>
      </c>
      <c r="J19" s="81">
        <v>45526.0</v>
      </c>
      <c r="K19" s="82" t="s">
        <v>49</v>
      </c>
      <c r="L19" s="83"/>
      <c r="M19" s="89" t="s">
        <v>18</v>
      </c>
      <c r="N19" s="85"/>
      <c r="O19" s="86"/>
      <c r="P19" s="83"/>
      <c r="Q19" s="89" t="s">
        <v>32</v>
      </c>
      <c r="R19" s="85"/>
      <c r="S19" s="86"/>
      <c r="T19" s="83"/>
      <c r="U19" s="87" t="s">
        <v>67</v>
      </c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62</v>
      </c>
      <c r="D20" s="76" t="s">
        <v>20</v>
      </c>
      <c r="E20" s="77" t="s">
        <v>45</v>
      </c>
      <c r="F20" s="78" t="s">
        <v>63</v>
      </c>
      <c r="G20" s="78" t="s">
        <v>64</v>
      </c>
      <c r="H20" s="90" t="s">
        <v>68</v>
      </c>
      <c r="I20" s="88" t="s">
        <v>13</v>
      </c>
      <c r="J20" s="81">
        <v>45526.0</v>
      </c>
      <c r="K20" s="82" t="s">
        <v>49</v>
      </c>
      <c r="L20" s="83"/>
      <c r="M20" s="89" t="s">
        <v>18</v>
      </c>
      <c r="N20" s="85"/>
      <c r="O20" s="86"/>
      <c r="P20" s="83"/>
      <c r="Q20" s="89" t="s">
        <v>32</v>
      </c>
      <c r="R20" s="85"/>
      <c r="S20" s="86"/>
      <c r="T20" s="83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62</v>
      </c>
      <c r="D21" s="76" t="s">
        <v>20</v>
      </c>
      <c r="E21" s="77" t="s">
        <v>45</v>
      </c>
      <c r="F21" s="78" t="s">
        <v>69</v>
      </c>
      <c r="G21" s="78" t="s">
        <v>64</v>
      </c>
      <c r="H21" s="90" t="s">
        <v>70</v>
      </c>
      <c r="I21" s="88" t="s">
        <v>13</v>
      </c>
      <c r="J21" s="81">
        <v>45526.0</v>
      </c>
      <c r="K21" s="82" t="s">
        <v>49</v>
      </c>
      <c r="L21" s="83"/>
      <c r="M21" s="89" t="s">
        <v>18</v>
      </c>
      <c r="N21" s="85"/>
      <c r="O21" s="86"/>
      <c r="P21" s="83"/>
      <c r="Q21" s="89" t="s">
        <v>32</v>
      </c>
      <c r="R21" s="85"/>
      <c r="S21" s="86"/>
      <c r="T21" s="83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62</v>
      </c>
      <c r="D22" s="76" t="s">
        <v>20</v>
      </c>
      <c r="E22" s="77" t="s">
        <v>45</v>
      </c>
      <c r="F22" s="78" t="s">
        <v>71</v>
      </c>
      <c r="G22" s="78" t="s">
        <v>64</v>
      </c>
      <c r="H22" s="90" t="s">
        <v>72</v>
      </c>
      <c r="I22" s="88" t="s">
        <v>13</v>
      </c>
      <c r="J22" s="81">
        <v>45526.0</v>
      </c>
      <c r="K22" s="82" t="s">
        <v>49</v>
      </c>
      <c r="L22" s="83"/>
      <c r="M22" s="89" t="s">
        <v>18</v>
      </c>
      <c r="N22" s="85"/>
      <c r="O22" s="86"/>
      <c r="P22" s="83"/>
      <c r="Q22" s="89" t="s">
        <v>32</v>
      </c>
      <c r="R22" s="85"/>
      <c r="S22" s="86"/>
      <c r="T22" s="83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73</v>
      </c>
      <c r="D23" s="76" t="s">
        <v>74</v>
      </c>
      <c r="E23" s="77" t="s">
        <v>45</v>
      </c>
      <c r="F23" s="78" t="s">
        <v>75</v>
      </c>
      <c r="G23" s="78" t="s">
        <v>76</v>
      </c>
      <c r="H23" s="79" t="s">
        <v>77</v>
      </c>
      <c r="I23" s="88" t="s">
        <v>15</v>
      </c>
      <c r="J23" s="81">
        <v>45526.0</v>
      </c>
      <c r="K23" s="82" t="s">
        <v>49</v>
      </c>
      <c r="L23" s="92">
        <v>157.0</v>
      </c>
      <c r="M23" s="89" t="s">
        <v>18</v>
      </c>
      <c r="N23" s="85"/>
      <c r="O23" s="86"/>
      <c r="P23" s="83"/>
      <c r="Q23" s="89" t="s">
        <v>32</v>
      </c>
      <c r="R23" s="85"/>
      <c r="S23" s="86"/>
      <c r="T23" s="83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73</v>
      </c>
      <c r="D24" s="76" t="s">
        <v>74</v>
      </c>
      <c r="E24" s="77" t="s">
        <v>45</v>
      </c>
      <c r="F24" s="78" t="s">
        <v>75</v>
      </c>
      <c r="G24" s="78" t="s">
        <v>76</v>
      </c>
      <c r="H24" s="79" t="s">
        <v>66</v>
      </c>
      <c r="I24" s="88" t="s">
        <v>13</v>
      </c>
      <c r="J24" s="81">
        <v>45526.0</v>
      </c>
      <c r="K24" s="82" t="s">
        <v>49</v>
      </c>
      <c r="L24" s="83"/>
      <c r="M24" s="89" t="s">
        <v>18</v>
      </c>
      <c r="N24" s="85"/>
      <c r="O24" s="86"/>
      <c r="P24" s="83"/>
      <c r="Q24" s="89" t="s">
        <v>32</v>
      </c>
      <c r="R24" s="85"/>
      <c r="S24" s="86"/>
      <c r="T24" s="83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62</v>
      </c>
      <c r="D25" s="76" t="s">
        <v>20</v>
      </c>
      <c r="E25" s="77" t="s">
        <v>45</v>
      </c>
      <c r="F25" s="78" t="s">
        <v>78</v>
      </c>
      <c r="G25" s="78" t="s">
        <v>64</v>
      </c>
      <c r="H25" s="79" t="s">
        <v>79</v>
      </c>
      <c r="I25" s="88" t="s">
        <v>13</v>
      </c>
      <c r="J25" s="81">
        <v>45526.0</v>
      </c>
      <c r="K25" s="82" t="s">
        <v>49</v>
      </c>
      <c r="L25" s="83"/>
      <c r="M25" s="89" t="s">
        <v>18</v>
      </c>
      <c r="N25" s="85"/>
      <c r="O25" s="86"/>
      <c r="P25" s="83"/>
      <c r="Q25" s="89" t="s">
        <v>32</v>
      </c>
      <c r="R25" s="85"/>
      <c r="S25" s="86"/>
      <c r="T25" s="83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62</v>
      </c>
      <c r="D26" s="76" t="s">
        <v>20</v>
      </c>
      <c r="E26" s="77" t="s">
        <v>45</v>
      </c>
      <c r="F26" s="78" t="s">
        <v>78</v>
      </c>
      <c r="G26" s="78" t="s">
        <v>64</v>
      </c>
      <c r="H26" s="79" t="s">
        <v>66</v>
      </c>
      <c r="I26" s="88" t="s">
        <v>13</v>
      </c>
      <c r="J26" s="81">
        <v>45526.0</v>
      </c>
      <c r="K26" s="82" t="s">
        <v>49</v>
      </c>
      <c r="L26" s="83"/>
      <c r="M26" s="89" t="s">
        <v>18</v>
      </c>
      <c r="N26" s="85"/>
      <c r="O26" s="86"/>
      <c r="P26" s="83"/>
      <c r="Q26" s="89" t="s">
        <v>32</v>
      </c>
      <c r="R26" s="85"/>
      <c r="S26" s="86"/>
      <c r="T26" s="83"/>
      <c r="U26" s="87" t="s">
        <v>67</v>
      </c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62</v>
      </c>
      <c r="D27" s="76" t="s">
        <v>20</v>
      </c>
      <c r="E27" s="77" t="s">
        <v>45</v>
      </c>
      <c r="F27" s="78" t="s">
        <v>78</v>
      </c>
      <c r="G27" s="78" t="s">
        <v>64</v>
      </c>
      <c r="H27" s="90" t="s">
        <v>80</v>
      </c>
      <c r="I27" s="88" t="s">
        <v>13</v>
      </c>
      <c r="J27" s="81">
        <v>45526.0</v>
      </c>
      <c r="K27" s="82" t="s">
        <v>49</v>
      </c>
      <c r="L27" s="83"/>
      <c r="M27" s="89" t="s">
        <v>18</v>
      </c>
      <c r="N27" s="85"/>
      <c r="O27" s="86"/>
      <c r="P27" s="83"/>
      <c r="Q27" s="89" t="s">
        <v>32</v>
      </c>
      <c r="R27" s="85"/>
      <c r="S27" s="86"/>
      <c r="T27" s="83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62</v>
      </c>
      <c r="D28" s="76" t="s">
        <v>20</v>
      </c>
      <c r="E28" s="77" t="s">
        <v>45</v>
      </c>
      <c r="F28" s="78" t="s">
        <v>81</v>
      </c>
      <c r="G28" s="78" t="s">
        <v>64</v>
      </c>
      <c r="H28" s="90" t="s">
        <v>68</v>
      </c>
      <c r="I28" s="88" t="s">
        <v>13</v>
      </c>
      <c r="J28" s="81">
        <v>45526.0</v>
      </c>
      <c r="K28" s="82" t="s">
        <v>49</v>
      </c>
      <c r="L28" s="83"/>
      <c r="M28" s="89" t="s">
        <v>18</v>
      </c>
      <c r="N28" s="85"/>
      <c r="O28" s="86"/>
      <c r="P28" s="83"/>
      <c r="Q28" s="89" t="s">
        <v>32</v>
      </c>
      <c r="R28" s="85"/>
      <c r="S28" s="86"/>
      <c r="T28" s="83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76" t="s">
        <v>62</v>
      </c>
      <c r="D29" s="76" t="s">
        <v>20</v>
      </c>
      <c r="E29" s="77" t="s">
        <v>45</v>
      </c>
      <c r="F29" s="78" t="s">
        <v>82</v>
      </c>
      <c r="G29" s="78" t="s">
        <v>64</v>
      </c>
      <c r="H29" s="90" t="s">
        <v>83</v>
      </c>
      <c r="I29" s="88" t="s">
        <v>13</v>
      </c>
      <c r="J29" s="81">
        <v>45526.0</v>
      </c>
      <c r="K29" s="82" t="s">
        <v>49</v>
      </c>
      <c r="L29" s="83"/>
      <c r="M29" s="89" t="s">
        <v>18</v>
      </c>
      <c r="N29" s="85"/>
      <c r="O29" s="86"/>
      <c r="P29" s="83"/>
      <c r="Q29" s="89" t="s">
        <v>32</v>
      </c>
      <c r="R29" s="85"/>
      <c r="S29" s="86"/>
      <c r="T29" s="83"/>
      <c r="U29" s="49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76" t="s">
        <v>73</v>
      </c>
      <c r="D30" s="76" t="s">
        <v>74</v>
      </c>
      <c r="E30" s="77" t="s">
        <v>45</v>
      </c>
      <c r="F30" s="78" t="s">
        <v>84</v>
      </c>
      <c r="G30" s="78" t="s">
        <v>85</v>
      </c>
      <c r="H30" s="79" t="s">
        <v>86</v>
      </c>
      <c r="I30" s="88" t="s">
        <v>13</v>
      </c>
      <c r="J30" s="81">
        <v>45526.0</v>
      </c>
      <c r="K30" s="82" t="s">
        <v>49</v>
      </c>
      <c r="L30" s="83"/>
      <c r="M30" s="89" t="s">
        <v>18</v>
      </c>
      <c r="N30" s="85"/>
      <c r="O30" s="86"/>
      <c r="P30" s="83"/>
      <c r="Q30" s="89" t="s">
        <v>32</v>
      </c>
      <c r="R30" s="85"/>
      <c r="S30" s="86"/>
      <c r="T30" s="83"/>
      <c r="U30" s="4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76" t="s">
        <v>73</v>
      </c>
      <c r="D31" s="76" t="s">
        <v>74</v>
      </c>
      <c r="E31" s="77" t="s">
        <v>45</v>
      </c>
      <c r="F31" s="78" t="s">
        <v>84</v>
      </c>
      <c r="G31" s="78" t="s">
        <v>85</v>
      </c>
      <c r="H31" s="79" t="s">
        <v>66</v>
      </c>
      <c r="I31" s="88" t="s">
        <v>13</v>
      </c>
      <c r="J31" s="81">
        <v>45526.0</v>
      </c>
      <c r="K31" s="82" t="s">
        <v>49</v>
      </c>
      <c r="L31" s="83"/>
      <c r="M31" s="89" t="s">
        <v>18</v>
      </c>
      <c r="N31" s="85"/>
      <c r="O31" s="86"/>
      <c r="P31" s="83"/>
      <c r="Q31" s="89" t="s">
        <v>32</v>
      </c>
      <c r="R31" s="85"/>
      <c r="S31" s="86"/>
      <c r="T31" s="83"/>
      <c r="U31" s="4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76" t="s">
        <v>62</v>
      </c>
      <c r="D32" s="76" t="s">
        <v>20</v>
      </c>
      <c r="E32" s="77" t="s">
        <v>45</v>
      </c>
      <c r="F32" s="78" t="s">
        <v>82</v>
      </c>
      <c r="G32" s="78" t="s">
        <v>64</v>
      </c>
      <c r="H32" s="79" t="s">
        <v>87</v>
      </c>
      <c r="I32" s="88" t="s">
        <v>13</v>
      </c>
      <c r="J32" s="81">
        <v>45526.0</v>
      </c>
      <c r="K32" s="82" t="s">
        <v>49</v>
      </c>
      <c r="L32" s="83"/>
      <c r="M32" s="89" t="s">
        <v>18</v>
      </c>
      <c r="N32" s="85"/>
      <c r="O32" s="86"/>
      <c r="P32" s="83"/>
      <c r="Q32" s="89" t="s">
        <v>32</v>
      </c>
      <c r="R32" s="85"/>
      <c r="S32" s="86"/>
      <c r="T32" s="83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76" t="s">
        <v>62</v>
      </c>
      <c r="D33" s="76" t="s">
        <v>20</v>
      </c>
      <c r="E33" s="77" t="s">
        <v>45</v>
      </c>
      <c r="F33" s="78" t="s">
        <v>82</v>
      </c>
      <c r="G33" s="78" t="s">
        <v>64</v>
      </c>
      <c r="H33" s="79" t="s">
        <v>66</v>
      </c>
      <c r="I33" s="88" t="s">
        <v>13</v>
      </c>
      <c r="J33" s="81">
        <v>45526.0</v>
      </c>
      <c r="K33" s="82" t="s">
        <v>49</v>
      </c>
      <c r="L33" s="83"/>
      <c r="M33" s="89" t="s">
        <v>18</v>
      </c>
      <c r="N33" s="85"/>
      <c r="O33" s="86"/>
      <c r="P33" s="83"/>
      <c r="Q33" s="89" t="s">
        <v>32</v>
      </c>
      <c r="R33" s="85"/>
      <c r="S33" s="86"/>
      <c r="T33" s="83"/>
      <c r="U33" s="87" t="s">
        <v>67</v>
      </c>
      <c r="V33" s="40"/>
      <c r="W33" s="40"/>
      <c r="X33" s="40"/>
      <c r="Y33" s="40"/>
      <c r="Z33" s="40"/>
    </row>
    <row r="34" ht="15.75" customHeight="1">
      <c r="A34" s="29"/>
      <c r="B34" s="75"/>
      <c r="C34" s="76" t="s">
        <v>62</v>
      </c>
      <c r="D34" s="76" t="s">
        <v>20</v>
      </c>
      <c r="E34" s="77" t="s">
        <v>45</v>
      </c>
      <c r="F34" s="78" t="s">
        <v>82</v>
      </c>
      <c r="G34" s="78" t="s">
        <v>64</v>
      </c>
      <c r="H34" s="90" t="s">
        <v>80</v>
      </c>
      <c r="I34" s="88" t="s">
        <v>13</v>
      </c>
      <c r="J34" s="81">
        <v>45526.0</v>
      </c>
      <c r="K34" s="82" t="s">
        <v>49</v>
      </c>
      <c r="L34" s="83"/>
      <c r="M34" s="89" t="s">
        <v>18</v>
      </c>
      <c r="N34" s="85"/>
      <c r="O34" s="86"/>
      <c r="P34" s="83"/>
      <c r="Q34" s="89" t="s">
        <v>32</v>
      </c>
      <c r="R34" s="85"/>
      <c r="S34" s="86"/>
      <c r="T34" s="83"/>
      <c r="U34" s="49"/>
      <c r="V34" s="40"/>
      <c r="W34" s="40"/>
      <c r="X34" s="40"/>
      <c r="Y34" s="40"/>
      <c r="Z34" s="40"/>
    </row>
    <row r="35" ht="15.75" customHeight="1">
      <c r="A35" s="29"/>
      <c r="B35" s="75"/>
      <c r="C35" s="76" t="s">
        <v>62</v>
      </c>
      <c r="D35" s="76" t="s">
        <v>20</v>
      </c>
      <c r="E35" s="77" t="s">
        <v>45</v>
      </c>
      <c r="F35" s="78" t="s">
        <v>88</v>
      </c>
      <c r="G35" s="78" t="s">
        <v>64</v>
      </c>
      <c r="H35" s="90" t="s">
        <v>68</v>
      </c>
      <c r="I35" s="88" t="s">
        <v>13</v>
      </c>
      <c r="J35" s="81">
        <v>45526.0</v>
      </c>
      <c r="K35" s="82" t="s">
        <v>49</v>
      </c>
      <c r="L35" s="83"/>
      <c r="M35" s="89" t="s">
        <v>18</v>
      </c>
      <c r="N35" s="85"/>
      <c r="O35" s="86"/>
      <c r="P35" s="83"/>
      <c r="Q35" s="89" t="s">
        <v>32</v>
      </c>
      <c r="R35" s="85"/>
      <c r="S35" s="86"/>
      <c r="T35" s="83"/>
      <c r="U35" s="49"/>
      <c r="V35" s="40"/>
      <c r="W35" s="40"/>
      <c r="X35" s="40"/>
      <c r="Y35" s="40"/>
      <c r="Z35" s="40"/>
    </row>
    <row r="36" ht="15.75" customHeight="1">
      <c r="A36" s="29"/>
      <c r="B36" s="75"/>
      <c r="C36" s="76" t="s">
        <v>62</v>
      </c>
      <c r="D36" s="76" t="s">
        <v>20</v>
      </c>
      <c r="E36" s="77" t="s">
        <v>45</v>
      </c>
      <c r="F36" s="78" t="s">
        <v>89</v>
      </c>
      <c r="G36" s="78" t="s">
        <v>64</v>
      </c>
      <c r="H36" s="90" t="s">
        <v>70</v>
      </c>
      <c r="I36" s="88" t="s">
        <v>13</v>
      </c>
      <c r="J36" s="81">
        <v>45526.0</v>
      </c>
      <c r="K36" s="82" t="s">
        <v>49</v>
      </c>
      <c r="L36" s="83"/>
      <c r="M36" s="89" t="s">
        <v>18</v>
      </c>
      <c r="N36" s="85"/>
      <c r="O36" s="86"/>
      <c r="P36" s="83"/>
      <c r="Q36" s="89" t="s">
        <v>32</v>
      </c>
      <c r="R36" s="85"/>
      <c r="S36" s="86"/>
      <c r="T36" s="83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ref="B37:B57" si="5">(ROW()-ROW($B$10))</f>
        <v>27</v>
      </c>
      <c r="C37" s="93" t="s">
        <v>20</v>
      </c>
      <c r="D37" s="94" t="s">
        <v>74</v>
      </c>
      <c r="E37" s="77" t="s">
        <v>45</v>
      </c>
      <c r="F37" s="95" t="s">
        <v>90</v>
      </c>
      <c r="G37" s="90" t="s">
        <v>91</v>
      </c>
      <c r="H37" s="90" t="s">
        <v>92</v>
      </c>
      <c r="I37" s="88" t="s">
        <v>15</v>
      </c>
      <c r="J37" s="81">
        <v>45526.0</v>
      </c>
      <c r="K37" s="82" t="s">
        <v>49</v>
      </c>
      <c r="L37" s="92">
        <v>161.0</v>
      </c>
      <c r="M37" s="89" t="s">
        <v>18</v>
      </c>
      <c r="N37" s="85"/>
      <c r="O37" s="86"/>
      <c r="P37" s="83"/>
      <c r="Q37" s="89" t="s">
        <v>32</v>
      </c>
      <c r="R37" s="85"/>
      <c r="S37" s="86"/>
      <c r="T37" s="83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5"/>
        <v>28</v>
      </c>
      <c r="C38" s="93" t="s">
        <v>20</v>
      </c>
      <c r="D38" s="94" t="s">
        <v>74</v>
      </c>
      <c r="E38" s="77" t="s">
        <v>45</v>
      </c>
      <c r="F38" s="96" t="s">
        <v>93</v>
      </c>
      <c r="G38" s="97" t="s">
        <v>94</v>
      </c>
      <c r="H38" s="97" t="s">
        <v>95</v>
      </c>
      <c r="I38" s="88" t="s">
        <v>15</v>
      </c>
      <c r="J38" s="81">
        <v>45526.0</v>
      </c>
      <c r="K38" s="82" t="s">
        <v>49</v>
      </c>
      <c r="L38" s="92">
        <v>161.0</v>
      </c>
      <c r="M38" s="89" t="s">
        <v>18</v>
      </c>
      <c r="N38" s="85"/>
      <c r="O38" s="86"/>
      <c r="P38" s="83"/>
      <c r="Q38" s="89" t="s">
        <v>32</v>
      </c>
      <c r="R38" s="85"/>
      <c r="S38" s="86"/>
      <c r="T38" s="83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5"/>
        <v>29</v>
      </c>
      <c r="C39" s="93" t="s">
        <v>20</v>
      </c>
      <c r="D39" s="94" t="s">
        <v>74</v>
      </c>
      <c r="E39" s="77" t="s">
        <v>45</v>
      </c>
      <c r="F39" s="96" t="s">
        <v>96</v>
      </c>
      <c r="G39" s="97" t="s">
        <v>97</v>
      </c>
      <c r="H39" s="97" t="s">
        <v>98</v>
      </c>
      <c r="I39" s="88" t="s">
        <v>15</v>
      </c>
      <c r="J39" s="81">
        <v>45526.0</v>
      </c>
      <c r="K39" s="82" t="s">
        <v>49</v>
      </c>
      <c r="L39" s="92">
        <v>161.0</v>
      </c>
      <c r="M39" s="89" t="s">
        <v>18</v>
      </c>
      <c r="N39" s="85"/>
      <c r="O39" s="86"/>
      <c r="P39" s="83"/>
      <c r="Q39" s="89" t="s">
        <v>32</v>
      </c>
      <c r="R39" s="85"/>
      <c r="S39" s="86"/>
      <c r="T39" s="83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5"/>
        <v>30</v>
      </c>
      <c r="C40" s="93" t="s">
        <v>20</v>
      </c>
      <c r="D40" s="94" t="s">
        <v>74</v>
      </c>
      <c r="E40" s="77" t="s">
        <v>45</v>
      </c>
      <c r="F40" s="95" t="s">
        <v>99</v>
      </c>
      <c r="G40" s="90" t="s">
        <v>91</v>
      </c>
      <c r="H40" s="90" t="s">
        <v>92</v>
      </c>
      <c r="I40" s="88" t="s">
        <v>15</v>
      </c>
      <c r="J40" s="81">
        <v>45526.0</v>
      </c>
      <c r="K40" s="82" t="s">
        <v>49</v>
      </c>
      <c r="L40" s="92">
        <v>161.0</v>
      </c>
      <c r="M40" s="89" t="s">
        <v>18</v>
      </c>
      <c r="N40" s="85"/>
      <c r="O40" s="86"/>
      <c r="P40" s="83"/>
      <c r="Q40" s="89" t="s">
        <v>32</v>
      </c>
      <c r="R40" s="85"/>
      <c r="S40" s="86"/>
      <c r="T40" s="83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5"/>
        <v>31</v>
      </c>
      <c r="C41" s="93" t="s">
        <v>20</v>
      </c>
      <c r="D41" s="94" t="s">
        <v>74</v>
      </c>
      <c r="E41" s="77" t="s">
        <v>45</v>
      </c>
      <c r="F41" s="96" t="s">
        <v>100</v>
      </c>
      <c r="G41" s="97" t="s">
        <v>94</v>
      </c>
      <c r="H41" s="97" t="s">
        <v>95</v>
      </c>
      <c r="I41" s="88" t="s">
        <v>15</v>
      </c>
      <c r="J41" s="81">
        <v>45526.0</v>
      </c>
      <c r="K41" s="82" t="s">
        <v>49</v>
      </c>
      <c r="L41" s="92">
        <v>161.0</v>
      </c>
      <c r="M41" s="89" t="s">
        <v>18</v>
      </c>
      <c r="N41" s="85"/>
      <c r="O41" s="86"/>
      <c r="P41" s="83"/>
      <c r="Q41" s="89" t="s">
        <v>32</v>
      </c>
      <c r="R41" s="85"/>
      <c r="S41" s="86"/>
      <c r="T41" s="83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5"/>
        <v>32</v>
      </c>
      <c r="C42" s="93" t="s">
        <v>20</v>
      </c>
      <c r="D42" s="94" t="s">
        <v>74</v>
      </c>
      <c r="E42" s="77" t="s">
        <v>45</v>
      </c>
      <c r="F42" s="96" t="s">
        <v>101</v>
      </c>
      <c r="G42" s="97" t="s">
        <v>97</v>
      </c>
      <c r="H42" s="97" t="s">
        <v>98</v>
      </c>
      <c r="I42" s="88" t="s">
        <v>15</v>
      </c>
      <c r="J42" s="81">
        <v>45526.0</v>
      </c>
      <c r="K42" s="82" t="s">
        <v>49</v>
      </c>
      <c r="L42" s="92">
        <v>161.0</v>
      </c>
      <c r="M42" s="89" t="s">
        <v>18</v>
      </c>
      <c r="N42" s="85"/>
      <c r="O42" s="86"/>
      <c r="P42" s="83"/>
      <c r="Q42" s="89" t="s">
        <v>32</v>
      </c>
      <c r="R42" s="85"/>
      <c r="S42" s="86"/>
      <c r="T42" s="83"/>
      <c r="U42" s="49"/>
      <c r="V42" s="40"/>
      <c r="W42" s="40"/>
      <c r="X42" s="40"/>
      <c r="Y42" s="40"/>
      <c r="Z42" s="40"/>
    </row>
    <row r="43" ht="15.75" customHeight="1">
      <c r="A43" s="29"/>
      <c r="B43" s="75">
        <f t="shared" si="5"/>
        <v>33</v>
      </c>
      <c r="C43" s="93" t="s">
        <v>20</v>
      </c>
      <c r="D43" s="94" t="s">
        <v>74</v>
      </c>
      <c r="E43" s="77" t="s">
        <v>45</v>
      </c>
      <c r="F43" s="95" t="s">
        <v>102</v>
      </c>
      <c r="G43" s="90" t="s">
        <v>91</v>
      </c>
      <c r="H43" s="90" t="s">
        <v>92</v>
      </c>
      <c r="I43" s="88" t="s">
        <v>15</v>
      </c>
      <c r="J43" s="81">
        <v>45526.0</v>
      </c>
      <c r="K43" s="82" t="s">
        <v>49</v>
      </c>
      <c r="L43" s="92">
        <v>161.0</v>
      </c>
      <c r="M43" s="89" t="s">
        <v>18</v>
      </c>
      <c r="N43" s="85"/>
      <c r="O43" s="86"/>
      <c r="P43" s="83"/>
      <c r="Q43" s="89" t="s">
        <v>32</v>
      </c>
      <c r="R43" s="85"/>
      <c r="S43" s="86"/>
      <c r="T43" s="83"/>
      <c r="U43" s="49"/>
      <c r="V43" s="40"/>
      <c r="W43" s="40"/>
      <c r="X43" s="40"/>
      <c r="Y43" s="40"/>
      <c r="Z43" s="40"/>
    </row>
    <row r="44" ht="15.75" customHeight="1">
      <c r="A44" s="29"/>
      <c r="B44" s="75">
        <f t="shared" si="5"/>
        <v>34</v>
      </c>
      <c r="C44" s="93" t="s">
        <v>20</v>
      </c>
      <c r="D44" s="94" t="s">
        <v>74</v>
      </c>
      <c r="E44" s="77" t="s">
        <v>45</v>
      </c>
      <c r="F44" s="96" t="s">
        <v>103</v>
      </c>
      <c r="G44" s="97" t="s">
        <v>94</v>
      </c>
      <c r="H44" s="97" t="s">
        <v>95</v>
      </c>
      <c r="I44" s="88" t="s">
        <v>15</v>
      </c>
      <c r="J44" s="81">
        <v>45526.0</v>
      </c>
      <c r="K44" s="82" t="s">
        <v>49</v>
      </c>
      <c r="L44" s="92">
        <v>161.0</v>
      </c>
      <c r="M44" s="89" t="s">
        <v>18</v>
      </c>
      <c r="N44" s="85"/>
      <c r="O44" s="86"/>
      <c r="P44" s="83"/>
      <c r="Q44" s="89" t="s">
        <v>32</v>
      </c>
      <c r="R44" s="85"/>
      <c r="S44" s="86"/>
      <c r="T44" s="83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5"/>
        <v>35</v>
      </c>
      <c r="C45" s="93" t="s">
        <v>20</v>
      </c>
      <c r="D45" s="94" t="s">
        <v>74</v>
      </c>
      <c r="E45" s="77" t="s">
        <v>45</v>
      </c>
      <c r="F45" s="96" t="s">
        <v>104</v>
      </c>
      <c r="G45" s="97" t="s">
        <v>97</v>
      </c>
      <c r="H45" s="97" t="s">
        <v>98</v>
      </c>
      <c r="I45" s="88" t="s">
        <v>15</v>
      </c>
      <c r="J45" s="81">
        <v>45526.0</v>
      </c>
      <c r="K45" s="82" t="s">
        <v>49</v>
      </c>
      <c r="L45" s="92">
        <v>161.0</v>
      </c>
      <c r="M45" s="89" t="s">
        <v>18</v>
      </c>
      <c r="N45" s="85"/>
      <c r="O45" s="86"/>
      <c r="P45" s="83"/>
      <c r="Q45" s="89" t="s">
        <v>32</v>
      </c>
      <c r="R45" s="85"/>
      <c r="S45" s="86"/>
      <c r="T45" s="83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5"/>
        <v>36</v>
      </c>
      <c r="C46" s="95" t="s">
        <v>105</v>
      </c>
      <c r="D46" s="90" t="s">
        <v>20</v>
      </c>
      <c r="E46" s="77" t="s">
        <v>45</v>
      </c>
      <c r="F46" s="90" t="s">
        <v>106</v>
      </c>
      <c r="G46" s="90" t="s">
        <v>107</v>
      </c>
      <c r="H46" s="90" t="s">
        <v>108</v>
      </c>
      <c r="I46" s="88" t="s">
        <v>13</v>
      </c>
      <c r="J46" s="81">
        <v>45526.0</v>
      </c>
      <c r="K46" s="82" t="s">
        <v>49</v>
      </c>
      <c r="L46" s="83"/>
      <c r="M46" s="89" t="s">
        <v>18</v>
      </c>
      <c r="N46" s="85"/>
      <c r="O46" s="86"/>
      <c r="P46" s="83"/>
      <c r="Q46" s="89" t="s">
        <v>32</v>
      </c>
      <c r="R46" s="85"/>
      <c r="S46" s="86"/>
      <c r="T46" s="83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5"/>
        <v>37</v>
      </c>
      <c r="C47" s="96" t="s">
        <v>105</v>
      </c>
      <c r="D47" s="97" t="s">
        <v>20</v>
      </c>
      <c r="E47" s="77" t="s">
        <v>45</v>
      </c>
      <c r="F47" s="97" t="s">
        <v>109</v>
      </c>
      <c r="G47" s="97" t="s">
        <v>110</v>
      </c>
      <c r="H47" s="97" t="s">
        <v>111</v>
      </c>
      <c r="I47" s="88" t="s">
        <v>13</v>
      </c>
      <c r="J47" s="81">
        <v>45526.0</v>
      </c>
      <c r="K47" s="82" t="s">
        <v>49</v>
      </c>
      <c r="L47" s="83"/>
      <c r="M47" s="89" t="s">
        <v>18</v>
      </c>
      <c r="N47" s="85"/>
      <c r="O47" s="86"/>
      <c r="P47" s="83"/>
      <c r="Q47" s="89" t="s">
        <v>32</v>
      </c>
      <c r="R47" s="85"/>
      <c r="S47" s="86"/>
      <c r="T47" s="83"/>
      <c r="U47" s="49"/>
      <c r="V47" s="40"/>
      <c r="W47" s="40"/>
      <c r="X47" s="40"/>
      <c r="Y47" s="40"/>
      <c r="Z47" s="40"/>
    </row>
    <row r="48" ht="15.75" customHeight="1">
      <c r="A48" s="29"/>
      <c r="B48" s="75">
        <f t="shared" si="5"/>
        <v>38</v>
      </c>
      <c r="C48" s="96" t="s">
        <v>105</v>
      </c>
      <c r="D48" s="97" t="s">
        <v>20</v>
      </c>
      <c r="E48" s="77" t="s">
        <v>45</v>
      </c>
      <c r="F48" s="97" t="s">
        <v>112</v>
      </c>
      <c r="G48" s="97" t="s">
        <v>107</v>
      </c>
      <c r="H48" s="97" t="s">
        <v>108</v>
      </c>
      <c r="I48" s="88" t="s">
        <v>13</v>
      </c>
      <c r="J48" s="81">
        <v>45526.0</v>
      </c>
      <c r="K48" s="82" t="s">
        <v>49</v>
      </c>
      <c r="L48" s="83"/>
      <c r="M48" s="89" t="s">
        <v>18</v>
      </c>
      <c r="N48" s="85"/>
      <c r="O48" s="86"/>
      <c r="P48" s="83"/>
      <c r="Q48" s="89" t="s">
        <v>32</v>
      </c>
      <c r="R48" s="85"/>
      <c r="S48" s="86"/>
      <c r="T48" s="83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5"/>
        <v>39</v>
      </c>
      <c r="C49" s="96" t="s">
        <v>105</v>
      </c>
      <c r="D49" s="97" t="s">
        <v>20</v>
      </c>
      <c r="E49" s="77" t="s">
        <v>45</v>
      </c>
      <c r="F49" s="97" t="s">
        <v>113</v>
      </c>
      <c r="G49" s="97" t="s">
        <v>110</v>
      </c>
      <c r="H49" s="97" t="s">
        <v>111</v>
      </c>
      <c r="I49" s="88" t="s">
        <v>13</v>
      </c>
      <c r="J49" s="81">
        <v>45526.0</v>
      </c>
      <c r="K49" s="82" t="s">
        <v>49</v>
      </c>
      <c r="L49" s="83"/>
      <c r="M49" s="89" t="s">
        <v>18</v>
      </c>
      <c r="N49" s="85"/>
      <c r="O49" s="86"/>
      <c r="P49" s="83"/>
      <c r="Q49" s="89" t="s">
        <v>32</v>
      </c>
      <c r="R49" s="85"/>
      <c r="S49" s="86"/>
      <c r="T49" s="83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5"/>
        <v>40</v>
      </c>
      <c r="C50" s="96" t="s">
        <v>105</v>
      </c>
      <c r="D50" s="97" t="s">
        <v>20</v>
      </c>
      <c r="E50" s="77" t="s">
        <v>45</v>
      </c>
      <c r="F50" s="97" t="s">
        <v>114</v>
      </c>
      <c r="G50" s="97" t="s">
        <v>107</v>
      </c>
      <c r="H50" s="97" t="s">
        <v>108</v>
      </c>
      <c r="I50" s="88" t="s">
        <v>13</v>
      </c>
      <c r="J50" s="81">
        <v>45526.0</v>
      </c>
      <c r="K50" s="82" t="s">
        <v>49</v>
      </c>
      <c r="L50" s="83"/>
      <c r="M50" s="89" t="s">
        <v>18</v>
      </c>
      <c r="N50" s="85"/>
      <c r="O50" s="86"/>
      <c r="P50" s="83"/>
      <c r="Q50" s="89" t="s">
        <v>32</v>
      </c>
      <c r="R50" s="85"/>
      <c r="S50" s="86"/>
      <c r="T50" s="83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5"/>
        <v>41</v>
      </c>
      <c r="C51" s="96" t="s">
        <v>105</v>
      </c>
      <c r="D51" s="97" t="s">
        <v>20</v>
      </c>
      <c r="E51" s="77" t="s">
        <v>45</v>
      </c>
      <c r="F51" s="97" t="s">
        <v>115</v>
      </c>
      <c r="G51" s="97" t="s">
        <v>110</v>
      </c>
      <c r="H51" s="97" t="s">
        <v>111</v>
      </c>
      <c r="I51" s="88" t="s">
        <v>13</v>
      </c>
      <c r="J51" s="81">
        <v>45526.0</v>
      </c>
      <c r="K51" s="82" t="s">
        <v>49</v>
      </c>
      <c r="L51" s="83"/>
      <c r="M51" s="89" t="s">
        <v>18</v>
      </c>
      <c r="N51" s="85"/>
      <c r="O51" s="86"/>
      <c r="P51" s="83"/>
      <c r="Q51" s="89" t="s">
        <v>32</v>
      </c>
      <c r="R51" s="85"/>
      <c r="S51" s="86"/>
      <c r="T51" s="83"/>
      <c r="U51" s="49"/>
      <c r="V51" s="40"/>
      <c r="W51" s="40"/>
      <c r="X51" s="40"/>
      <c r="Y51" s="40"/>
      <c r="Z51" s="40"/>
    </row>
    <row r="52" ht="15.75" customHeight="1">
      <c r="A52" s="29"/>
      <c r="B52" s="75">
        <f t="shared" si="5"/>
        <v>42</v>
      </c>
      <c r="C52" s="98" t="s">
        <v>116</v>
      </c>
      <c r="D52" s="76" t="s">
        <v>20</v>
      </c>
      <c r="E52" s="77" t="s">
        <v>45</v>
      </c>
      <c r="F52" s="90" t="s">
        <v>117</v>
      </c>
      <c r="G52" s="78" t="s">
        <v>118</v>
      </c>
      <c r="H52" s="79" t="s">
        <v>119</v>
      </c>
      <c r="I52" s="88" t="s">
        <v>13</v>
      </c>
      <c r="J52" s="81">
        <v>45526.0</v>
      </c>
      <c r="K52" s="82" t="s">
        <v>49</v>
      </c>
      <c r="L52" s="83"/>
      <c r="M52" s="89" t="s">
        <v>18</v>
      </c>
      <c r="N52" s="85"/>
      <c r="O52" s="86"/>
      <c r="P52" s="83"/>
      <c r="Q52" s="89" t="s">
        <v>32</v>
      </c>
      <c r="R52" s="85"/>
      <c r="S52" s="86"/>
      <c r="T52" s="83"/>
      <c r="U52" s="99" t="s">
        <v>120</v>
      </c>
      <c r="V52" s="40"/>
      <c r="W52" s="40"/>
      <c r="X52" s="40"/>
      <c r="Y52" s="40"/>
      <c r="Z52" s="40"/>
    </row>
    <row r="53" ht="15.75" customHeight="1">
      <c r="A53" s="29"/>
      <c r="B53" s="75">
        <f t="shared" si="5"/>
        <v>43</v>
      </c>
      <c r="C53" s="98" t="s">
        <v>116</v>
      </c>
      <c r="D53" s="76" t="s">
        <v>20</v>
      </c>
      <c r="E53" s="78" t="s">
        <v>45</v>
      </c>
      <c r="F53" s="90" t="s">
        <v>117</v>
      </c>
      <c r="G53" s="78" t="s">
        <v>121</v>
      </c>
      <c r="H53" s="79" t="s">
        <v>122</v>
      </c>
      <c r="I53" s="88" t="s">
        <v>13</v>
      </c>
      <c r="J53" s="81">
        <v>45526.0</v>
      </c>
      <c r="K53" s="82" t="s">
        <v>49</v>
      </c>
      <c r="L53" s="83"/>
      <c r="M53" s="89" t="s">
        <v>18</v>
      </c>
      <c r="N53" s="85"/>
      <c r="O53" s="86"/>
      <c r="P53" s="83"/>
      <c r="Q53" s="89" t="s">
        <v>32</v>
      </c>
      <c r="R53" s="85"/>
      <c r="S53" s="86"/>
      <c r="T53" s="83"/>
      <c r="U53" s="99" t="s">
        <v>123</v>
      </c>
      <c r="V53" s="40"/>
      <c r="W53" s="40"/>
      <c r="X53" s="40"/>
      <c r="Y53" s="40"/>
      <c r="Z53" s="40"/>
    </row>
    <row r="54" ht="15.75" customHeight="1">
      <c r="A54" s="29"/>
      <c r="B54" s="75">
        <f t="shared" si="5"/>
        <v>44</v>
      </c>
      <c r="C54" s="98" t="s">
        <v>116</v>
      </c>
      <c r="D54" s="76" t="s">
        <v>20</v>
      </c>
      <c r="E54" s="78" t="s">
        <v>45</v>
      </c>
      <c r="F54" s="90" t="s">
        <v>124</v>
      </c>
      <c r="G54" s="78" t="s">
        <v>118</v>
      </c>
      <c r="H54" s="79" t="s">
        <v>119</v>
      </c>
      <c r="I54" s="88" t="s">
        <v>13</v>
      </c>
      <c r="J54" s="81">
        <v>45526.0</v>
      </c>
      <c r="K54" s="82" t="s">
        <v>49</v>
      </c>
      <c r="L54" s="83"/>
      <c r="M54" s="89" t="s">
        <v>18</v>
      </c>
      <c r="N54" s="85"/>
      <c r="O54" s="86"/>
      <c r="P54" s="83"/>
      <c r="Q54" s="89" t="s">
        <v>32</v>
      </c>
      <c r="R54" s="85"/>
      <c r="S54" s="86"/>
      <c r="T54" s="83"/>
      <c r="U54" s="99" t="s">
        <v>120</v>
      </c>
      <c r="V54" s="40"/>
      <c r="W54" s="40"/>
      <c r="X54" s="40"/>
      <c r="Y54" s="40"/>
      <c r="Z54" s="40"/>
    </row>
    <row r="55" ht="15.75" customHeight="1">
      <c r="A55" s="29"/>
      <c r="B55" s="75">
        <f t="shared" si="5"/>
        <v>45</v>
      </c>
      <c r="C55" s="98" t="s">
        <v>116</v>
      </c>
      <c r="D55" s="76" t="s">
        <v>20</v>
      </c>
      <c r="E55" s="78" t="s">
        <v>45</v>
      </c>
      <c r="F55" s="90" t="s">
        <v>124</v>
      </c>
      <c r="G55" s="78" t="s">
        <v>121</v>
      </c>
      <c r="H55" s="79" t="s">
        <v>122</v>
      </c>
      <c r="I55" s="88" t="s">
        <v>13</v>
      </c>
      <c r="J55" s="81">
        <v>45526.0</v>
      </c>
      <c r="K55" s="82" t="s">
        <v>49</v>
      </c>
      <c r="L55" s="83"/>
      <c r="M55" s="89" t="s">
        <v>18</v>
      </c>
      <c r="N55" s="85"/>
      <c r="O55" s="86"/>
      <c r="P55" s="83"/>
      <c r="Q55" s="89" t="s">
        <v>32</v>
      </c>
      <c r="R55" s="85"/>
      <c r="S55" s="86"/>
      <c r="T55" s="83"/>
      <c r="U55" s="99" t="s">
        <v>123</v>
      </c>
      <c r="V55" s="40"/>
      <c r="W55" s="40"/>
      <c r="X55" s="40"/>
      <c r="Y55" s="40"/>
      <c r="Z55" s="40"/>
    </row>
    <row r="56" ht="15.75" customHeight="1">
      <c r="A56" s="29"/>
      <c r="B56" s="75">
        <f t="shared" si="5"/>
        <v>46</v>
      </c>
      <c r="C56" s="98" t="s">
        <v>116</v>
      </c>
      <c r="D56" s="76" t="s">
        <v>20</v>
      </c>
      <c r="E56" s="78" t="s">
        <v>45</v>
      </c>
      <c r="F56" s="90" t="s">
        <v>125</v>
      </c>
      <c r="G56" s="78" t="s">
        <v>118</v>
      </c>
      <c r="H56" s="79" t="s">
        <v>119</v>
      </c>
      <c r="I56" s="88" t="s">
        <v>13</v>
      </c>
      <c r="J56" s="81">
        <v>45526.0</v>
      </c>
      <c r="K56" s="82" t="s">
        <v>49</v>
      </c>
      <c r="L56" s="83"/>
      <c r="M56" s="89" t="s">
        <v>18</v>
      </c>
      <c r="N56" s="85"/>
      <c r="O56" s="86"/>
      <c r="P56" s="83"/>
      <c r="Q56" s="89" t="s">
        <v>32</v>
      </c>
      <c r="R56" s="85"/>
      <c r="S56" s="86"/>
      <c r="T56" s="83"/>
      <c r="U56" s="99" t="s">
        <v>120</v>
      </c>
      <c r="V56" s="40"/>
      <c r="W56" s="40"/>
      <c r="X56" s="40"/>
      <c r="Y56" s="40"/>
      <c r="Z56" s="40"/>
    </row>
    <row r="57" ht="15.75" customHeight="1">
      <c r="A57" s="29"/>
      <c r="B57" s="75">
        <f t="shared" si="5"/>
        <v>47</v>
      </c>
      <c r="C57" s="98" t="s">
        <v>116</v>
      </c>
      <c r="D57" s="76" t="s">
        <v>20</v>
      </c>
      <c r="E57" s="78" t="s">
        <v>45</v>
      </c>
      <c r="F57" s="90" t="s">
        <v>125</v>
      </c>
      <c r="G57" s="78" t="s">
        <v>121</v>
      </c>
      <c r="H57" s="79" t="s">
        <v>122</v>
      </c>
      <c r="I57" s="88" t="s">
        <v>13</v>
      </c>
      <c r="J57" s="81">
        <v>45526.0</v>
      </c>
      <c r="K57" s="82" t="s">
        <v>49</v>
      </c>
      <c r="L57" s="83"/>
      <c r="M57" s="89" t="s">
        <v>18</v>
      </c>
      <c r="N57" s="85"/>
      <c r="O57" s="86"/>
      <c r="P57" s="83"/>
      <c r="Q57" s="89" t="s">
        <v>32</v>
      </c>
      <c r="R57" s="85"/>
      <c r="S57" s="86"/>
      <c r="T57" s="83"/>
      <c r="U57" s="99" t="s">
        <v>123</v>
      </c>
      <c r="V57" s="40"/>
      <c r="W57" s="40"/>
      <c r="X57" s="40"/>
      <c r="Y57" s="40"/>
      <c r="Z57" s="40"/>
    </row>
    <row r="58" ht="15.75" customHeight="1">
      <c r="A58" s="29"/>
      <c r="B58" s="100"/>
      <c r="C58" s="101"/>
      <c r="D58" s="102"/>
      <c r="E58" s="103"/>
      <c r="F58" s="103"/>
      <c r="G58" s="103"/>
      <c r="H58" s="104"/>
      <c r="I58" s="105"/>
      <c r="J58" s="85"/>
      <c r="K58" s="86"/>
      <c r="L58" s="83"/>
      <c r="M58" s="105"/>
      <c r="N58" s="85"/>
      <c r="O58" s="106"/>
      <c r="P58" s="107"/>
      <c r="Q58" s="105"/>
      <c r="R58" s="108"/>
      <c r="S58" s="106"/>
      <c r="T58" s="107"/>
      <c r="U58" s="60"/>
      <c r="V58" s="40"/>
      <c r="W58" s="40"/>
      <c r="X58" s="40"/>
      <c r="Y58" s="40"/>
      <c r="Z58" s="40"/>
    </row>
    <row r="59" ht="10.5" customHeight="1">
      <c r="A59" s="29"/>
      <c r="B59" s="109"/>
      <c r="C59" s="110"/>
      <c r="D59" s="110"/>
      <c r="E59" s="111"/>
      <c r="F59" s="111"/>
      <c r="G59" s="111"/>
      <c r="H59" s="110"/>
      <c r="I59" s="112"/>
      <c r="J59" s="112"/>
      <c r="K59" s="112"/>
      <c r="L59" s="113"/>
      <c r="M59" s="113"/>
      <c r="N59" s="113"/>
      <c r="O59" s="114"/>
    </row>
    <row r="60" ht="15.75" customHeight="1">
      <c r="C60" s="115"/>
      <c r="D60" s="115"/>
      <c r="E60" s="115"/>
      <c r="F60" s="115"/>
      <c r="G60" s="115"/>
    </row>
    <row r="61" ht="15.75" customHeight="1">
      <c r="C61" s="115"/>
      <c r="D61" s="115"/>
      <c r="E61" s="115"/>
      <c r="F61" s="115"/>
      <c r="G61" s="115"/>
    </row>
    <row r="62" ht="15.75" customHeight="1">
      <c r="C62" s="115"/>
      <c r="D62" s="115"/>
      <c r="E62" s="115"/>
      <c r="F62" s="115"/>
      <c r="G62" s="115"/>
    </row>
    <row r="63" ht="15.75" customHeight="1">
      <c r="C63" s="115"/>
      <c r="D63" s="115"/>
      <c r="E63" s="115"/>
      <c r="F63" s="115"/>
      <c r="G63" s="115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6"/>
      <c r="D258" s="116"/>
      <c r="E258" s="116"/>
      <c r="F258" s="116"/>
      <c r="G258" s="116"/>
    </row>
    <row r="259" ht="15.75" customHeight="1">
      <c r="C259" s="116"/>
      <c r="D259" s="116"/>
      <c r="E259" s="116"/>
      <c r="F259" s="116"/>
      <c r="G259" s="116"/>
    </row>
    <row r="260" ht="15.75" customHeight="1">
      <c r="C260" s="116"/>
      <c r="D260" s="116"/>
      <c r="E260" s="116"/>
      <c r="F260" s="116"/>
      <c r="G260" s="116"/>
    </row>
    <row r="261" ht="15.75" customHeight="1">
      <c r="C261" s="116"/>
      <c r="D261" s="116"/>
      <c r="E261" s="116"/>
      <c r="F261" s="116"/>
      <c r="G261" s="116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8E01A1B4-FF24-4245-BF96-23F2B5D6EC71}" filter="1" showAutoFilter="1">
      <autoFilter ref="$A$10:$O$59"/>
    </customSheetView>
  </customSheetViews>
  <conditionalFormatting sqref="I11:Q58">
    <cfRule type="containsText" dxfId="2" priority="1" operator="containsText" text="OK">
      <formula>NOT(ISERROR(SEARCH(("OK"),(I11))))</formula>
    </cfRule>
  </conditionalFormatting>
  <conditionalFormatting sqref="I11:Q58">
    <cfRule type="cellIs" dxfId="3" priority="2" operator="equal">
      <formula>"NG"</formula>
    </cfRule>
  </conditionalFormatting>
  <conditionalFormatting sqref="I11:Q58">
    <cfRule type="expression" dxfId="4" priority="3">
      <formula>OR(I11="NT",I11="対象外")</formula>
    </cfRule>
  </conditionalFormatting>
  <conditionalFormatting sqref="I11:Q58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58 M11:M58 Q11:Q5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126</v>
      </c>
      <c r="D2" s="118" t="s">
        <v>127</v>
      </c>
      <c r="E2" s="118" t="s">
        <v>128</v>
      </c>
      <c r="F2" s="118" t="s">
        <v>129</v>
      </c>
      <c r="G2" s="118" t="s">
        <v>130</v>
      </c>
      <c r="H2" s="118" t="s">
        <v>131</v>
      </c>
      <c r="I2" s="118" t="s">
        <v>132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134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135</v>
      </c>
      <c r="D9" s="68" t="s">
        <v>136</v>
      </c>
      <c r="E9" s="67" t="s">
        <v>137</v>
      </c>
      <c r="F9" s="67" t="s">
        <v>138</v>
      </c>
      <c r="G9" s="67" t="s">
        <v>139</v>
      </c>
      <c r="H9" s="67" t="s">
        <v>140</v>
      </c>
      <c r="I9" s="69" t="s">
        <v>35</v>
      </c>
      <c r="J9" s="69" t="s">
        <v>36</v>
      </c>
      <c r="K9" s="67" t="s">
        <v>37</v>
      </c>
      <c r="L9" s="70" t="s">
        <v>38</v>
      </c>
      <c r="M9" s="147" t="s">
        <v>39</v>
      </c>
      <c r="N9" s="148" t="s">
        <v>40</v>
      </c>
      <c r="O9" s="149" t="s">
        <v>41</v>
      </c>
      <c r="P9" s="149" t="s">
        <v>42</v>
      </c>
      <c r="Q9" s="150" t="s">
        <v>141</v>
      </c>
      <c r="R9" s="151" t="s">
        <v>43</v>
      </c>
      <c r="S9" s="65"/>
    </row>
    <row r="10">
      <c r="A10" s="29"/>
      <c r="B10" s="75">
        <f t="shared" ref="B10:B109" si="2">(ROW()-ROW($B$9))</f>
        <v>1</v>
      </c>
      <c r="C10" s="102"/>
      <c r="D10" s="102"/>
      <c r="E10" s="102"/>
      <c r="F10" s="79"/>
      <c r="G10" s="152"/>
      <c r="H10" s="152"/>
      <c r="I10" s="152"/>
      <c r="J10" s="152"/>
      <c r="K10" s="152"/>
      <c r="L10" s="79"/>
      <c r="M10" s="153" t="s">
        <v>13</v>
      </c>
      <c r="N10" s="154"/>
      <c r="O10" s="155"/>
      <c r="P10" s="156"/>
      <c r="Q10" s="157"/>
      <c r="R10" s="158"/>
      <c r="S10" s="114"/>
    </row>
    <row r="11">
      <c r="A11" s="29"/>
      <c r="B11" s="75">
        <f t="shared" si="2"/>
        <v>2</v>
      </c>
      <c r="C11" s="101"/>
      <c r="D11" s="102"/>
      <c r="E11" s="159"/>
      <c r="F11" s="152"/>
      <c r="G11" s="152"/>
      <c r="H11" s="152"/>
      <c r="I11" s="152"/>
      <c r="J11" s="152"/>
      <c r="K11" s="152"/>
      <c r="L11" s="79"/>
      <c r="M11" s="153" t="s">
        <v>15</v>
      </c>
      <c r="N11" s="154"/>
      <c r="O11" s="155"/>
      <c r="P11" s="156"/>
      <c r="Q11" s="157"/>
      <c r="R11" s="158"/>
      <c r="S11" s="114"/>
    </row>
    <row r="12">
      <c r="A12" s="29"/>
      <c r="B12" s="75">
        <f t="shared" si="2"/>
        <v>3</v>
      </c>
      <c r="C12" s="101"/>
      <c r="D12" s="102"/>
      <c r="E12" s="159"/>
      <c r="F12" s="152"/>
      <c r="G12" s="152"/>
      <c r="H12" s="152"/>
      <c r="I12" s="152"/>
      <c r="J12" s="152"/>
      <c r="K12" s="152"/>
      <c r="L12" s="79"/>
      <c r="M12" s="153" t="s">
        <v>18</v>
      </c>
      <c r="N12" s="154"/>
      <c r="O12" s="155"/>
      <c r="P12" s="156"/>
      <c r="Q12" s="157"/>
      <c r="R12" s="158"/>
      <c r="S12" s="114"/>
    </row>
    <row r="13">
      <c r="A13" s="29"/>
      <c r="B13" s="75">
        <f t="shared" si="2"/>
        <v>4</v>
      </c>
      <c r="C13" s="101"/>
      <c r="D13" s="102"/>
      <c r="E13" s="159"/>
      <c r="F13" s="152"/>
      <c r="G13" s="152"/>
      <c r="H13" s="152"/>
      <c r="I13" s="152"/>
      <c r="J13" s="152"/>
      <c r="K13" s="152"/>
      <c r="L13" s="79"/>
      <c r="M13" s="153" t="s">
        <v>14</v>
      </c>
      <c r="N13" s="154"/>
      <c r="O13" s="155"/>
      <c r="P13" s="156"/>
      <c r="Q13" s="157"/>
      <c r="R13" s="158"/>
      <c r="S13" s="114"/>
    </row>
    <row r="14">
      <c r="A14" s="29"/>
      <c r="B14" s="75">
        <f t="shared" si="2"/>
        <v>5</v>
      </c>
      <c r="C14" s="101"/>
      <c r="D14" s="102"/>
      <c r="E14" s="159"/>
      <c r="F14" s="152"/>
      <c r="G14" s="152"/>
      <c r="H14" s="152"/>
      <c r="I14" s="152"/>
      <c r="J14" s="152"/>
      <c r="K14" s="152"/>
      <c r="L14" s="79"/>
      <c r="M14" s="153" t="s">
        <v>17</v>
      </c>
      <c r="N14" s="154"/>
      <c r="O14" s="155"/>
      <c r="P14" s="156"/>
      <c r="Q14" s="157"/>
      <c r="R14" s="158"/>
      <c r="S14" s="114"/>
    </row>
    <row r="15">
      <c r="A15" s="29"/>
      <c r="B15" s="75">
        <f t="shared" si="2"/>
        <v>6</v>
      </c>
      <c r="C15" s="101"/>
      <c r="D15" s="102"/>
      <c r="E15" s="159"/>
      <c r="F15" s="152"/>
      <c r="G15" s="152"/>
      <c r="H15" s="152"/>
      <c r="I15" s="152"/>
      <c r="J15" s="152"/>
      <c r="K15" s="152"/>
      <c r="L15" s="79"/>
      <c r="M15" s="153"/>
      <c r="N15" s="154"/>
      <c r="O15" s="155"/>
      <c r="P15" s="156"/>
      <c r="Q15" s="157"/>
      <c r="R15" s="158"/>
      <c r="S15" s="114"/>
    </row>
    <row r="16">
      <c r="A16" s="29"/>
      <c r="B16" s="75">
        <f t="shared" si="2"/>
        <v>7</v>
      </c>
      <c r="C16" s="101"/>
      <c r="D16" s="102"/>
      <c r="E16" s="159"/>
      <c r="F16" s="152"/>
      <c r="G16" s="152"/>
      <c r="H16" s="152"/>
      <c r="I16" s="152"/>
      <c r="J16" s="152"/>
      <c r="K16" s="152"/>
      <c r="L16" s="79"/>
      <c r="M16" s="153"/>
      <c r="N16" s="154"/>
      <c r="O16" s="155"/>
      <c r="P16" s="156"/>
      <c r="Q16" s="157"/>
      <c r="R16" s="158"/>
      <c r="S16" s="114"/>
    </row>
    <row r="17">
      <c r="A17" s="29"/>
      <c r="B17" s="75">
        <f t="shared" si="2"/>
        <v>8</v>
      </c>
      <c r="C17" s="101"/>
      <c r="D17" s="102"/>
      <c r="E17" s="159"/>
      <c r="F17" s="152"/>
      <c r="G17" s="152"/>
      <c r="H17" s="152"/>
      <c r="I17" s="152"/>
      <c r="J17" s="152"/>
      <c r="K17" s="152"/>
      <c r="L17" s="79"/>
      <c r="M17" s="153"/>
      <c r="N17" s="154"/>
      <c r="O17" s="155"/>
      <c r="P17" s="156"/>
      <c r="Q17" s="157"/>
      <c r="R17" s="158"/>
      <c r="S17" s="114"/>
    </row>
    <row r="18">
      <c r="A18" s="29"/>
      <c r="B18" s="75">
        <f t="shared" si="2"/>
        <v>9</v>
      </c>
      <c r="C18" s="101"/>
      <c r="D18" s="102"/>
      <c r="E18" s="159"/>
      <c r="F18" s="152"/>
      <c r="G18" s="152"/>
      <c r="H18" s="152"/>
      <c r="I18" s="152"/>
      <c r="J18" s="152"/>
      <c r="K18" s="152"/>
      <c r="L18" s="79"/>
      <c r="M18" s="153"/>
      <c r="N18" s="154"/>
      <c r="O18" s="155"/>
      <c r="P18" s="156"/>
      <c r="Q18" s="157"/>
      <c r="R18" s="158"/>
      <c r="S18" s="114"/>
    </row>
    <row r="19">
      <c r="A19" s="29"/>
      <c r="B19" s="75">
        <f t="shared" si="2"/>
        <v>10</v>
      </c>
      <c r="C19" s="101"/>
      <c r="D19" s="102"/>
      <c r="E19" s="159"/>
      <c r="F19" s="152"/>
      <c r="G19" s="152"/>
      <c r="H19" s="152"/>
      <c r="I19" s="152"/>
      <c r="J19" s="152"/>
      <c r="K19" s="152"/>
      <c r="L19" s="79"/>
      <c r="M19" s="153"/>
      <c r="N19" s="154"/>
      <c r="O19" s="155"/>
      <c r="P19" s="156"/>
      <c r="Q19" s="157"/>
      <c r="R19" s="158"/>
      <c r="S19" s="114"/>
    </row>
    <row r="20">
      <c r="A20" s="29"/>
      <c r="B20" s="75">
        <f t="shared" si="2"/>
        <v>11</v>
      </c>
      <c r="C20" s="101"/>
      <c r="D20" s="102"/>
      <c r="E20" s="159"/>
      <c r="F20" s="152"/>
      <c r="G20" s="152"/>
      <c r="H20" s="152"/>
      <c r="I20" s="152"/>
      <c r="J20" s="152"/>
      <c r="K20" s="152"/>
      <c r="L20" s="79"/>
      <c r="M20" s="153"/>
      <c r="N20" s="154"/>
      <c r="O20" s="155"/>
      <c r="P20" s="156"/>
      <c r="Q20" s="157"/>
      <c r="R20" s="158"/>
      <c r="S20" s="114"/>
    </row>
    <row r="21" ht="15.75" customHeight="1">
      <c r="A21" s="29"/>
      <c r="B21" s="75">
        <f t="shared" si="2"/>
        <v>12</v>
      </c>
      <c r="C21" s="101"/>
      <c r="D21" s="102"/>
      <c r="E21" s="159"/>
      <c r="F21" s="152"/>
      <c r="G21" s="152"/>
      <c r="H21" s="152"/>
      <c r="I21" s="152"/>
      <c r="J21" s="152"/>
      <c r="K21" s="152"/>
      <c r="L21" s="79"/>
      <c r="M21" s="153"/>
      <c r="N21" s="154"/>
      <c r="O21" s="155"/>
      <c r="P21" s="156"/>
      <c r="Q21" s="157"/>
      <c r="R21" s="158"/>
      <c r="S21" s="114"/>
    </row>
    <row r="22" ht="15.75" customHeight="1">
      <c r="A22" s="29"/>
      <c r="B22" s="75">
        <f t="shared" si="2"/>
        <v>13</v>
      </c>
      <c r="C22" s="101"/>
      <c r="D22" s="102"/>
      <c r="E22" s="159"/>
      <c r="F22" s="152"/>
      <c r="G22" s="152"/>
      <c r="H22" s="152"/>
      <c r="I22" s="152"/>
      <c r="J22" s="152"/>
      <c r="K22" s="152"/>
      <c r="L22" s="79"/>
      <c r="M22" s="153"/>
      <c r="N22" s="154"/>
      <c r="O22" s="155"/>
      <c r="P22" s="156"/>
      <c r="Q22" s="157"/>
      <c r="R22" s="158"/>
      <c r="S22" s="114"/>
    </row>
    <row r="23" ht="15.75" customHeight="1">
      <c r="A23" s="29"/>
      <c r="B23" s="75">
        <f t="shared" si="2"/>
        <v>14</v>
      </c>
      <c r="C23" s="101"/>
      <c r="D23" s="102"/>
      <c r="E23" s="159"/>
      <c r="F23" s="152"/>
      <c r="G23" s="152"/>
      <c r="H23" s="152"/>
      <c r="I23" s="152"/>
      <c r="J23" s="152"/>
      <c r="K23" s="152"/>
      <c r="L23" s="79"/>
      <c r="M23" s="153"/>
      <c r="N23" s="154"/>
      <c r="O23" s="155"/>
      <c r="P23" s="156"/>
      <c r="Q23" s="157"/>
      <c r="R23" s="158"/>
      <c r="S23" s="114"/>
    </row>
    <row r="24" ht="15.75" customHeight="1">
      <c r="A24" s="29"/>
      <c r="B24" s="75">
        <f t="shared" si="2"/>
        <v>15</v>
      </c>
      <c r="C24" s="101"/>
      <c r="D24" s="102"/>
      <c r="E24" s="159"/>
      <c r="F24" s="152"/>
      <c r="G24" s="152"/>
      <c r="H24" s="152"/>
      <c r="I24" s="152"/>
      <c r="J24" s="152"/>
      <c r="K24" s="152"/>
      <c r="L24" s="79"/>
      <c r="M24" s="153"/>
      <c r="N24" s="154"/>
      <c r="O24" s="155"/>
      <c r="P24" s="156"/>
      <c r="Q24" s="157"/>
      <c r="R24" s="158"/>
      <c r="S24" s="114"/>
    </row>
    <row r="25" ht="15.75" customHeight="1">
      <c r="A25" s="29"/>
      <c r="B25" s="75">
        <f t="shared" si="2"/>
        <v>16</v>
      </c>
      <c r="C25" s="101"/>
      <c r="D25" s="102"/>
      <c r="E25" s="159"/>
      <c r="F25" s="152"/>
      <c r="G25" s="152"/>
      <c r="H25" s="152"/>
      <c r="I25" s="152"/>
      <c r="J25" s="152"/>
      <c r="K25" s="152"/>
      <c r="L25" s="79"/>
      <c r="M25" s="153"/>
      <c r="N25" s="154"/>
      <c r="O25" s="155"/>
      <c r="P25" s="156"/>
      <c r="Q25" s="157"/>
      <c r="R25" s="158"/>
      <c r="S25" s="114"/>
    </row>
    <row r="26" ht="15.75" customHeight="1">
      <c r="A26" s="29"/>
      <c r="B26" s="75">
        <f t="shared" si="2"/>
        <v>17</v>
      </c>
      <c r="C26" s="101"/>
      <c r="D26" s="102"/>
      <c r="E26" s="159"/>
      <c r="F26" s="152"/>
      <c r="G26" s="152"/>
      <c r="H26" s="152"/>
      <c r="I26" s="152"/>
      <c r="J26" s="152"/>
      <c r="K26" s="152"/>
      <c r="L26" s="79"/>
      <c r="M26" s="153"/>
      <c r="N26" s="154"/>
      <c r="O26" s="155"/>
      <c r="P26" s="156"/>
      <c r="Q26" s="157"/>
      <c r="R26" s="158"/>
      <c r="S26" s="114"/>
    </row>
    <row r="27" ht="15.75" customHeight="1">
      <c r="A27" s="29"/>
      <c r="B27" s="75">
        <f t="shared" si="2"/>
        <v>18</v>
      </c>
      <c r="C27" s="101"/>
      <c r="D27" s="102"/>
      <c r="E27" s="159"/>
      <c r="F27" s="152"/>
      <c r="G27" s="152"/>
      <c r="H27" s="152"/>
      <c r="I27" s="152"/>
      <c r="J27" s="152"/>
      <c r="K27" s="152"/>
      <c r="L27" s="79"/>
      <c r="M27" s="153"/>
      <c r="N27" s="154"/>
      <c r="O27" s="155"/>
      <c r="P27" s="156"/>
      <c r="Q27" s="157"/>
      <c r="R27" s="158"/>
      <c r="S27" s="114"/>
    </row>
    <row r="28" ht="15.75" customHeight="1">
      <c r="A28" s="29"/>
      <c r="B28" s="75">
        <f t="shared" si="2"/>
        <v>19</v>
      </c>
      <c r="C28" s="101"/>
      <c r="D28" s="102"/>
      <c r="E28" s="159"/>
      <c r="F28" s="152"/>
      <c r="G28" s="152"/>
      <c r="H28" s="152"/>
      <c r="I28" s="152"/>
      <c r="J28" s="152"/>
      <c r="K28" s="152"/>
      <c r="L28" s="79"/>
      <c r="M28" s="153"/>
      <c r="N28" s="154"/>
      <c r="O28" s="155"/>
      <c r="P28" s="156"/>
      <c r="Q28" s="157"/>
      <c r="R28" s="158"/>
      <c r="S28" s="114"/>
    </row>
    <row r="29" ht="15.75" customHeight="1">
      <c r="A29" s="29"/>
      <c r="B29" s="75">
        <f t="shared" si="2"/>
        <v>20</v>
      </c>
      <c r="C29" s="101"/>
      <c r="D29" s="102"/>
      <c r="E29" s="159"/>
      <c r="F29" s="152"/>
      <c r="G29" s="152"/>
      <c r="H29" s="152"/>
      <c r="I29" s="152"/>
      <c r="J29" s="152"/>
      <c r="K29" s="152"/>
      <c r="L29" s="79"/>
      <c r="M29" s="153"/>
      <c r="N29" s="154"/>
      <c r="O29" s="155"/>
      <c r="P29" s="156"/>
      <c r="Q29" s="157"/>
      <c r="R29" s="158"/>
      <c r="S29" s="114"/>
    </row>
    <row r="30" ht="15.75" customHeight="1">
      <c r="A30" s="29"/>
      <c r="B30" s="75">
        <f t="shared" si="2"/>
        <v>21</v>
      </c>
      <c r="C30" s="101"/>
      <c r="D30" s="102"/>
      <c r="E30" s="159"/>
      <c r="F30" s="152"/>
      <c r="G30" s="152"/>
      <c r="H30" s="152"/>
      <c r="I30" s="152"/>
      <c r="J30" s="152"/>
      <c r="K30" s="152"/>
      <c r="L30" s="79"/>
      <c r="M30" s="153"/>
      <c r="N30" s="154"/>
      <c r="O30" s="155"/>
      <c r="P30" s="156"/>
      <c r="Q30" s="157"/>
      <c r="R30" s="158"/>
      <c r="S30" s="114"/>
    </row>
    <row r="31" ht="15.75" customHeight="1">
      <c r="A31" s="29"/>
      <c r="B31" s="75">
        <f t="shared" si="2"/>
        <v>22</v>
      </c>
      <c r="C31" s="101"/>
      <c r="D31" s="102"/>
      <c r="E31" s="159"/>
      <c r="F31" s="152"/>
      <c r="G31" s="152"/>
      <c r="H31" s="152"/>
      <c r="I31" s="152"/>
      <c r="J31" s="152"/>
      <c r="K31" s="152"/>
      <c r="L31" s="79"/>
      <c r="M31" s="153"/>
      <c r="N31" s="154"/>
      <c r="O31" s="155"/>
      <c r="P31" s="156"/>
      <c r="Q31" s="157"/>
      <c r="R31" s="158"/>
      <c r="S31" s="114"/>
    </row>
    <row r="32" ht="15.75" customHeight="1">
      <c r="A32" s="29"/>
      <c r="B32" s="75">
        <f t="shared" si="2"/>
        <v>23</v>
      </c>
      <c r="C32" s="101"/>
      <c r="D32" s="102"/>
      <c r="E32" s="159"/>
      <c r="F32" s="152"/>
      <c r="G32" s="152"/>
      <c r="H32" s="152"/>
      <c r="I32" s="152"/>
      <c r="J32" s="152"/>
      <c r="K32" s="152"/>
      <c r="L32" s="79"/>
      <c r="M32" s="153"/>
      <c r="N32" s="154"/>
      <c r="O32" s="155"/>
      <c r="P32" s="156"/>
      <c r="Q32" s="157"/>
      <c r="R32" s="158"/>
      <c r="S32" s="114"/>
    </row>
    <row r="33" ht="15.75" customHeight="1">
      <c r="A33" s="29"/>
      <c r="B33" s="75">
        <f t="shared" si="2"/>
        <v>24</v>
      </c>
      <c r="C33" s="101"/>
      <c r="D33" s="102"/>
      <c r="E33" s="159"/>
      <c r="F33" s="152"/>
      <c r="G33" s="152"/>
      <c r="H33" s="152"/>
      <c r="I33" s="152"/>
      <c r="J33" s="152"/>
      <c r="K33" s="152"/>
      <c r="L33" s="79"/>
      <c r="M33" s="153"/>
      <c r="N33" s="154"/>
      <c r="O33" s="155"/>
      <c r="P33" s="156"/>
      <c r="Q33" s="157"/>
      <c r="R33" s="158"/>
      <c r="S33" s="114"/>
    </row>
    <row r="34" ht="15.75" customHeight="1">
      <c r="A34" s="29"/>
      <c r="B34" s="75">
        <f t="shared" si="2"/>
        <v>25</v>
      </c>
      <c r="C34" s="101"/>
      <c r="D34" s="102"/>
      <c r="E34" s="159"/>
      <c r="F34" s="152"/>
      <c r="G34" s="152"/>
      <c r="H34" s="152"/>
      <c r="I34" s="152"/>
      <c r="J34" s="152"/>
      <c r="K34" s="152"/>
      <c r="L34" s="79"/>
      <c r="M34" s="153"/>
      <c r="N34" s="154"/>
      <c r="O34" s="155"/>
      <c r="P34" s="156"/>
      <c r="Q34" s="157"/>
      <c r="R34" s="158"/>
      <c r="S34" s="114"/>
    </row>
    <row r="35" ht="15.75" customHeight="1">
      <c r="A35" s="29"/>
      <c r="B35" s="75">
        <f t="shared" si="2"/>
        <v>26</v>
      </c>
      <c r="C35" s="101"/>
      <c r="D35" s="102"/>
      <c r="E35" s="159"/>
      <c r="F35" s="152"/>
      <c r="G35" s="152"/>
      <c r="H35" s="152"/>
      <c r="I35" s="152"/>
      <c r="J35" s="152"/>
      <c r="K35" s="152"/>
      <c r="L35" s="79"/>
      <c r="M35" s="153"/>
      <c r="N35" s="154"/>
      <c r="O35" s="155"/>
      <c r="P35" s="156"/>
      <c r="Q35" s="157"/>
      <c r="R35" s="158"/>
      <c r="S35" s="114"/>
    </row>
    <row r="36" ht="15.75" customHeight="1">
      <c r="A36" s="29"/>
      <c r="B36" s="75">
        <f t="shared" si="2"/>
        <v>27</v>
      </c>
      <c r="C36" s="101"/>
      <c r="D36" s="102"/>
      <c r="E36" s="159"/>
      <c r="F36" s="152"/>
      <c r="G36" s="152"/>
      <c r="H36" s="152"/>
      <c r="I36" s="152"/>
      <c r="J36" s="152"/>
      <c r="K36" s="152"/>
      <c r="L36" s="79"/>
      <c r="M36" s="153"/>
      <c r="N36" s="154"/>
      <c r="O36" s="155"/>
      <c r="P36" s="156"/>
      <c r="Q36" s="157"/>
      <c r="R36" s="158"/>
      <c r="S36" s="114"/>
    </row>
    <row r="37" ht="15.75" customHeight="1">
      <c r="A37" s="29"/>
      <c r="B37" s="75">
        <f t="shared" si="2"/>
        <v>28</v>
      </c>
      <c r="C37" s="101"/>
      <c r="D37" s="102"/>
      <c r="E37" s="159"/>
      <c r="F37" s="152"/>
      <c r="G37" s="152"/>
      <c r="H37" s="152"/>
      <c r="I37" s="152"/>
      <c r="J37" s="152"/>
      <c r="K37" s="152"/>
      <c r="L37" s="79"/>
      <c r="M37" s="153"/>
      <c r="N37" s="154"/>
      <c r="O37" s="155"/>
      <c r="P37" s="156"/>
      <c r="Q37" s="157"/>
      <c r="R37" s="158"/>
      <c r="S37" s="114"/>
    </row>
    <row r="38" ht="15.75" customHeight="1">
      <c r="A38" s="29"/>
      <c r="B38" s="75">
        <f t="shared" si="2"/>
        <v>29</v>
      </c>
      <c r="C38" s="101"/>
      <c r="D38" s="102"/>
      <c r="E38" s="159"/>
      <c r="F38" s="152"/>
      <c r="G38" s="152"/>
      <c r="H38" s="152"/>
      <c r="I38" s="152"/>
      <c r="J38" s="152"/>
      <c r="K38" s="152"/>
      <c r="L38" s="79"/>
      <c r="M38" s="153"/>
      <c r="N38" s="154"/>
      <c r="O38" s="155"/>
      <c r="P38" s="156"/>
      <c r="Q38" s="157"/>
      <c r="R38" s="158"/>
      <c r="S38" s="114"/>
    </row>
    <row r="39" ht="15.75" customHeight="1">
      <c r="A39" s="29"/>
      <c r="B39" s="75">
        <f t="shared" si="2"/>
        <v>30</v>
      </c>
      <c r="C39" s="101"/>
      <c r="D39" s="102"/>
      <c r="E39" s="159"/>
      <c r="F39" s="152"/>
      <c r="G39" s="152"/>
      <c r="H39" s="152"/>
      <c r="I39" s="152"/>
      <c r="J39" s="152"/>
      <c r="K39" s="152"/>
      <c r="L39" s="79"/>
      <c r="M39" s="153"/>
      <c r="N39" s="154"/>
      <c r="O39" s="155"/>
      <c r="P39" s="156"/>
      <c r="Q39" s="157"/>
      <c r="R39" s="158"/>
      <c r="S39" s="114"/>
    </row>
    <row r="40" ht="15.75" customHeight="1">
      <c r="A40" s="29"/>
      <c r="B40" s="75">
        <f t="shared" si="2"/>
        <v>31</v>
      </c>
      <c r="C40" s="101"/>
      <c r="D40" s="102"/>
      <c r="E40" s="159"/>
      <c r="F40" s="152"/>
      <c r="G40" s="152"/>
      <c r="H40" s="152"/>
      <c r="I40" s="152"/>
      <c r="J40" s="152"/>
      <c r="K40" s="152"/>
      <c r="L40" s="79"/>
      <c r="M40" s="153"/>
      <c r="N40" s="154"/>
      <c r="O40" s="155"/>
      <c r="P40" s="156"/>
      <c r="Q40" s="157"/>
      <c r="R40" s="158"/>
      <c r="S40" s="114"/>
    </row>
    <row r="41" ht="15.75" customHeight="1">
      <c r="A41" s="29"/>
      <c r="B41" s="75">
        <f t="shared" si="2"/>
        <v>32</v>
      </c>
      <c r="C41" s="101"/>
      <c r="D41" s="102"/>
      <c r="E41" s="159"/>
      <c r="F41" s="152"/>
      <c r="G41" s="152"/>
      <c r="H41" s="152"/>
      <c r="I41" s="152"/>
      <c r="J41" s="152"/>
      <c r="K41" s="152"/>
      <c r="L41" s="79"/>
      <c r="M41" s="153"/>
      <c r="N41" s="154"/>
      <c r="O41" s="155"/>
      <c r="P41" s="156"/>
      <c r="Q41" s="157"/>
      <c r="R41" s="158"/>
      <c r="S41" s="114"/>
    </row>
    <row r="42" ht="15.75" customHeight="1">
      <c r="A42" s="29"/>
      <c r="B42" s="75">
        <f t="shared" si="2"/>
        <v>33</v>
      </c>
      <c r="C42" s="101"/>
      <c r="D42" s="102"/>
      <c r="E42" s="159"/>
      <c r="F42" s="152"/>
      <c r="G42" s="152"/>
      <c r="H42" s="152"/>
      <c r="I42" s="152"/>
      <c r="J42" s="152"/>
      <c r="K42" s="152"/>
      <c r="L42" s="79"/>
      <c r="M42" s="153"/>
      <c r="N42" s="154"/>
      <c r="O42" s="155"/>
      <c r="P42" s="156"/>
      <c r="Q42" s="157"/>
      <c r="R42" s="158"/>
      <c r="S42" s="114"/>
    </row>
    <row r="43" ht="15.75" customHeight="1">
      <c r="A43" s="29"/>
      <c r="B43" s="75">
        <f t="shared" si="2"/>
        <v>34</v>
      </c>
      <c r="C43" s="101"/>
      <c r="D43" s="102"/>
      <c r="E43" s="159"/>
      <c r="F43" s="152"/>
      <c r="G43" s="152"/>
      <c r="H43" s="152"/>
      <c r="I43" s="152"/>
      <c r="J43" s="152"/>
      <c r="K43" s="152"/>
      <c r="L43" s="160"/>
      <c r="M43" s="153"/>
      <c r="N43" s="154"/>
      <c r="O43" s="155"/>
      <c r="P43" s="156"/>
      <c r="Q43" s="157"/>
      <c r="R43" s="158"/>
      <c r="S43" s="114"/>
    </row>
    <row r="44" ht="15.75" customHeight="1">
      <c r="A44" s="29"/>
      <c r="B44" s="75">
        <f t="shared" si="2"/>
        <v>35</v>
      </c>
      <c r="C44" s="101"/>
      <c r="D44" s="102"/>
      <c r="E44" s="159"/>
      <c r="F44" s="152"/>
      <c r="G44" s="152"/>
      <c r="H44" s="152"/>
      <c r="I44" s="152"/>
      <c r="J44" s="152"/>
      <c r="K44" s="152"/>
      <c r="L44" s="160"/>
      <c r="M44" s="153"/>
      <c r="N44" s="154"/>
      <c r="O44" s="155"/>
      <c r="P44" s="156"/>
      <c r="Q44" s="157"/>
      <c r="R44" s="158"/>
      <c r="S44" s="114"/>
    </row>
    <row r="45" ht="15.75" customHeight="1">
      <c r="A45" s="29"/>
      <c r="B45" s="75">
        <f t="shared" si="2"/>
        <v>36</v>
      </c>
      <c r="C45" s="101"/>
      <c r="D45" s="102"/>
      <c r="E45" s="159"/>
      <c r="F45" s="152"/>
      <c r="G45" s="152"/>
      <c r="H45" s="152"/>
      <c r="I45" s="152"/>
      <c r="J45" s="152"/>
      <c r="K45" s="152"/>
      <c r="L45" s="79"/>
      <c r="M45" s="153"/>
      <c r="N45" s="154"/>
      <c r="O45" s="155"/>
      <c r="P45" s="156"/>
      <c r="Q45" s="157"/>
      <c r="R45" s="158"/>
      <c r="S45" s="114"/>
    </row>
    <row r="46" ht="15.75" customHeight="1">
      <c r="A46" s="29"/>
      <c r="B46" s="75">
        <f t="shared" si="2"/>
        <v>37</v>
      </c>
      <c r="C46" s="101"/>
      <c r="D46" s="102"/>
      <c r="E46" s="159"/>
      <c r="F46" s="152"/>
      <c r="G46" s="152"/>
      <c r="H46" s="152"/>
      <c r="I46" s="152"/>
      <c r="J46" s="152"/>
      <c r="K46" s="152"/>
      <c r="L46" s="79"/>
      <c r="M46" s="153"/>
      <c r="N46" s="154"/>
      <c r="O46" s="155"/>
      <c r="P46" s="156"/>
      <c r="Q46" s="157"/>
      <c r="R46" s="158"/>
      <c r="S46" s="114"/>
    </row>
    <row r="47" ht="15.75" customHeight="1">
      <c r="A47" s="29"/>
      <c r="B47" s="75">
        <f t="shared" si="2"/>
        <v>38</v>
      </c>
      <c r="C47" s="101"/>
      <c r="D47" s="102"/>
      <c r="E47" s="159"/>
      <c r="F47" s="152"/>
      <c r="G47" s="152"/>
      <c r="H47" s="152"/>
      <c r="I47" s="152"/>
      <c r="J47" s="152"/>
      <c r="K47" s="152"/>
      <c r="L47" s="79"/>
      <c r="M47" s="153"/>
      <c r="N47" s="154"/>
      <c r="O47" s="155"/>
      <c r="P47" s="156"/>
      <c r="Q47" s="157"/>
      <c r="R47" s="158"/>
      <c r="S47" s="114"/>
    </row>
    <row r="48" ht="15.75" customHeight="1">
      <c r="A48" s="29"/>
      <c r="B48" s="75">
        <f t="shared" si="2"/>
        <v>39</v>
      </c>
      <c r="C48" s="101"/>
      <c r="D48" s="102"/>
      <c r="E48" s="159"/>
      <c r="F48" s="152"/>
      <c r="G48" s="152"/>
      <c r="H48" s="152"/>
      <c r="I48" s="152"/>
      <c r="J48" s="152"/>
      <c r="K48" s="152"/>
      <c r="L48" s="79"/>
      <c r="M48" s="153"/>
      <c r="N48" s="154"/>
      <c r="O48" s="155"/>
      <c r="P48" s="156"/>
      <c r="Q48" s="157"/>
      <c r="R48" s="158"/>
      <c r="S48" s="114"/>
    </row>
    <row r="49" ht="15.75" customHeight="1">
      <c r="A49" s="29"/>
      <c r="B49" s="75">
        <f t="shared" si="2"/>
        <v>40</v>
      </c>
      <c r="C49" s="101"/>
      <c r="D49" s="102"/>
      <c r="E49" s="159"/>
      <c r="F49" s="152"/>
      <c r="G49" s="152"/>
      <c r="H49" s="152"/>
      <c r="I49" s="152"/>
      <c r="J49" s="152"/>
      <c r="K49" s="152"/>
      <c r="L49" s="79"/>
      <c r="M49" s="153"/>
      <c r="N49" s="154"/>
      <c r="O49" s="155"/>
      <c r="P49" s="156"/>
      <c r="Q49" s="157"/>
      <c r="R49" s="158"/>
      <c r="S49" s="114"/>
    </row>
    <row r="50" ht="15.75" customHeight="1">
      <c r="A50" s="29"/>
      <c r="B50" s="75">
        <f t="shared" si="2"/>
        <v>41</v>
      </c>
      <c r="C50" s="101"/>
      <c r="D50" s="102"/>
      <c r="E50" s="159"/>
      <c r="F50" s="152"/>
      <c r="G50" s="152"/>
      <c r="H50" s="152"/>
      <c r="I50" s="152"/>
      <c r="J50" s="152"/>
      <c r="K50" s="152"/>
      <c r="L50" s="79"/>
      <c r="M50" s="153"/>
      <c r="N50" s="154"/>
      <c r="O50" s="155"/>
      <c r="P50" s="156"/>
      <c r="Q50" s="157"/>
      <c r="R50" s="158"/>
      <c r="S50" s="114"/>
    </row>
    <row r="51" ht="15.75" customHeight="1">
      <c r="A51" s="29"/>
      <c r="B51" s="75">
        <f t="shared" si="2"/>
        <v>42</v>
      </c>
      <c r="C51" s="101"/>
      <c r="D51" s="102"/>
      <c r="E51" s="159"/>
      <c r="F51" s="152"/>
      <c r="G51" s="152"/>
      <c r="H51" s="152"/>
      <c r="I51" s="152"/>
      <c r="J51" s="152"/>
      <c r="K51" s="152"/>
      <c r="L51" s="79"/>
      <c r="M51" s="153"/>
      <c r="N51" s="154"/>
      <c r="O51" s="155"/>
      <c r="P51" s="156"/>
      <c r="Q51" s="157"/>
      <c r="R51" s="158"/>
      <c r="S51" s="114"/>
    </row>
    <row r="52" ht="15.75" customHeight="1">
      <c r="A52" s="29"/>
      <c r="B52" s="75">
        <f t="shared" si="2"/>
        <v>43</v>
      </c>
      <c r="C52" s="101"/>
      <c r="D52" s="102"/>
      <c r="E52" s="159"/>
      <c r="F52" s="152"/>
      <c r="G52" s="152"/>
      <c r="H52" s="152"/>
      <c r="I52" s="152"/>
      <c r="J52" s="152"/>
      <c r="K52" s="152"/>
      <c r="L52" s="79"/>
      <c r="M52" s="153"/>
      <c r="N52" s="154"/>
      <c r="O52" s="155"/>
      <c r="P52" s="156"/>
      <c r="Q52" s="157"/>
      <c r="R52" s="158"/>
      <c r="S52" s="114"/>
    </row>
    <row r="53" ht="15.75" customHeight="1">
      <c r="A53" s="29"/>
      <c r="B53" s="75">
        <f t="shared" si="2"/>
        <v>44</v>
      </c>
      <c r="C53" s="101"/>
      <c r="D53" s="102"/>
      <c r="E53" s="159"/>
      <c r="F53" s="152"/>
      <c r="G53" s="152"/>
      <c r="H53" s="152"/>
      <c r="I53" s="152"/>
      <c r="J53" s="152"/>
      <c r="K53" s="152"/>
      <c r="L53" s="79"/>
      <c r="M53" s="153"/>
      <c r="N53" s="154"/>
      <c r="O53" s="155"/>
      <c r="P53" s="156"/>
      <c r="Q53" s="157"/>
      <c r="R53" s="158"/>
      <c r="S53" s="114"/>
    </row>
    <row r="54" ht="15.75" customHeight="1">
      <c r="A54" s="29"/>
      <c r="B54" s="75">
        <f t="shared" si="2"/>
        <v>45</v>
      </c>
      <c r="C54" s="101"/>
      <c r="D54" s="102"/>
      <c r="E54" s="159"/>
      <c r="F54" s="152"/>
      <c r="G54" s="152"/>
      <c r="H54" s="152"/>
      <c r="I54" s="152"/>
      <c r="J54" s="152"/>
      <c r="K54" s="152"/>
      <c r="L54" s="79"/>
      <c r="M54" s="153"/>
      <c r="N54" s="154"/>
      <c r="O54" s="155"/>
      <c r="P54" s="156"/>
      <c r="Q54" s="157"/>
      <c r="R54" s="158"/>
      <c r="S54" s="114"/>
    </row>
    <row r="55" ht="15.75" customHeight="1">
      <c r="A55" s="29"/>
      <c r="B55" s="75">
        <f t="shared" si="2"/>
        <v>46</v>
      </c>
      <c r="C55" s="101"/>
      <c r="D55" s="102"/>
      <c r="E55" s="159"/>
      <c r="F55" s="152"/>
      <c r="G55" s="152"/>
      <c r="H55" s="152"/>
      <c r="I55" s="152"/>
      <c r="J55" s="152"/>
      <c r="K55" s="152"/>
      <c r="L55" s="79"/>
      <c r="M55" s="153"/>
      <c r="N55" s="154"/>
      <c r="O55" s="155"/>
      <c r="P55" s="156"/>
      <c r="Q55" s="157"/>
      <c r="R55" s="158"/>
      <c r="S55" s="114"/>
    </row>
    <row r="56" ht="15.75" customHeight="1">
      <c r="A56" s="29"/>
      <c r="B56" s="75">
        <f t="shared" si="2"/>
        <v>47</v>
      </c>
      <c r="C56" s="101"/>
      <c r="D56" s="102"/>
      <c r="E56" s="159"/>
      <c r="F56" s="152"/>
      <c r="G56" s="152"/>
      <c r="H56" s="152"/>
      <c r="I56" s="152"/>
      <c r="J56" s="152"/>
      <c r="K56" s="152"/>
      <c r="L56" s="79"/>
      <c r="M56" s="153"/>
      <c r="N56" s="154"/>
      <c r="O56" s="155"/>
      <c r="P56" s="156"/>
      <c r="Q56" s="157"/>
      <c r="R56" s="158"/>
      <c r="S56" s="114"/>
    </row>
    <row r="57" ht="15.75" customHeight="1">
      <c r="A57" s="29"/>
      <c r="B57" s="75">
        <f t="shared" si="2"/>
        <v>48</v>
      </c>
      <c r="C57" s="101"/>
      <c r="D57" s="102"/>
      <c r="E57" s="159"/>
      <c r="F57" s="152"/>
      <c r="G57" s="152"/>
      <c r="H57" s="152"/>
      <c r="I57" s="152"/>
      <c r="J57" s="152"/>
      <c r="K57" s="152"/>
      <c r="L57" s="79"/>
      <c r="M57" s="153"/>
      <c r="N57" s="154"/>
      <c r="O57" s="155"/>
      <c r="P57" s="156"/>
      <c r="Q57" s="157"/>
      <c r="R57" s="158"/>
      <c r="S57" s="114"/>
    </row>
    <row r="58" ht="15.75" customHeight="1">
      <c r="A58" s="29"/>
      <c r="B58" s="75">
        <f t="shared" si="2"/>
        <v>49</v>
      </c>
      <c r="C58" s="101"/>
      <c r="D58" s="102"/>
      <c r="E58" s="159"/>
      <c r="F58" s="152"/>
      <c r="G58" s="152"/>
      <c r="H58" s="152"/>
      <c r="I58" s="152"/>
      <c r="J58" s="152"/>
      <c r="K58" s="152"/>
      <c r="L58" s="79"/>
      <c r="M58" s="153"/>
      <c r="N58" s="154"/>
      <c r="O58" s="155"/>
      <c r="P58" s="156"/>
      <c r="Q58" s="157"/>
      <c r="R58" s="158"/>
      <c r="S58" s="114"/>
    </row>
    <row r="59" ht="15.75" customHeight="1">
      <c r="A59" s="29"/>
      <c r="B59" s="75">
        <f t="shared" si="2"/>
        <v>50</v>
      </c>
      <c r="C59" s="101"/>
      <c r="D59" s="102"/>
      <c r="E59" s="159"/>
      <c r="F59" s="152"/>
      <c r="G59" s="152"/>
      <c r="H59" s="152"/>
      <c r="I59" s="152"/>
      <c r="J59" s="152"/>
      <c r="K59" s="152"/>
      <c r="L59" s="79"/>
      <c r="M59" s="153"/>
      <c r="N59" s="154"/>
      <c r="O59" s="155"/>
      <c r="P59" s="156"/>
      <c r="Q59" s="157"/>
      <c r="R59" s="158"/>
      <c r="S59" s="114"/>
    </row>
    <row r="60" ht="15.75" customHeight="1">
      <c r="A60" s="29"/>
      <c r="B60" s="75">
        <f t="shared" si="2"/>
        <v>51</v>
      </c>
      <c r="C60" s="101"/>
      <c r="D60" s="102"/>
      <c r="E60" s="159"/>
      <c r="F60" s="152"/>
      <c r="G60" s="152"/>
      <c r="H60" s="152"/>
      <c r="I60" s="152"/>
      <c r="J60" s="152"/>
      <c r="K60" s="152"/>
      <c r="L60" s="79"/>
      <c r="M60" s="153"/>
      <c r="N60" s="154"/>
      <c r="O60" s="155"/>
      <c r="P60" s="156"/>
      <c r="Q60" s="157"/>
      <c r="R60" s="158"/>
      <c r="S60" s="114"/>
    </row>
    <row r="61" ht="15.75" customHeight="1">
      <c r="A61" s="29"/>
      <c r="B61" s="75">
        <f t="shared" si="2"/>
        <v>52</v>
      </c>
      <c r="C61" s="101"/>
      <c r="D61" s="102"/>
      <c r="E61" s="159"/>
      <c r="F61" s="152"/>
      <c r="G61" s="152"/>
      <c r="H61" s="152"/>
      <c r="I61" s="152"/>
      <c r="J61" s="152"/>
      <c r="K61" s="152"/>
      <c r="L61" s="79"/>
      <c r="M61" s="153"/>
      <c r="N61" s="154"/>
      <c r="O61" s="155"/>
      <c r="P61" s="156"/>
      <c r="Q61" s="157"/>
      <c r="R61" s="158"/>
      <c r="S61" s="114"/>
    </row>
    <row r="62" ht="15.75" customHeight="1">
      <c r="A62" s="29"/>
      <c r="B62" s="75">
        <f t="shared" si="2"/>
        <v>53</v>
      </c>
      <c r="C62" s="101"/>
      <c r="D62" s="102"/>
      <c r="E62" s="159"/>
      <c r="F62" s="152"/>
      <c r="G62" s="152"/>
      <c r="H62" s="152"/>
      <c r="I62" s="152"/>
      <c r="J62" s="152"/>
      <c r="K62" s="152"/>
      <c r="L62" s="79"/>
      <c r="M62" s="153"/>
      <c r="N62" s="154"/>
      <c r="O62" s="155"/>
      <c r="P62" s="156"/>
      <c r="Q62" s="157"/>
      <c r="R62" s="158"/>
      <c r="S62" s="114"/>
    </row>
    <row r="63" ht="15.75" customHeight="1">
      <c r="A63" s="29"/>
      <c r="B63" s="75">
        <f t="shared" si="2"/>
        <v>54</v>
      </c>
      <c r="C63" s="101"/>
      <c r="D63" s="102"/>
      <c r="E63" s="159"/>
      <c r="F63" s="152"/>
      <c r="G63" s="152"/>
      <c r="H63" s="152"/>
      <c r="I63" s="152"/>
      <c r="J63" s="152"/>
      <c r="K63" s="152"/>
      <c r="L63" s="79"/>
      <c r="M63" s="153"/>
      <c r="N63" s="154"/>
      <c r="O63" s="155"/>
      <c r="P63" s="156"/>
      <c r="Q63" s="157"/>
      <c r="R63" s="158"/>
      <c r="S63" s="114"/>
    </row>
    <row r="64" ht="15.75" customHeight="1">
      <c r="A64" s="29"/>
      <c r="B64" s="75">
        <f t="shared" si="2"/>
        <v>55</v>
      </c>
      <c r="C64" s="101"/>
      <c r="D64" s="102"/>
      <c r="E64" s="159"/>
      <c r="F64" s="152"/>
      <c r="G64" s="152"/>
      <c r="H64" s="152"/>
      <c r="I64" s="152"/>
      <c r="J64" s="152"/>
      <c r="K64" s="152"/>
      <c r="L64" s="79"/>
      <c r="M64" s="153"/>
      <c r="N64" s="154"/>
      <c r="O64" s="155"/>
      <c r="P64" s="156"/>
      <c r="Q64" s="157"/>
      <c r="R64" s="158"/>
      <c r="S64" s="114"/>
    </row>
    <row r="65" ht="15.75" customHeight="1">
      <c r="A65" s="29"/>
      <c r="B65" s="75">
        <f t="shared" si="2"/>
        <v>56</v>
      </c>
      <c r="C65" s="101"/>
      <c r="D65" s="102"/>
      <c r="E65" s="159"/>
      <c r="F65" s="152"/>
      <c r="G65" s="152"/>
      <c r="H65" s="152"/>
      <c r="I65" s="152"/>
      <c r="J65" s="152"/>
      <c r="K65" s="152"/>
      <c r="L65" s="79"/>
      <c r="M65" s="153"/>
      <c r="N65" s="154"/>
      <c r="O65" s="155"/>
      <c r="P65" s="156"/>
      <c r="Q65" s="157"/>
      <c r="R65" s="158"/>
      <c r="S65" s="114"/>
    </row>
    <row r="66" ht="15.75" customHeight="1">
      <c r="A66" s="29"/>
      <c r="B66" s="75">
        <f t="shared" si="2"/>
        <v>57</v>
      </c>
      <c r="C66" s="101"/>
      <c r="D66" s="102"/>
      <c r="E66" s="159"/>
      <c r="F66" s="152"/>
      <c r="G66" s="152"/>
      <c r="H66" s="152"/>
      <c r="I66" s="152"/>
      <c r="J66" s="152"/>
      <c r="K66" s="152"/>
      <c r="L66" s="79"/>
      <c r="M66" s="153"/>
      <c r="N66" s="154"/>
      <c r="O66" s="155"/>
      <c r="P66" s="156"/>
      <c r="Q66" s="157"/>
      <c r="R66" s="158"/>
      <c r="S66" s="114"/>
    </row>
    <row r="67" ht="15.75" customHeight="1">
      <c r="A67" s="29"/>
      <c r="B67" s="75">
        <f t="shared" si="2"/>
        <v>58</v>
      </c>
      <c r="C67" s="101"/>
      <c r="D67" s="102"/>
      <c r="E67" s="159"/>
      <c r="F67" s="152"/>
      <c r="G67" s="152"/>
      <c r="H67" s="152"/>
      <c r="I67" s="152"/>
      <c r="J67" s="152"/>
      <c r="K67" s="152"/>
      <c r="L67" s="79"/>
      <c r="M67" s="153"/>
      <c r="N67" s="154"/>
      <c r="O67" s="155"/>
      <c r="P67" s="156"/>
      <c r="Q67" s="157"/>
      <c r="R67" s="158"/>
      <c r="S67" s="114"/>
    </row>
    <row r="68" ht="15.75" customHeight="1">
      <c r="A68" s="29"/>
      <c r="B68" s="75">
        <f t="shared" si="2"/>
        <v>59</v>
      </c>
      <c r="C68" s="101"/>
      <c r="D68" s="102"/>
      <c r="E68" s="159"/>
      <c r="F68" s="152"/>
      <c r="G68" s="152"/>
      <c r="H68" s="152"/>
      <c r="I68" s="152"/>
      <c r="J68" s="152"/>
      <c r="K68" s="152"/>
      <c r="L68" s="79"/>
      <c r="M68" s="153"/>
      <c r="N68" s="154"/>
      <c r="O68" s="155"/>
      <c r="P68" s="156"/>
      <c r="Q68" s="157"/>
      <c r="R68" s="158"/>
      <c r="S68" s="114"/>
    </row>
    <row r="69" ht="15.75" customHeight="1">
      <c r="A69" s="29"/>
      <c r="B69" s="75">
        <f t="shared" si="2"/>
        <v>60</v>
      </c>
      <c r="C69" s="101"/>
      <c r="D69" s="102"/>
      <c r="E69" s="159"/>
      <c r="F69" s="152"/>
      <c r="G69" s="152"/>
      <c r="H69" s="152"/>
      <c r="I69" s="152"/>
      <c r="J69" s="152"/>
      <c r="K69" s="152"/>
      <c r="L69" s="79"/>
      <c r="M69" s="153"/>
      <c r="N69" s="154"/>
      <c r="O69" s="155"/>
      <c r="P69" s="156"/>
      <c r="Q69" s="157"/>
      <c r="R69" s="158"/>
      <c r="S69" s="114"/>
    </row>
    <row r="70" ht="15.75" customHeight="1">
      <c r="A70" s="29"/>
      <c r="B70" s="75">
        <f t="shared" si="2"/>
        <v>61</v>
      </c>
      <c r="C70" s="101"/>
      <c r="D70" s="102"/>
      <c r="E70" s="159"/>
      <c r="F70" s="152"/>
      <c r="G70" s="152"/>
      <c r="H70" s="152"/>
      <c r="I70" s="152"/>
      <c r="J70" s="152"/>
      <c r="K70" s="152"/>
      <c r="L70" s="79"/>
      <c r="M70" s="153"/>
      <c r="N70" s="154"/>
      <c r="O70" s="155"/>
      <c r="P70" s="156"/>
      <c r="Q70" s="157"/>
      <c r="R70" s="158"/>
      <c r="S70" s="114"/>
    </row>
    <row r="71" ht="15.75" customHeight="1">
      <c r="A71" s="29"/>
      <c r="B71" s="75">
        <f t="shared" si="2"/>
        <v>62</v>
      </c>
      <c r="C71" s="101"/>
      <c r="D71" s="102"/>
      <c r="E71" s="159"/>
      <c r="F71" s="152"/>
      <c r="G71" s="152"/>
      <c r="H71" s="152"/>
      <c r="I71" s="152"/>
      <c r="J71" s="152"/>
      <c r="K71" s="152"/>
      <c r="L71" s="79"/>
      <c r="M71" s="153"/>
      <c r="N71" s="154"/>
      <c r="O71" s="155"/>
      <c r="P71" s="156"/>
      <c r="Q71" s="157"/>
      <c r="R71" s="158"/>
      <c r="S71" s="114"/>
    </row>
    <row r="72" ht="15.75" customHeight="1">
      <c r="A72" s="29"/>
      <c r="B72" s="75">
        <f t="shared" si="2"/>
        <v>63</v>
      </c>
      <c r="C72" s="101"/>
      <c r="D72" s="102"/>
      <c r="E72" s="159"/>
      <c r="F72" s="152"/>
      <c r="G72" s="152"/>
      <c r="H72" s="152"/>
      <c r="I72" s="152"/>
      <c r="J72" s="152"/>
      <c r="K72" s="152"/>
      <c r="L72" s="79"/>
      <c r="M72" s="153"/>
      <c r="N72" s="154"/>
      <c r="O72" s="155"/>
      <c r="P72" s="156"/>
      <c r="Q72" s="157"/>
      <c r="R72" s="158"/>
      <c r="S72" s="114"/>
    </row>
    <row r="73" ht="15.75" customHeight="1">
      <c r="A73" s="29"/>
      <c r="B73" s="75">
        <f t="shared" si="2"/>
        <v>64</v>
      </c>
      <c r="C73" s="101"/>
      <c r="D73" s="102"/>
      <c r="E73" s="159"/>
      <c r="F73" s="152"/>
      <c r="G73" s="152"/>
      <c r="H73" s="152"/>
      <c r="I73" s="152"/>
      <c r="J73" s="152"/>
      <c r="K73" s="152"/>
      <c r="L73" s="79"/>
      <c r="M73" s="153"/>
      <c r="N73" s="154"/>
      <c r="O73" s="155"/>
      <c r="P73" s="156"/>
      <c r="Q73" s="157"/>
      <c r="R73" s="158"/>
      <c r="S73" s="114"/>
    </row>
    <row r="74" ht="15.75" customHeight="1">
      <c r="A74" s="29"/>
      <c r="B74" s="75">
        <f t="shared" si="2"/>
        <v>65</v>
      </c>
      <c r="C74" s="101"/>
      <c r="D74" s="102"/>
      <c r="E74" s="159"/>
      <c r="F74" s="152"/>
      <c r="G74" s="152"/>
      <c r="H74" s="152"/>
      <c r="I74" s="152"/>
      <c r="J74" s="152"/>
      <c r="K74" s="152"/>
      <c r="L74" s="79"/>
      <c r="M74" s="153"/>
      <c r="N74" s="154"/>
      <c r="O74" s="155"/>
      <c r="P74" s="156"/>
      <c r="Q74" s="157"/>
      <c r="R74" s="158"/>
      <c r="S74" s="114"/>
    </row>
    <row r="75" ht="15.75" customHeight="1">
      <c r="A75" s="29"/>
      <c r="B75" s="75">
        <f t="shared" si="2"/>
        <v>66</v>
      </c>
      <c r="C75" s="101"/>
      <c r="D75" s="102"/>
      <c r="E75" s="159"/>
      <c r="F75" s="152"/>
      <c r="G75" s="152"/>
      <c r="H75" s="152"/>
      <c r="I75" s="152"/>
      <c r="J75" s="152"/>
      <c r="K75" s="152"/>
      <c r="L75" s="79"/>
      <c r="M75" s="153"/>
      <c r="N75" s="154"/>
      <c r="O75" s="155"/>
      <c r="P75" s="156"/>
      <c r="Q75" s="157"/>
      <c r="R75" s="158"/>
      <c r="S75" s="114"/>
    </row>
    <row r="76" ht="15.75" customHeight="1">
      <c r="A76" s="29"/>
      <c r="B76" s="75">
        <f t="shared" si="2"/>
        <v>67</v>
      </c>
      <c r="C76" s="101"/>
      <c r="D76" s="102"/>
      <c r="E76" s="159"/>
      <c r="F76" s="152"/>
      <c r="G76" s="152"/>
      <c r="H76" s="152"/>
      <c r="I76" s="152"/>
      <c r="J76" s="152"/>
      <c r="K76" s="152"/>
      <c r="L76" s="79"/>
      <c r="M76" s="153"/>
      <c r="N76" s="154"/>
      <c r="O76" s="155"/>
      <c r="P76" s="156"/>
      <c r="Q76" s="157"/>
      <c r="R76" s="158"/>
      <c r="S76" s="114"/>
    </row>
    <row r="77" ht="15.75" customHeight="1">
      <c r="A77" s="29"/>
      <c r="B77" s="75">
        <f t="shared" si="2"/>
        <v>68</v>
      </c>
      <c r="C77" s="101"/>
      <c r="D77" s="102"/>
      <c r="E77" s="159"/>
      <c r="F77" s="152"/>
      <c r="G77" s="152"/>
      <c r="H77" s="152"/>
      <c r="I77" s="152"/>
      <c r="J77" s="152"/>
      <c r="K77" s="152"/>
      <c r="L77" s="79"/>
      <c r="M77" s="153"/>
      <c r="N77" s="154"/>
      <c r="O77" s="155"/>
      <c r="P77" s="156"/>
      <c r="Q77" s="157"/>
      <c r="R77" s="158"/>
      <c r="S77" s="114"/>
    </row>
    <row r="78" ht="15.75" customHeight="1">
      <c r="A78" s="29"/>
      <c r="B78" s="75">
        <f t="shared" si="2"/>
        <v>69</v>
      </c>
      <c r="C78" s="101"/>
      <c r="D78" s="102"/>
      <c r="E78" s="159"/>
      <c r="F78" s="152"/>
      <c r="G78" s="152"/>
      <c r="H78" s="152"/>
      <c r="I78" s="152"/>
      <c r="J78" s="152"/>
      <c r="K78" s="152"/>
      <c r="L78" s="79"/>
      <c r="M78" s="153"/>
      <c r="N78" s="154"/>
      <c r="O78" s="155"/>
      <c r="P78" s="156"/>
      <c r="Q78" s="157"/>
      <c r="R78" s="158"/>
      <c r="S78" s="114"/>
    </row>
    <row r="79" ht="15.75" customHeight="1">
      <c r="A79" s="29"/>
      <c r="B79" s="75">
        <f t="shared" si="2"/>
        <v>70</v>
      </c>
      <c r="C79" s="101"/>
      <c r="D79" s="102"/>
      <c r="E79" s="159"/>
      <c r="F79" s="152"/>
      <c r="G79" s="152"/>
      <c r="H79" s="152"/>
      <c r="I79" s="152"/>
      <c r="J79" s="152"/>
      <c r="K79" s="152"/>
      <c r="L79" s="79"/>
      <c r="M79" s="153"/>
      <c r="N79" s="154"/>
      <c r="O79" s="155"/>
      <c r="P79" s="156"/>
      <c r="Q79" s="157"/>
      <c r="R79" s="158"/>
      <c r="S79" s="114"/>
    </row>
    <row r="80" ht="15.75" customHeight="1">
      <c r="A80" s="29"/>
      <c r="B80" s="75">
        <f t="shared" si="2"/>
        <v>71</v>
      </c>
      <c r="C80" s="101"/>
      <c r="D80" s="102"/>
      <c r="E80" s="159"/>
      <c r="F80" s="152"/>
      <c r="G80" s="152"/>
      <c r="H80" s="152"/>
      <c r="I80" s="152"/>
      <c r="J80" s="152"/>
      <c r="K80" s="152"/>
      <c r="L80" s="79"/>
      <c r="M80" s="153"/>
      <c r="N80" s="154"/>
      <c r="O80" s="155"/>
      <c r="P80" s="156"/>
      <c r="Q80" s="157"/>
      <c r="R80" s="158"/>
      <c r="S80" s="114"/>
    </row>
    <row r="81" ht="15.75" customHeight="1">
      <c r="A81" s="29"/>
      <c r="B81" s="75">
        <f t="shared" si="2"/>
        <v>72</v>
      </c>
      <c r="C81" s="101"/>
      <c r="D81" s="102"/>
      <c r="E81" s="159"/>
      <c r="F81" s="152"/>
      <c r="G81" s="152"/>
      <c r="H81" s="152"/>
      <c r="I81" s="152"/>
      <c r="J81" s="152"/>
      <c r="K81" s="152"/>
      <c r="L81" s="79"/>
      <c r="M81" s="153"/>
      <c r="N81" s="154"/>
      <c r="O81" s="155"/>
      <c r="P81" s="156"/>
      <c r="Q81" s="157"/>
      <c r="R81" s="158"/>
      <c r="S81" s="114"/>
    </row>
    <row r="82" ht="15.75" customHeight="1">
      <c r="A82" s="29"/>
      <c r="B82" s="75">
        <f t="shared" si="2"/>
        <v>73</v>
      </c>
      <c r="C82" s="101"/>
      <c r="D82" s="102"/>
      <c r="E82" s="159"/>
      <c r="F82" s="152"/>
      <c r="G82" s="152"/>
      <c r="H82" s="152"/>
      <c r="I82" s="152"/>
      <c r="J82" s="152"/>
      <c r="K82" s="152"/>
      <c r="L82" s="79"/>
      <c r="M82" s="153"/>
      <c r="N82" s="154"/>
      <c r="O82" s="155"/>
      <c r="P82" s="156"/>
      <c r="Q82" s="157"/>
      <c r="R82" s="158"/>
      <c r="S82" s="114"/>
    </row>
    <row r="83" ht="15.75" customHeight="1">
      <c r="A83" s="29"/>
      <c r="B83" s="75">
        <f t="shared" si="2"/>
        <v>74</v>
      </c>
      <c r="C83" s="101"/>
      <c r="D83" s="102"/>
      <c r="E83" s="159"/>
      <c r="F83" s="152"/>
      <c r="G83" s="152"/>
      <c r="H83" s="152"/>
      <c r="I83" s="152"/>
      <c r="J83" s="152"/>
      <c r="K83" s="152"/>
      <c r="L83" s="79"/>
      <c r="M83" s="153"/>
      <c r="N83" s="154"/>
      <c r="O83" s="155"/>
      <c r="P83" s="156"/>
      <c r="Q83" s="157"/>
      <c r="R83" s="158"/>
      <c r="S83" s="114"/>
    </row>
    <row r="84" ht="15.75" customHeight="1">
      <c r="A84" s="29"/>
      <c r="B84" s="75">
        <f t="shared" si="2"/>
        <v>75</v>
      </c>
      <c r="C84" s="101"/>
      <c r="D84" s="102"/>
      <c r="E84" s="159"/>
      <c r="F84" s="152"/>
      <c r="G84" s="152"/>
      <c r="H84" s="152"/>
      <c r="I84" s="152"/>
      <c r="J84" s="152"/>
      <c r="K84" s="152"/>
      <c r="L84" s="79"/>
      <c r="M84" s="153"/>
      <c r="N84" s="154"/>
      <c r="O84" s="155"/>
      <c r="P84" s="156"/>
      <c r="Q84" s="157"/>
      <c r="R84" s="158"/>
      <c r="S84" s="114"/>
    </row>
    <row r="85" ht="15.75" customHeight="1">
      <c r="A85" s="29"/>
      <c r="B85" s="75">
        <f t="shared" si="2"/>
        <v>76</v>
      </c>
      <c r="C85" s="101"/>
      <c r="D85" s="102"/>
      <c r="E85" s="159"/>
      <c r="F85" s="152"/>
      <c r="G85" s="152"/>
      <c r="H85" s="152"/>
      <c r="I85" s="152"/>
      <c r="J85" s="152"/>
      <c r="K85" s="152"/>
      <c r="L85" s="79"/>
      <c r="M85" s="153"/>
      <c r="N85" s="154"/>
      <c r="O85" s="155"/>
      <c r="P85" s="156"/>
      <c r="Q85" s="157"/>
      <c r="R85" s="158"/>
      <c r="S85" s="114"/>
    </row>
    <row r="86" ht="15.75" customHeight="1">
      <c r="A86" s="29"/>
      <c r="B86" s="75">
        <f t="shared" si="2"/>
        <v>77</v>
      </c>
      <c r="C86" s="101"/>
      <c r="D86" s="102"/>
      <c r="E86" s="159"/>
      <c r="F86" s="152"/>
      <c r="G86" s="152"/>
      <c r="H86" s="152"/>
      <c r="I86" s="152"/>
      <c r="J86" s="152"/>
      <c r="K86" s="152"/>
      <c r="L86" s="79"/>
      <c r="M86" s="153"/>
      <c r="N86" s="154"/>
      <c r="O86" s="155"/>
      <c r="P86" s="156"/>
      <c r="Q86" s="157"/>
      <c r="R86" s="158"/>
      <c r="S86" s="114"/>
    </row>
    <row r="87" ht="15.75" customHeight="1">
      <c r="A87" s="29"/>
      <c r="B87" s="75">
        <f t="shared" si="2"/>
        <v>78</v>
      </c>
      <c r="C87" s="101"/>
      <c r="D87" s="102"/>
      <c r="E87" s="159"/>
      <c r="F87" s="152"/>
      <c r="G87" s="152"/>
      <c r="H87" s="152"/>
      <c r="I87" s="152"/>
      <c r="J87" s="152"/>
      <c r="K87" s="152"/>
      <c r="L87" s="79"/>
      <c r="M87" s="153"/>
      <c r="N87" s="154"/>
      <c r="O87" s="155"/>
      <c r="P87" s="156"/>
      <c r="Q87" s="157"/>
      <c r="R87" s="158"/>
      <c r="S87" s="114"/>
    </row>
    <row r="88" ht="15.75" customHeight="1">
      <c r="A88" s="29"/>
      <c r="B88" s="75">
        <f t="shared" si="2"/>
        <v>79</v>
      </c>
      <c r="C88" s="101"/>
      <c r="D88" s="102"/>
      <c r="E88" s="159"/>
      <c r="F88" s="152"/>
      <c r="G88" s="152"/>
      <c r="H88" s="152"/>
      <c r="I88" s="152"/>
      <c r="J88" s="152"/>
      <c r="K88" s="152"/>
      <c r="L88" s="79"/>
      <c r="M88" s="153"/>
      <c r="N88" s="154"/>
      <c r="O88" s="155"/>
      <c r="P88" s="156"/>
      <c r="Q88" s="157"/>
      <c r="R88" s="158"/>
      <c r="S88" s="114"/>
    </row>
    <row r="89" ht="15.75" customHeight="1">
      <c r="A89" s="29"/>
      <c r="B89" s="75">
        <f t="shared" si="2"/>
        <v>80</v>
      </c>
      <c r="C89" s="101"/>
      <c r="D89" s="102"/>
      <c r="E89" s="159"/>
      <c r="F89" s="152"/>
      <c r="G89" s="152"/>
      <c r="H89" s="152"/>
      <c r="I89" s="152"/>
      <c r="J89" s="152"/>
      <c r="K89" s="152"/>
      <c r="L89" s="79"/>
      <c r="M89" s="153"/>
      <c r="N89" s="154"/>
      <c r="O89" s="155"/>
      <c r="P89" s="156"/>
      <c r="Q89" s="157"/>
      <c r="R89" s="158"/>
      <c r="S89" s="114"/>
    </row>
    <row r="90" ht="15.75" customHeight="1">
      <c r="A90" s="29"/>
      <c r="B90" s="75">
        <f t="shared" si="2"/>
        <v>81</v>
      </c>
      <c r="C90" s="101"/>
      <c r="D90" s="102"/>
      <c r="E90" s="159"/>
      <c r="F90" s="152"/>
      <c r="G90" s="152"/>
      <c r="H90" s="152"/>
      <c r="I90" s="152"/>
      <c r="J90" s="152"/>
      <c r="K90" s="152"/>
      <c r="L90" s="79"/>
      <c r="M90" s="153"/>
      <c r="N90" s="154"/>
      <c r="O90" s="155"/>
      <c r="P90" s="156"/>
      <c r="Q90" s="157"/>
      <c r="R90" s="158"/>
      <c r="S90" s="114"/>
    </row>
    <row r="91" ht="15.75" customHeight="1">
      <c r="A91" s="29"/>
      <c r="B91" s="75">
        <f t="shared" si="2"/>
        <v>82</v>
      </c>
      <c r="C91" s="101"/>
      <c r="D91" s="102"/>
      <c r="E91" s="159"/>
      <c r="F91" s="152"/>
      <c r="G91" s="152"/>
      <c r="H91" s="152"/>
      <c r="I91" s="152"/>
      <c r="J91" s="152"/>
      <c r="K91" s="152"/>
      <c r="L91" s="79"/>
      <c r="M91" s="153"/>
      <c r="N91" s="154"/>
      <c r="O91" s="155"/>
      <c r="P91" s="156"/>
      <c r="Q91" s="157"/>
      <c r="R91" s="158"/>
      <c r="S91" s="114"/>
    </row>
    <row r="92" ht="15.75" customHeight="1">
      <c r="A92" s="29"/>
      <c r="B92" s="75">
        <f t="shared" si="2"/>
        <v>83</v>
      </c>
      <c r="C92" s="101"/>
      <c r="D92" s="102"/>
      <c r="E92" s="159"/>
      <c r="F92" s="152"/>
      <c r="G92" s="152"/>
      <c r="H92" s="152"/>
      <c r="I92" s="152"/>
      <c r="J92" s="152"/>
      <c r="K92" s="152"/>
      <c r="L92" s="79"/>
      <c r="M92" s="153"/>
      <c r="N92" s="154"/>
      <c r="O92" s="155"/>
      <c r="P92" s="156"/>
      <c r="Q92" s="157"/>
      <c r="R92" s="158"/>
      <c r="S92" s="114"/>
    </row>
    <row r="93" ht="15.75" customHeight="1">
      <c r="A93" s="29"/>
      <c r="B93" s="75">
        <f t="shared" si="2"/>
        <v>84</v>
      </c>
      <c r="C93" s="101"/>
      <c r="D93" s="102"/>
      <c r="E93" s="159"/>
      <c r="F93" s="152"/>
      <c r="G93" s="152"/>
      <c r="H93" s="152"/>
      <c r="I93" s="152"/>
      <c r="J93" s="152"/>
      <c r="K93" s="152"/>
      <c r="L93" s="79"/>
      <c r="M93" s="153"/>
      <c r="N93" s="154"/>
      <c r="O93" s="155"/>
      <c r="P93" s="156"/>
      <c r="Q93" s="157"/>
      <c r="R93" s="158"/>
      <c r="S93" s="114"/>
    </row>
    <row r="94" ht="15.75" customHeight="1">
      <c r="A94" s="29"/>
      <c r="B94" s="75">
        <f t="shared" si="2"/>
        <v>85</v>
      </c>
      <c r="C94" s="101"/>
      <c r="D94" s="102"/>
      <c r="E94" s="159"/>
      <c r="F94" s="152"/>
      <c r="G94" s="152"/>
      <c r="H94" s="152"/>
      <c r="I94" s="152"/>
      <c r="J94" s="152"/>
      <c r="K94" s="152"/>
      <c r="L94" s="79"/>
      <c r="M94" s="153"/>
      <c r="N94" s="154"/>
      <c r="O94" s="155"/>
      <c r="P94" s="156"/>
      <c r="Q94" s="157"/>
      <c r="R94" s="158"/>
      <c r="S94" s="114"/>
    </row>
    <row r="95" ht="15.75" customHeight="1">
      <c r="A95" s="29"/>
      <c r="B95" s="75">
        <f t="shared" si="2"/>
        <v>86</v>
      </c>
      <c r="C95" s="101"/>
      <c r="D95" s="102"/>
      <c r="E95" s="159"/>
      <c r="F95" s="152"/>
      <c r="G95" s="152"/>
      <c r="H95" s="152"/>
      <c r="I95" s="152"/>
      <c r="J95" s="152"/>
      <c r="K95" s="152"/>
      <c r="L95" s="79"/>
      <c r="M95" s="153"/>
      <c r="N95" s="154"/>
      <c r="O95" s="155"/>
      <c r="P95" s="156"/>
      <c r="Q95" s="157"/>
      <c r="R95" s="158"/>
      <c r="S95" s="114"/>
    </row>
    <row r="96" ht="15.75" customHeight="1">
      <c r="A96" s="29"/>
      <c r="B96" s="75">
        <f t="shared" si="2"/>
        <v>87</v>
      </c>
      <c r="C96" s="101"/>
      <c r="D96" s="102"/>
      <c r="E96" s="159"/>
      <c r="F96" s="152"/>
      <c r="G96" s="152"/>
      <c r="H96" s="152"/>
      <c r="I96" s="152"/>
      <c r="J96" s="152"/>
      <c r="K96" s="152"/>
      <c r="L96" s="79"/>
      <c r="M96" s="153"/>
      <c r="N96" s="154"/>
      <c r="O96" s="155"/>
      <c r="P96" s="156"/>
      <c r="Q96" s="157"/>
      <c r="R96" s="158"/>
      <c r="S96" s="114"/>
    </row>
    <row r="97" ht="15.75" customHeight="1">
      <c r="A97" s="29"/>
      <c r="B97" s="75">
        <f t="shared" si="2"/>
        <v>88</v>
      </c>
      <c r="C97" s="101"/>
      <c r="D97" s="102"/>
      <c r="E97" s="159"/>
      <c r="F97" s="152"/>
      <c r="G97" s="152"/>
      <c r="H97" s="152"/>
      <c r="I97" s="152"/>
      <c r="J97" s="152"/>
      <c r="K97" s="152"/>
      <c r="L97" s="79"/>
      <c r="M97" s="153"/>
      <c r="N97" s="154"/>
      <c r="O97" s="155"/>
      <c r="P97" s="156"/>
      <c r="Q97" s="157"/>
      <c r="R97" s="158"/>
      <c r="S97" s="114"/>
    </row>
    <row r="98" ht="15.75" customHeight="1">
      <c r="A98" s="29"/>
      <c r="B98" s="75">
        <f t="shared" si="2"/>
        <v>89</v>
      </c>
      <c r="C98" s="101"/>
      <c r="D98" s="102"/>
      <c r="E98" s="159"/>
      <c r="F98" s="152"/>
      <c r="G98" s="152"/>
      <c r="H98" s="152"/>
      <c r="I98" s="152"/>
      <c r="J98" s="152"/>
      <c r="K98" s="152"/>
      <c r="L98" s="79"/>
      <c r="M98" s="153"/>
      <c r="N98" s="154"/>
      <c r="O98" s="155"/>
      <c r="P98" s="156"/>
      <c r="Q98" s="157"/>
      <c r="R98" s="158"/>
      <c r="S98" s="114"/>
    </row>
    <row r="99" ht="15.75" customHeight="1">
      <c r="A99" s="29"/>
      <c r="B99" s="75">
        <f t="shared" si="2"/>
        <v>90</v>
      </c>
      <c r="C99" s="101"/>
      <c r="D99" s="102"/>
      <c r="E99" s="159"/>
      <c r="F99" s="152"/>
      <c r="G99" s="152"/>
      <c r="H99" s="152"/>
      <c r="I99" s="152"/>
      <c r="J99" s="152"/>
      <c r="K99" s="152"/>
      <c r="L99" s="79"/>
      <c r="M99" s="153"/>
      <c r="N99" s="154"/>
      <c r="O99" s="155"/>
      <c r="P99" s="156"/>
      <c r="Q99" s="157"/>
      <c r="R99" s="158"/>
      <c r="S99" s="114"/>
    </row>
    <row r="100" ht="15.75" customHeight="1">
      <c r="A100" s="29"/>
      <c r="B100" s="75">
        <f t="shared" si="2"/>
        <v>91</v>
      </c>
      <c r="C100" s="101"/>
      <c r="D100" s="102"/>
      <c r="E100" s="159"/>
      <c r="F100" s="152"/>
      <c r="G100" s="152"/>
      <c r="H100" s="152"/>
      <c r="I100" s="152"/>
      <c r="J100" s="152"/>
      <c r="K100" s="152"/>
      <c r="L100" s="79"/>
      <c r="M100" s="153"/>
      <c r="N100" s="154"/>
      <c r="O100" s="155"/>
      <c r="P100" s="156"/>
      <c r="Q100" s="157"/>
      <c r="R100" s="158"/>
      <c r="S100" s="114"/>
    </row>
    <row r="101" ht="15.75" customHeight="1">
      <c r="A101" s="29"/>
      <c r="B101" s="75">
        <f t="shared" si="2"/>
        <v>92</v>
      </c>
      <c r="C101" s="101"/>
      <c r="D101" s="102"/>
      <c r="E101" s="159"/>
      <c r="F101" s="152"/>
      <c r="G101" s="152"/>
      <c r="H101" s="152"/>
      <c r="I101" s="152"/>
      <c r="J101" s="152"/>
      <c r="K101" s="152"/>
      <c r="L101" s="79"/>
      <c r="M101" s="153"/>
      <c r="N101" s="154"/>
      <c r="O101" s="155"/>
      <c r="P101" s="156"/>
      <c r="Q101" s="157"/>
      <c r="R101" s="158"/>
      <c r="S101" s="114"/>
    </row>
    <row r="102" ht="15.75" customHeight="1">
      <c r="A102" s="29"/>
      <c r="B102" s="75">
        <f t="shared" si="2"/>
        <v>93</v>
      </c>
      <c r="C102" s="101"/>
      <c r="D102" s="102"/>
      <c r="E102" s="159"/>
      <c r="F102" s="152"/>
      <c r="G102" s="152"/>
      <c r="H102" s="152"/>
      <c r="I102" s="152"/>
      <c r="J102" s="152"/>
      <c r="K102" s="152"/>
      <c r="L102" s="79"/>
      <c r="M102" s="153"/>
      <c r="N102" s="154"/>
      <c r="O102" s="155"/>
      <c r="P102" s="156"/>
      <c r="Q102" s="157"/>
      <c r="R102" s="158"/>
      <c r="S102" s="114"/>
    </row>
    <row r="103" ht="15.75" customHeight="1">
      <c r="A103" s="29"/>
      <c r="B103" s="75">
        <f t="shared" si="2"/>
        <v>94</v>
      </c>
      <c r="C103" s="101"/>
      <c r="D103" s="102"/>
      <c r="E103" s="159"/>
      <c r="F103" s="152"/>
      <c r="G103" s="152"/>
      <c r="H103" s="152"/>
      <c r="I103" s="152"/>
      <c r="J103" s="152"/>
      <c r="K103" s="152"/>
      <c r="L103" s="79"/>
      <c r="M103" s="153"/>
      <c r="N103" s="154"/>
      <c r="O103" s="155"/>
      <c r="P103" s="156"/>
      <c r="Q103" s="157"/>
      <c r="R103" s="158"/>
      <c r="S103" s="114"/>
    </row>
    <row r="104" ht="15.75" customHeight="1">
      <c r="A104" s="29"/>
      <c r="B104" s="75">
        <f t="shared" si="2"/>
        <v>95</v>
      </c>
      <c r="C104" s="101"/>
      <c r="D104" s="102"/>
      <c r="E104" s="159"/>
      <c r="F104" s="152"/>
      <c r="G104" s="152"/>
      <c r="H104" s="152"/>
      <c r="I104" s="152"/>
      <c r="J104" s="152"/>
      <c r="K104" s="152"/>
      <c r="L104" s="79"/>
      <c r="M104" s="153"/>
      <c r="N104" s="154"/>
      <c r="O104" s="155"/>
      <c r="P104" s="156"/>
      <c r="Q104" s="157"/>
      <c r="R104" s="158"/>
      <c r="S104" s="114"/>
    </row>
    <row r="105" ht="15.75" customHeight="1">
      <c r="A105" s="29"/>
      <c r="B105" s="75">
        <f t="shared" si="2"/>
        <v>96</v>
      </c>
      <c r="C105" s="101"/>
      <c r="D105" s="102"/>
      <c r="E105" s="159"/>
      <c r="F105" s="152"/>
      <c r="G105" s="152"/>
      <c r="H105" s="152"/>
      <c r="I105" s="152"/>
      <c r="J105" s="152"/>
      <c r="K105" s="152"/>
      <c r="L105" s="79"/>
      <c r="M105" s="153"/>
      <c r="N105" s="154"/>
      <c r="O105" s="155"/>
      <c r="P105" s="156"/>
      <c r="Q105" s="157"/>
      <c r="R105" s="158"/>
      <c r="S105" s="114"/>
    </row>
    <row r="106" ht="15.75" customHeight="1">
      <c r="A106" s="29"/>
      <c r="B106" s="75">
        <f t="shared" si="2"/>
        <v>97</v>
      </c>
      <c r="C106" s="101"/>
      <c r="D106" s="102"/>
      <c r="E106" s="159"/>
      <c r="F106" s="152"/>
      <c r="G106" s="152"/>
      <c r="H106" s="152"/>
      <c r="I106" s="152"/>
      <c r="J106" s="152"/>
      <c r="K106" s="152"/>
      <c r="L106" s="79"/>
      <c r="M106" s="153"/>
      <c r="N106" s="154"/>
      <c r="O106" s="155"/>
      <c r="P106" s="156"/>
      <c r="Q106" s="157"/>
      <c r="R106" s="158"/>
      <c r="S106" s="114"/>
    </row>
    <row r="107" ht="15.75" customHeight="1">
      <c r="A107" s="29"/>
      <c r="B107" s="75">
        <f t="shared" si="2"/>
        <v>98</v>
      </c>
      <c r="C107" s="101"/>
      <c r="D107" s="102"/>
      <c r="E107" s="159"/>
      <c r="F107" s="152"/>
      <c r="G107" s="152"/>
      <c r="H107" s="152"/>
      <c r="I107" s="152"/>
      <c r="J107" s="152"/>
      <c r="K107" s="152"/>
      <c r="L107" s="79"/>
      <c r="M107" s="153"/>
      <c r="N107" s="154"/>
      <c r="O107" s="155"/>
      <c r="P107" s="156"/>
      <c r="Q107" s="157"/>
      <c r="R107" s="158"/>
      <c r="S107" s="114"/>
    </row>
    <row r="108" ht="15.75" customHeight="1">
      <c r="A108" s="29"/>
      <c r="B108" s="75">
        <f t="shared" si="2"/>
        <v>99</v>
      </c>
      <c r="C108" s="101"/>
      <c r="D108" s="102"/>
      <c r="E108" s="159"/>
      <c r="F108" s="152"/>
      <c r="G108" s="152"/>
      <c r="H108" s="152"/>
      <c r="I108" s="152"/>
      <c r="J108" s="152"/>
      <c r="K108" s="152"/>
      <c r="L108" s="79"/>
      <c r="M108" s="153"/>
      <c r="N108" s="154"/>
      <c r="O108" s="155"/>
      <c r="P108" s="156"/>
      <c r="Q108" s="157"/>
      <c r="R108" s="158"/>
      <c r="S108" s="114"/>
    </row>
    <row r="109" ht="15.75" customHeight="1">
      <c r="A109" s="29"/>
      <c r="B109" s="100">
        <f t="shared" si="2"/>
        <v>100</v>
      </c>
      <c r="C109" s="101"/>
      <c r="D109" s="102"/>
      <c r="E109" s="159"/>
      <c r="F109" s="152"/>
      <c r="G109" s="103"/>
      <c r="H109" s="103"/>
      <c r="I109" s="103"/>
      <c r="J109" s="103"/>
      <c r="K109" s="103"/>
      <c r="L109" s="104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E01A1B4-FF24-4245-BF96-23F2B5D6EC7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