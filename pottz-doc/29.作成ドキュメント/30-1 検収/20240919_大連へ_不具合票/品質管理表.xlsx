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WMS\GIT2024\potts-doc\29.作成ドキュメント\30-1 検収\20240919_大連へ_不具合票\"/>
    </mc:Choice>
  </mc:AlternateContent>
  <bookViews>
    <workbookView xWindow="0" yWindow="0" windowWidth="10716" windowHeight="6180" activeTab="1"/>
  </bookViews>
  <sheets>
    <sheet name="運用方法" sheetId="1" r:id="rId1"/>
    <sheet name="不具合表" sheetId="2" r:id="rId2"/>
  </sheets>
  <definedNames>
    <definedName name="_xlnm._FilterDatabase" localSheetId="1" hidden="1">不具合表!$B$4:$AC$305</definedName>
    <definedName name="Z_AC73F0AC_3B6F_451B_A834_DCB871243EC7_.wvu.FilterData" localSheetId="1" hidden="1">不具合表!$A$4:$AC$305</definedName>
  </definedNames>
  <calcPr calcId="162913"/>
  <customWorkbookViews>
    <customWorkbookView name="DHフィルタ" guid="{AC73F0AC-3B6F-451B-A834-DCB871243EC7}"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5" i="2" l="1"/>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53"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5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alcChain>
</file>

<file path=xl/comments1.xml><?xml version="1.0" encoding="utf-8"?>
<comments xmlns="http://schemas.openxmlformats.org/spreadsheetml/2006/main">
  <authors>
    <author>tc={6F8BE71F-B4C7-4B24-8901-B86A0CFE4C32}</author>
  </authors>
  <commentList>
    <comment ref="E4" authorId="0" shapeId="0">
      <text>
        <r>
          <rPr>
            <sz val="10"/>
            <color rgb="FF000000"/>
            <rFont val="Arial"/>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業務に支障が出る：A
出ないけどまあまあひどい：B
業務に支障は出ないしひどくないけどどうなの？：C</t>
        </r>
      </text>
    </comment>
  </commentList>
</comments>
</file>

<file path=xl/sharedStrings.xml><?xml version="1.0" encoding="utf-8"?>
<sst xmlns="http://schemas.openxmlformats.org/spreadsheetml/2006/main" count="1411" uniqueCount="375">
  <si>
    <t>ステータス</t>
  </si>
  <si>
    <t>内容</t>
  </si>
  <si>
    <t>起票中</t>
  </si>
  <si>
    <t>起票中に使用（内部用ステータス）</t>
  </si>
  <si>
    <t>起票済</t>
  </si>
  <si>
    <t>起票完了済のものを表す</t>
  </si>
  <si>
    <t>対応済</t>
  </si>
  <si>
    <t>BX様対応済のものを表す</t>
  </si>
  <si>
    <t>完了</t>
  </si>
  <si>
    <t>対応完了後確認済のものを表す</t>
  </si>
  <si>
    <t>申し送り</t>
  </si>
  <si>
    <t>本検証では非対応とするものを表す</t>
  </si>
  <si>
    <t>取り下げ</t>
  </si>
  <si>
    <t>起票取り下げを表す</t>
  </si>
  <si>
    <t>再修正依頼</t>
  </si>
  <si>
    <t>対応後確認したが再確認や再修正が必要な場合を表す</t>
  </si>
  <si>
    <t>■使い方</t>
  </si>
  <si>
    <t>1.弊社内で起票が完了したものについて「起票済」のステータスの状態でお渡しいたしますので内容のご確認をお願いいたします。</t>
  </si>
  <si>
    <t>2.対応（問い合わせの場合は回答）が完了しましたら御社側でステータスを「対応済」に変更ください。本検証では非対応とする場合は「申し送り」にステータスを変更ください。</t>
  </si>
  <si>
    <t>3.「対応済」のものについて弊社内で確認後、問題なかった場合は「完了」へ再確認などが必要な場合は「再修正依頼」へステータスを変更します。</t>
  </si>
  <si>
    <t>　 「再修正依頼」のものについては再度ご確認をお願いいたします。</t>
  </si>
  <si>
    <t>弊社記載</t>
  </si>
  <si>
    <t>No</t>
  </si>
  <si>
    <t>報告者</t>
  </si>
  <si>
    <t>ランク</t>
  </si>
  <si>
    <t>分類</t>
  </si>
  <si>
    <t>件名</t>
  </si>
  <si>
    <t>対象画面・機能</t>
  </si>
  <si>
    <t>問題となっている挙動</t>
  </si>
  <si>
    <t>テスト項目書/シート名</t>
  </si>
  <si>
    <t>テストケースNo</t>
  </si>
  <si>
    <t>再現手順</t>
  </si>
  <si>
    <t>あるべき挙動（期待する挙動）</t>
  </si>
  <si>
    <t>再現率（再現回数/試行回数）</t>
  </si>
  <si>
    <t>対象端末</t>
  </si>
  <si>
    <t>試験日時</t>
  </si>
  <si>
    <t>類似不具合No</t>
  </si>
  <si>
    <t>エビデンス</t>
  </si>
  <si>
    <t>備考</t>
  </si>
  <si>
    <t>修正Ver.</t>
  </si>
  <si>
    <t>確認日</t>
  </si>
  <si>
    <t>記載者</t>
  </si>
  <si>
    <t>確認内容</t>
  </si>
  <si>
    <t>品質管理表</t>
    <rPh sb="0" eb="5">
      <t>ヒンシツカンリヒョウ</t>
    </rPh>
    <phoneticPr fontId="2"/>
  </si>
  <si>
    <t>-</t>
    <phoneticPr fontId="2"/>
  </si>
  <si>
    <t>不具合</t>
  </si>
  <si>
    <t>伊藤</t>
    <rPh sb="0" eb="2">
      <t>イトウ</t>
    </rPh>
    <phoneticPr fontId="2"/>
  </si>
  <si>
    <t>2024/09/12
13:58</t>
    <phoneticPr fontId="2"/>
  </si>
  <si>
    <t>問い合わせ</t>
  </si>
  <si>
    <t>2024/09/12
14:12</t>
    <phoneticPr fontId="2"/>
  </si>
  <si>
    <t>2024/09/12
14:37</t>
    <phoneticPr fontId="2"/>
  </si>
  <si>
    <t>2024/09/12
15:19</t>
    <phoneticPr fontId="2"/>
  </si>
  <si>
    <t>2024/09/12
15:28</t>
    <phoneticPr fontId="2"/>
  </si>
  <si>
    <t>top＞入荷＞入荷予定照会＞入荷明細</t>
    <rPh sb="4" eb="6">
      <t>ニュウカ</t>
    </rPh>
    <rPh sb="11" eb="13">
      <t>ショウカイ</t>
    </rPh>
    <rPh sb="14" eb="18">
      <t>ニュウカメイサイ</t>
    </rPh>
    <phoneticPr fontId="2"/>
  </si>
  <si>
    <t>2024/09/12
15:53</t>
    <phoneticPr fontId="2"/>
  </si>
  <si>
    <t>2024/09/12
16:12</t>
    <phoneticPr fontId="2"/>
  </si>
  <si>
    <t>top&gt;menu&gt;[入荷][出荷][在庫][棚卸]</t>
    <phoneticPr fontId="2"/>
  </si>
  <si>
    <t>2024/09/12
16:38</t>
    <phoneticPr fontId="2"/>
  </si>
  <si>
    <t>[入荷予定入力]画面に明細行を追加→「明細」画面＞「商品_写真1」「商品_写真2」がデフォルトのまま変更できない。なのでどの注文でも商品画像は「いらすと屋」にしかならない。</t>
    <rPh sb="1" eb="5">
      <t>ニュウカヨテイ</t>
    </rPh>
    <rPh sb="5" eb="7">
      <t>ニュウリョク</t>
    </rPh>
    <rPh sb="8" eb="10">
      <t>ガメン</t>
    </rPh>
    <rPh sb="11" eb="14">
      <t>メイサイギョウ</t>
    </rPh>
    <rPh sb="15" eb="17">
      <t>ツイカ</t>
    </rPh>
    <rPh sb="19" eb="21">
      <t>メイサイ</t>
    </rPh>
    <rPh sb="22" eb="24">
      <t>ガメン</t>
    </rPh>
    <rPh sb="26" eb="28">
      <t>ショウヒン</t>
    </rPh>
    <rPh sb="29" eb="31">
      <t>シャシン</t>
    </rPh>
    <rPh sb="50" eb="52">
      <t>ヘンコウ</t>
    </rPh>
    <rPh sb="62" eb="64">
      <t>チュウモン</t>
    </rPh>
    <rPh sb="66" eb="70">
      <t>ショウヒンガゾウ</t>
    </rPh>
    <rPh sb="76" eb="77">
      <t>ヤ</t>
    </rPh>
    <phoneticPr fontId="2"/>
  </si>
  <si>
    <t>商品写真が変更できない。写真の上でタップしても何も動かない。</t>
    <rPh sb="0" eb="2">
      <t>ショウヒン</t>
    </rPh>
    <rPh sb="2" eb="4">
      <t>シャシン</t>
    </rPh>
    <rPh sb="5" eb="7">
      <t>ヘンコウ</t>
    </rPh>
    <rPh sb="12" eb="14">
      <t>シャシン</t>
    </rPh>
    <rPh sb="15" eb="16">
      <t>ウエ</t>
    </rPh>
    <rPh sb="23" eb="24">
      <t>ナニ</t>
    </rPh>
    <rPh sb="25" eb="26">
      <t>ウゴ</t>
    </rPh>
    <phoneticPr fontId="2"/>
  </si>
  <si>
    <t>写真の枠の上でタップすると画像を選択する画面が出て、画像を変更できること</t>
    <rPh sb="0" eb="2">
      <t>シャシン</t>
    </rPh>
    <rPh sb="3" eb="4">
      <t>ワク</t>
    </rPh>
    <rPh sb="5" eb="6">
      <t>ウエ</t>
    </rPh>
    <rPh sb="13" eb="15">
      <t>ガゾウ</t>
    </rPh>
    <rPh sb="16" eb="18">
      <t>センタク</t>
    </rPh>
    <rPh sb="20" eb="22">
      <t>ガメン</t>
    </rPh>
    <rPh sb="23" eb="24">
      <t>デ</t>
    </rPh>
    <rPh sb="26" eb="28">
      <t>ガゾウ</t>
    </rPh>
    <rPh sb="29" eb="31">
      <t>ヘンコウ</t>
    </rPh>
    <phoneticPr fontId="2"/>
  </si>
  <si>
    <t>2024/09/13
14:29</t>
    <phoneticPr fontId="2"/>
  </si>
  <si>
    <t>アプリのアイコンがシステム内どこにも使われていない画像になっている。</t>
    <rPh sb="13" eb="14">
      <t>ナイ</t>
    </rPh>
    <rPh sb="18" eb="19">
      <t>ツカ</t>
    </rPh>
    <rPh sb="25" eb="27">
      <t>ガゾウ</t>
    </rPh>
    <phoneticPr fontId="2"/>
  </si>
  <si>
    <t>本来であればTOPページなどに使用されているロゴマークを使うべきではないか。</t>
    <phoneticPr fontId="2"/>
  </si>
  <si>
    <t>2024/09/13
14:44</t>
    <phoneticPr fontId="2"/>
  </si>
  <si>
    <t>A</t>
    <phoneticPr fontId="2"/>
  </si>
  <si>
    <t>「入荷予定一覧バーコード」「入荷予定明細のバーコード」枠内右端のアイコンをタップしても何も起動しない</t>
    <rPh sb="1" eb="5">
      <t>ニュウカヨテイ</t>
    </rPh>
    <rPh sb="5" eb="7">
      <t>イチラン</t>
    </rPh>
    <rPh sb="14" eb="18">
      <t>ニュウカヨテイ</t>
    </rPh>
    <rPh sb="18" eb="20">
      <t>メイサイ</t>
    </rPh>
    <rPh sb="27" eb="28">
      <t>ワク</t>
    </rPh>
    <rPh sb="28" eb="29">
      <t>ナイ</t>
    </rPh>
    <rPh sb="29" eb="31">
      <t>ミギハジ</t>
    </rPh>
    <rPh sb="43" eb="44">
      <t>ナニ</t>
    </rPh>
    <rPh sb="45" eb="47">
      <t>キドウ</t>
    </rPh>
    <phoneticPr fontId="2"/>
  </si>
  <si>
    <t>入荷検品</t>
    <rPh sb="0" eb="4">
      <t>ニュウカケンピン</t>
    </rPh>
    <phoneticPr fontId="2"/>
  </si>
  <si>
    <t>2024/09/13
15:02</t>
    <phoneticPr fontId="2"/>
  </si>
  <si>
    <t>入庫入力</t>
    <rPh sb="0" eb="4">
      <t>ニュウコニュウリョク</t>
    </rPh>
    <phoneticPr fontId="2"/>
  </si>
  <si>
    <t>入荷検品の際、商品ラベルを印刷し忘れた。後から商品ラベルを印刷するには？</t>
    <rPh sb="0" eb="4">
      <t>ニュウカケンピン</t>
    </rPh>
    <rPh sb="5" eb="6">
      <t>サイ</t>
    </rPh>
    <rPh sb="7" eb="9">
      <t>ショウヒン</t>
    </rPh>
    <rPh sb="13" eb="15">
      <t>インサツ</t>
    </rPh>
    <rPh sb="16" eb="17">
      <t>ワス</t>
    </rPh>
    <rPh sb="20" eb="21">
      <t>アト</t>
    </rPh>
    <rPh sb="23" eb="25">
      <t>ショウヒン</t>
    </rPh>
    <rPh sb="29" eb="31">
      <t>インサツ</t>
    </rPh>
    <phoneticPr fontId="2"/>
  </si>
  <si>
    <t>「入荷予定一覧バーコード」「商品ラベルのバーコード」枠内右端のアイコンをタップしても何も起動しない</t>
    <rPh sb="1" eb="5">
      <t>ニュウカヨテイ</t>
    </rPh>
    <rPh sb="5" eb="7">
      <t>イチラン</t>
    </rPh>
    <rPh sb="14" eb="16">
      <t>ショウヒン</t>
    </rPh>
    <rPh sb="26" eb="27">
      <t>ワク</t>
    </rPh>
    <rPh sb="27" eb="28">
      <t>ナイ</t>
    </rPh>
    <rPh sb="28" eb="30">
      <t>ミギハジ</t>
    </rPh>
    <rPh sb="42" eb="43">
      <t>ナニ</t>
    </rPh>
    <rPh sb="44" eb="46">
      <t>キドウ</t>
    </rPh>
    <phoneticPr fontId="2"/>
  </si>
  <si>
    <t>2024/09/13
15:26</t>
    <phoneticPr fontId="2"/>
  </si>
  <si>
    <t>入力項目に説明を入れてほしい</t>
    <rPh sb="0" eb="2">
      <t>ニュウリョク</t>
    </rPh>
    <rPh sb="2" eb="4">
      <t>コウモク</t>
    </rPh>
    <rPh sb="5" eb="7">
      <t>セツメイ</t>
    </rPh>
    <rPh sb="8" eb="9">
      <t>イ</t>
    </rPh>
    <phoneticPr fontId="2"/>
  </si>
  <si>
    <t>2024/09/13
17:04</t>
    <phoneticPr fontId="2"/>
  </si>
  <si>
    <t>TOP画面</t>
    <rPh sb="3" eb="5">
      <t>ガメン</t>
    </rPh>
    <phoneticPr fontId="2"/>
  </si>
  <si>
    <t>2024/09/13
17:41</t>
    <phoneticPr fontId="2"/>
  </si>
  <si>
    <t>機能一覧にある通りタブレットで見たときも「告知内容」がTOP画面に表示されていること</t>
    <rPh sb="0" eb="4">
      <t>キノウイチラン</t>
    </rPh>
    <rPh sb="7" eb="8">
      <t>トオ</t>
    </rPh>
    <rPh sb="15" eb="16">
      <t>ミ</t>
    </rPh>
    <rPh sb="30" eb="32">
      <t>ガメン</t>
    </rPh>
    <rPh sb="33" eb="35">
      <t>ヒョウジ</t>
    </rPh>
    <phoneticPr fontId="2"/>
  </si>
  <si>
    <t>出荷指示入力</t>
    <rPh sb="0" eb="4">
      <t>シュッカシジ</t>
    </rPh>
    <rPh sb="4" eb="6">
      <t>ニュウリョク</t>
    </rPh>
    <phoneticPr fontId="2"/>
  </si>
  <si>
    <t>　　　　　　　　　　　　　　　　　　　　　　　　　　　　　　　　　　　　　　　　　</t>
    <phoneticPr fontId="2"/>
  </si>
  <si>
    <t>　　　　　　　　　　　　　　　　　　　　　　　　　　　　　　　　　　　　　　　　　　　　　</t>
    <phoneticPr fontId="2"/>
  </si>
  <si>
    <t>2024/09/13
18:07</t>
    <phoneticPr fontId="2"/>
  </si>
  <si>
    <t>「納入日」が「出荷指示日」より前でも出荷指示入力画面は登録できてしまう</t>
    <rPh sb="1" eb="4">
      <t>ノウニュウビ</t>
    </rPh>
    <rPh sb="7" eb="12">
      <t>シュッカシジビ</t>
    </rPh>
    <rPh sb="15" eb="16">
      <t>マエ</t>
    </rPh>
    <rPh sb="18" eb="26">
      <t>シュッカシジニュウリョクガメン</t>
    </rPh>
    <rPh sb="27" eb="29">
      <t>トウロク</t>
    </rPh>
    <phoneticPr fontId="2"/>
  </si>
  <si>
    <t>TOP＞出荷＞出荷指示入力</t>
    <rPh sb="4" eb="6">
      <t>シュッカ</t>
    </rPh>
    <rPh sb="7" eb="9">
      <t>シュッカ</t>
    </rPh>
    <rPh sb="9" eb="13">
      <t>シジニュウリョク</t>
    </rPh>
    <phoneticPr fontId="2"/>
  </si>
  <si>
    <t>2024/09/13
18:38</t>
    <phoneticPr fontId="2"/>
  </si>
  <si>
    <t>出荷指示日よりも納入日が先（古い）場合は「登録できません」等アラートを出し登録できないのではないか。　　　　　　　　　　　　　　　　　　　　　　　　　　　　　　　　　　　　　</t>
    <phoneticPr fontId="2"/>
  </si>
  <si>
    <t>2024/09/13
18:43</t>
    <phoneticPr fontId="2"/>
  </si>
  <si>
    <t>一時保存ボタンが欲しい</t>
    <rPh sb="0" eb="4">
      <t>イチジホゾン</t>
    </rPh>
    <rPh sb="8" eb="9">
      <t>ホ</t>
    </rPh>
    <phoneticPr fontId="2"/>
  </si>
  <si>
    <t>全画面
（ログイン画面も含む）</t>
    <rPh sb="0" eb="3">
      <t>ゼンガメン</t>
    </rPh>
    <rPh sb="9" eb="11">
      <t>ガメン</t>
    </rPh>
    <rPh sb="12" eb="13">
      <t>フク</t>
    </rPh>
    <phoneticPr fontId="2"/>
  </si>
  <si>
    <t>入力途中で電話がかかってきた場合、放置していた時間が長ければタイムアウトになり、せっかく入力したデータが消えてしまうのではないか。</t>
    <rPh sb="0" eb="4">
      <t>ニュウリョクトチュウ</t>
    </rPh>
    <rPh sb="5" eb="7">
      <t>デンワ</t>
    </rPh>
    <rPh sb="14" eb="16">
      <t>バアイ</t>
    </rPh>
    <rPh sb="17" eb="19">
      <t>ホウチ</t>
    </rPh>
    <rPh sb="23" eb="25">
      <t>ジカン</t>
    </rPh>
    <rPh sb="26" eb="27">
      <t>ナガ</t>
    </rPh>
    <rPh sb="44" eb="46">
      <t>ニュウリョク</t>
    </rPh>
    <rPh sb="52" eb="53">
      <t>キ</t>
    </rPh>
    <phoneticPr fontId="2"/>
  </si>
  <si>
    <t>2024/09/13
18:52</t>
    <phoneticPr fontId="2"/>
  </si>
  <si>
    <t>「納入先カナ名称マスタ」登録の際、カタカナ以外で登録しようとした際、アラートを出すなり、カタカナしか入力できないようにする</t>
    <rPh sb="1" eb="4">
      <t>ノウニュウサキ</t>
    </rPh>
    <rPh sb="6" eb="8">
      <t>メイショウ</t>
    </rPh>
    <rPh sb="12" eb="14">
      <t>トウロク</t>
    </rPh>
    <rPh sb="15" eb="16">
      <t>サイ</t>
    </rPh>
    <rPh sb="21" eb="23">
      <t>イガイ</t>
    </rPh>
    <rPh sb="24" eb="26">
      <t>トウロク</t>
    </rPh>
    <rPh sb="32" eb="33">
      <t>サイ</t>
    </rPh>
    <rPh sb="39" eb="40">
      <t>ダ</t>
    </rPh>
    <rPh sb="50" eb="52">
      <t>ニュウリョク</t>
    </rPh>
    <phoneticPr fontId="2"/>
  </si>
  <si>
    <t>2024/09/13
18:56</t>
    <phoneticPr fontId="2"/>
  </si>
  <si>
    <t>希望納期</t>
    <rPh sb="0" eb="4">
      <t>キボウノウキ</t>
    </rPh>
    <phoneticPr fontId="2"/>
  </si>
  <si>
    <t>12月中</t>
    <rPh sb="2" eb="4">
      <t>ガツチュウ</t>
    </rPh>
    <phoneticPr fontId="2"/>
  </si>
  <si>
    <t>御社記載</t>
  </si>
  <si>
    <t>回答日</t>
  </si>
  <si>
    <t>回答者</t>
  </si>
  <si>
    <t>回答内容</t>
  </si>
  <si>
    <t>横展開</t>
  </si>
  <si>
    <t>起票済</t>
    <phoneticPr fontId="2"/>
  </si>
  <si>
    <t>画面遷移の際、ロゴが出ず矢印回転</t>
    <rPh sb="0" eb="4">
      <t>ガメンセンイ</t>
    </rPh>
    <rPh sb="5" eb="6">
      <t>サイ</t>
    </rPh>
    <rPh sb="10" eb="11">
      <t>デ</t>
    </rPh>
    <rPh sb="12" eb="14">
      <t>ヤジルシ</t>
    </rPh>
    <rPh sb="14" eb="16">
      <t>カイテン</t>
    </rPh>
    <phoneticPr fontId="2"/>
  </si>
  <si>
    <t>あらゆる画面遷移時</t>
    <rPh sb="4" eb="8">
      <t>ガメンセンイ</t>
    </rPh>
    <rPh sb="8" eb="9">
      <t>ジ</t>
    </rPh>
    <phoneticPr fontId="2"/>
  </si>
  <si>
    <t>本来であれば画面遷移時回転するロゴが出るはずだが出ずに回転する矢印が出ており、実装すべき機能と異なる。</t>
    <rPh sb="0" eb="2">
      <t>ホンライ</t>
    </rPh>
    <rPh sb="6" eb="10">
      <t>ガメンセンイ</t>
    </rPh>
    <rPh sb="10" eb="11">
      <t>ジ</t>
    </rPh>
    <rPh sb="11" eb="13">
      <t>カイテン</t>
    </rPh>
    <rPh sb="18" eb="19">
      <t>デ</t>
    </rPh>
    <rPh sb="24" eb="25">
      <t>デ</t>
    </rPh>
    <rPh sb="27" eb="29">
      <t>カイテン</t>
    </rPh>
    <rPh sb="31" eb="33">
      <t>ヤジルシ</t>
    </rPh>
    <rPh sb="34" eb="35">
      <t>デ</t>
    </rPh>
    <rPh sb="39" eb="41">
      <t>ジッソウ</t>
    </rPh>
    <rPh sb="44" eb="46">
      <t>キノウ</t>
    </rPh>
    <rPh sb="47" eb="48">
      <t>コト</t>
    </rPh>
    <phoneticPr fontId="2"/>
  </si>
  <si>
    <t>※以下、一例です。
Top→右上「テスト担当5」→プロフィール</t>
    <rPh sb="1" eb="3">
      <t>イカ</t>
    </rPh>
    <rPh sb="4" eb="6">
      <t>イチレイ</t>
    </rPh>
    <rPh sb="14" eb="16">
      <t>ミギウエ</t>
    </rPh>
    <rPh sb="20" eb="22">
      <t>タントウ</t>
    </rPh>
    <phoneticPr fontId="2"/>
  </si>
  <si>
    <t>画面遷移の際、ロゴが回転してほしい</t>
    <rPh sb="0" eb="4">
      <t>ガメンセンイ</t>
    </rPh>
    <rPh sb="5" eb="6">
      <t>サイ</t>
    </rPh>
    <rPh sb="10" eb="12">
      <t>カイテン</t>
    </rPh>
    <phoneticPr fontId="2"/>
  </si>
  <si>
    <t>ChromeOS128.0.6613.118
解像度：1080×675</t>
    <rPh sb="23" eb="26">
      <t>カイゾウド</t>
    </rPh>
    <phoneticPr fontId="2"/>
  </si>
  <si>
    <t>アカウントのアイコン変更可能か迷う</t>
    <rPh sb="10" eb="14">
      <t>ヘンコウカノウ</t>
    </rPh>
    <rPh sb="15" eb="16">
      <t>マヨ</t>
    </rPh>
    <phoneticPr fontId="2"/>
  </si>
  <si>
    <t>プロフィール、セキュリティ、ライセンスのどれかの「アカウント」下のアイコン</t>
    <rPh sb="31" eb="32">
      <t>シタ</t>
    </rPh>
    <phoneticPr fontId="2"/>
  </si>
  <si>
    <t>何のために「ファイルを選択して開く」画面が出るのか分かりづらい</t>
    <rPh sb="0" eb="1">
      <t>ナン</t>
    </rPh>
    <rPh sb="11" eb="13">
      <t>センタク</t>
    </rPh>
    <rPh sb="15" eb="16">
      <t>ヒラ</t>
    </rPh>
    <rPh sb="18" eb="20">
      <t>ガメン</t>
    </rPh>
    <rPh sb="21" eb="22">
      <t>デ</t>
    </rPh>
    <rPh sb="25" eb="26">
      <t>ワ</t>
    </rPh>
    <phoneticPr fontId="2"/>
  </si>
  <si>
    <t>※以下一例
top→テスト担当05→プロフィール、セキュリティ、ライセンスのどれか→「アカウント」下のアイコンをクリックすると「ファイルを指定して開く」画面になるが、これでは何がどうなるのかわかりづらい</t>
    <phoneticPr fontId="2"/>
  </si>
  <si>
    <t>アイコン画像を任意のものに変更できるのであれば、アイコンにマウスをポイントした際「画像変更はダブルクリックして任意の画像を選択します」等文言がほしい。</t>
    <phoneticPr fontId="2"/>
  </si>
  <si>
    <t>ロールの「普通員工」（「員」は簡体字と思われます）」は日本語ではない</t>
    <rPh sb="5" eb="7">
      <t>フツウ</t>
    </rPh>
    <rPh sb="7" eb="8">
      <t>イン</t>
    </rPh>
    <rPh sb="8" eb="9">
      <t>コウ</t>
    </rPh>
    <rPh sb="12" eb="13">
      <t>イン</t>
    </rPh>
    <rPh sb="15" eb="18">
      <t>カンタイジ</t>
    </rPh>
    <rPh sb="19" eb="20">
      <t>オモ</t>
    </rPh>
    <rPh sb="27" eb="30">
      <t>ニホンゴ</t>
    </rPh>
    <phoneticPr fontId="2"/>
  </si>
  <si>
    <t>プロフィール画面内「ロール」</t>
    <rPh sb="6" eb="8">
      <t>ガメン</t>
    </rPh>
    <rPh sb="8" eb="9">
      <t>ナイ</t>
    </rPh>
    <phoneticPr fontId="2"/>
  </si>
  <si>
    <t>ログイン画面右上に「日本語」とあるが、メニューに日本語にない文言が出る</t>
    <rPh sb="4" eb="6">
      <t>ガメン</t>
    </rPh>
    <rPh sb="6" eb="8">
      <t>ミギウエ</t>
    </rPh>
    <rPh sb="10" eb="13">
      <t>ニホンゴ</t>
    </rPh>
    <rPh sb="24" eb="27">
      <t>ニホンゴ</t>
    </rPh>
    <rPh sb="30" eb="32">
      <t>モンゴン</t>
    </rPh>
    <rPh sb="33" eb="34">
      <t>デ</t>
    </rPh>
    <phoneticPr fontId="2"/>
  </si>
  <si>
    <t>topテスト担当5→プロフィール→ロール</t>
    <phoneticPr fontId="2"/>
  </si>
  <si>
    <t>「一般ユーザー」「ユーザー」「利用者」といった日本語にある言葉が使用されていたら違和感無い</t>
    <rPh sb="15" eb="18">
      <t>リヨウシャ</t>
    </rPh>
    <rPh sb="23" eb="26">
      <t>ニホンゴ</t>
    </rPh>
    <rPh sb="29" eb="31">
      <t>コトバ</t>
    </rPh>
    <rPh sb="32" eb="34">
      <t>シヨウ</t>
    </rPh>
    <rPh sb="40" eb="43">
      <t>イワカン</t>
    </rPh>
    <rPh sb="43" eb="44">
      <t>ナ</t>
    </rPh>
    <phoneticPr fontId="2"/>
  </si>
  <si>
    <t>ブラウザでBIZ-X POTTS画面を開いた際（ログイン前から）ブラウザのタブ、サイトのURLが出る。</t>
    <rPh sb="16" eb="18">
      <t>ガメン</t>
    </rPh>
    <rPh sb="19" eb="20">
      <t>ヒラ</t>
    </rPh>
    <rPh sb="22" eb="23">
      <t>サイ</t>
    </rPh>
    <rPh sb="28" eb="29">
      <t>マエ</t>
    </rPh>
    <rPh sb="48" eb="49">
      <t>デ</t>
    </rPh>
    <phoneticPr fontId="2"/>
  </si>
  <si>
    <t>タブやアドレスバーが出ること</t>
    <rPh sb="10" eb="11">
      <t>デ</t>
    </rPh>
    <phoneticPr fontId="2"/>
  </si>
  <si>
    <t>ブラウザでhttps://potts.biz-x.app/を
開いた時からずっと</t>
    <rPh sb="31" eb="32">
      <t>ヒラ</t>
    </rPh>
    <rPh sb="34" eb="35">
      <t>トキ</t>
    </rPh>
    <phoneticPr fontId="2"/>
  </si>
  <si>
    <t>タブやアドレスバーは出ずにBIZ-X POTTS画面を表示させること</t>
    <rPh sb="10" eb="11">
      <t>デ</t>
    </rPh>
    <rPh sb="24" eb="26">
      <t>ガメン</t>
    </rPh>
    <rPh sb="27" eb="29">
      <t>ヒョウジ</t>
    </rPh>
    <phoneticPr fontId="2"/>
  </si>
  <si>
    <t>プロフィール＞セキュリティ画面でログイン[変更]が画面内に収まっていないのでパスワード変更ができる画面とは認識できない</t>
    <rPh sb="13" eb="15">
      <t>ガメン</t>
    </rPh>
    <rPh sb="21" eb="23">
      <t>ヘンコウ</t>
    </rPh>
    <rPh sb="25" eb="27">
      <t>ガメン</t>
    </rPh>
    <rPh sb="27" eb="28">
      <t>ナイ</t>
    </rPh>
    <rPh sb="29" eb="30">
      <t>オサ</t>
    </rPh>
    <rPh sb="43" eb="45">
      <t>ヘンコウ</t>
    </rPh>
    <rPh sb="49" eb="51">
      <t>ガメン</t>
    </rPh>
    <rPh sb="53" eb="55">
      <t>ニンシキ</t>
    </rPh>
    <phoneticPr fontId="2"/>
  </si>
  <si>
    <t>セキュリティ画面内
[パスワード]</t>
    <phoneticPr fontId="2"/>
  </si>
  <si>
    <t>プロフィール＞セキュリティ画面で[変更]が画面内に収まっていないのでパスワード変更ができる画面とは認識できない</t>
    <phoneticPr fontId="2"/>
  </si>
  <si>
    <t>top→テスト担当5→セキュリティ</t>
    <rPh sb="7" eb="9">
      <t>タントウ</t>
    </rPh>
    <phoneticPr fontId="2"/>
  </si>
  <si>
    <t>[セキュリティ]画面を開いたときに[変更]まで画面に収まり、パスワード変更ができる画面と認識できるようになること</t>
    <rPh sb="8" eb="10">
      <t>ガメン</t>
    </rPh>
    <rPh sb="11" eb="12">
      <t>ヒラ</t>
    </rPh>
    <rPh sb="18" eb="20">
      <t>ヘンコウ</t>
    </rPh>
    <rPh sb="23" eb="25">
      <t>ガメン</t>
    </rPh>
    <rPh sb="26" eb="27">
      <t>オサ</t>
    </rPh>
    <rPh sb="44" eb="46">
      <t>ニンシキ</t>
    </rPh>
    <phoneticPr fontId="2"/>
  </si>
  <si>
    <t>画面内にスクロールバーが無いので、右側に隠れている入力箇所が分からない</t>
    <rPh sb="0" eb="3">
      <t>ガメンナイ</t>
    </rPh>
    <rPh sb="12" eb="13">
      <t>ナ</t>
    </rPh>
    <rPh sb="17" eb="19">
      <t>ミギガワ</t>
    </rPh>
    <rPh sb="20" eb="21">
      <t>カク</t>
    </rPh>
    <rPh sb="25" eb="29">
      <t>ニュウリョクカショ</t>
    </rPh>
    <rPh sb="30" eb="31">
      <t>ワ</t>
    </rPh>
    <phoneticPr fontId="2"/>
  </si>
  <si>
    <t>入荷予定入力など</t>
    <rPh sb="0" eb="6">
      <t>ニュウカヨテイニュウリョク</t>
    </rPh>
    <phoneticPr fontId="2"/>
  </si>
  <si>
    <t>top→入荷→入荷予定入力画面</t>
    <rPh sb="4" eb="6">
      <t>ニュウカ</t>
    </rPh>
    <rPh sb="7" eb="11">
      <t>ニュウカヨテイ</t>
    </rPh>
    <rPh sb="11" eb="13">
      <t>ニュウリョク</t>
    </rPh>
    <rPh sb="13" eb="15">
      <t>ガメン</t>
    </rPh>
    <phoneticPr fontId="2"/>
  </si>
  <si>
    <t>・入力すべき項目が画面を開いた際に
一覧で表示
・画面下部にスクロールバーを付け右側に画面がスクロールできるように見せる
・画面右端にスクロールバーを付け、画面上部から下にかけスクロールし入力できるよう促す</t>
    <rPh sb="1" eb="3">
      <t>ニュウリョク</t>
    </rPh>
    <rPh sb="6" eb="8">
      <t>コウモク</t>
    </rPh>
    <rPh sb="9" eb="11">
      <t>ガメン</t>
    </rPh>
    <rPh sb="12" eb="13">
      <t>ヒラ</t>
    </rPh>
    <rPh sb="15" eb="16">
      <t>サイ</t>
    </rPh>
    <rPh sb="18" eb="20">
      <t>イチラン</t>
    </rPh>
    <rPh sb="21" eb="23">
      <t>ヒョウジ</t>
    </rPh>
    <rPh sb="25" eb="29">
      <t>ガメンカブ</t>
    </rPh>
    <rPh sb="38" eb="39">
      <t>ツ</t>
    </rPh>
    <rPh sb="40" eb="42">
      <t>ミギガワ</t>
    </rPh>
    <rPh sb="43" eb="45">
      <t>ガメン</t>
    </rPh>
    <rPh sb="57" eb="58">
      <t>ミ</t>
    </rPh>
    <rPh sb="62" eb="66">
      <t>ガメンミギハジ</t>
    </rPh>
    <rPh sb="75" eb="76">
      <t>ツ</t>
    </rPh>
    <rPh sb="78" eb="80">
      <t>ガメン</t>
    </rPh>
    <rPh sb="80" eb="81">
      <t>ウエ</t>
    </rPh>
    <rPh sb="81" eb="82">
      <t>ブ</t>
    </rPh>
    <rPh sb="84" eb="85">
      <t>シタ</t>
    </rPh>
    <rPh sb="94" eb="96">
      <t>ニュウリョク</t>
    </rPh>
    <rPh sb="101" eb="102">
      <t>ウナガ</t>
    </rPh>
    <phoneticPr fontId="2"/>
  </si>
  <si>
    <t>枠が入力可能（アクティブ）かグレイアウトか色がほとんど見分けがつきにくい</t>
    <rPh sb="0" eb="1">
      <t>ワク</t>
    </rPh>
    <rPh sb="2" eb="6">
      <t>ニュウリョクカノウ</t>
    </rPh>
    <rPh sb="21" eb="22">
      <t>イロ</t>
    </rPh>
    <rPh sb="27" eb="29">
      <t>ミワ</t>
    </rPh>
    <phoneticPr fontId="2"/>
  </si>
  <si>
    <t>よくよく考えれば[取込状態]は入力項目ではないが、操作に慣れていないと入力項目なのかと思い入力しようとしてしまう。しかしグレイアウトしているので入力できない。グレイアウトの「グレイ」（灰色）が薄くてアクティブ項目と見分けがつかない</t>
    <rPh sb="4" eb="5">
      <t>カンガ</t>
    </rPh>
    <rPh sb="9" eb="13">
      <t>トリコミジョウタイ</t>
    </rPh>
    <rPh sb="15" eb="19">
      <t>ニュウリョクコウモク</t>
    </rPh>
    <rPh sb="25" eb="27">
      <t>ソウサ</t>
    </rPh>
    <rPh sb="28" eb="29">
      <t>ナ</t>
    </rPh>
    <rPh sb="35" eb="39">
      <t>ニュウリョクコウモク</t>
    </rPh>
    <rPh sb="43" eb="44">
      <t>オモ</t>
    </rPh>
    <rPh sb="45" eb="47">
      <t>ニュウリョク</t>
    </rPh>
    <rPh sb="72" eb="74">
      <t>ニュウリョク</t>
    </rPh>
    <rPh sb="92" eb="94">
      <t>ハイイロ</t>
    </rPh>
    <rPh sb="96" eb="97">
      <t>ウス</t>
    </rPh>
    <rPh sb="104" eb="106">
      <t>コウモク</t>
    </rPh>
    <rPh sb="107" eb="109">
      <t>ミワ</t>
    </rPh>
    <phoneticPr fontId="2"/>
  </si>
  <si>
    <t>top＞入荷＞入荷予定入力など</t>
    <rPh sb="4" eb="6">
      <t>ニュウカ</t>
    </rPh>
    <rPh sb="7" eb="13">
      <t>ニュウカヨテイニュウリョク</t>
    </rPh>
    <phoneticPr fontId="2"/>
  </si>
  <si>
    <t>グレイアウト（入力不可）項目の塗りつぶしの色をもう1段階黒くしたらアクティブかグレイアウトか判別しやすいと思われる</t>
    <rPh sb="7" eb="11">
      <t>ニュウリョクフカ</t>
    </rPh>
    <rPh sb="12" eb="14">
      <t>コウモク</t>
    </rPh>
    <rPh sb="15" eb="16">
      <t>ヌ</t>
    </rPh>
    <rPh sb="21" eb="22">
      <t>イロ</t>
    </rPh>
    <rPh sb="26" eb="28">
      <t>ダンカイ</t>
    </rPh>
    <rPh sb="28" eb="29">
      <t>クロ</t>
    </rPh>
    <rPh sb="46" eb="48">
      <t>ハンベツ</t>
    </rPh>
    <rPh sb="53" eb="54">
      <t>オモ</t>
    </rPh>
    <phoneticPr fontId="2"/>
  </si>
  <si>
    <t>[入荷明細]画面を開いた際、画面左側が隠れておりタイトル（入荷明細）が見えないので何の画面を開いたかパッと見わからない</t>
    <rPh sb="1" eb="5">
      <t>ニュウカメイサイ</t>
    </rPh>
    <rPh sb="6" eb="8">
      <t>ガメン</t>
    </rPh>
    <rPh sb="9" eb="10">
      <t>ヒラ</t>
    </rPh>
    <rPh sb="12" eb="13">
      <t>サイ</t>
    </rPh>
    <rPh sb="14" eb="16">
      <t>ガメン</t>
    </rPh>
    <rPh sb="16" eb="18">
      <t>ヒダリガワ</t>
    </rPh>
    <rPh sb="19" eb="20">
      <t>カク</t>
    </rPh>
    <rPh sb="29" eb="33">
      <t>ニュウカメイサイ</t>
    </rPh>
    <rPh sb="35" eb="36">
      <t>ミ</t>
    </rPh>
    <rPh sb="41" eb="42">
      <t>ナン</t>
    </rPh>
    <rPh sb="43" eb="45">
      <t>ガメン</t>
    </rPh>
    <rPh sb="46" eb="47">
      <t>ヒラ</t>
    </rPh>
    <rPh sb="53" eb="54">
      <t>ミ</t>
    </rPh>
    <phoneticPr fontId="2"/>
  </si>
  <si>
    <t>入荷明細</t>
    <rPh sb="0" eb="4">
      <t>ニュウカメイサイ</t>
    </rPh>
    <phoneticPr fontId="2"/>
  </si>
  <si>
    <t>入荷明細画面が開くときは、まずは左端のタイトル名（入荷明細）、入荷予定番号を表示する。</t>
    <rPh sb="0" eb="6">
      <t>ニュウカメイサイガメン</t>
    </rPh>
    <rPh sb="7" eb="8">
      <t>ヒラ</t>
    </rPh>
    <rPh sb="16" eb="18">
      <t>ヒダリハジ</t>
    </rPh>
    <rPh sb="23" eb="24">
      <t>メイ</t>
    </rPh>
    <rPh sb="25" eb="29">
      <t>ニュウカメイサイ</t>
    </rPh>
    <rPh sb="31" eb="37">
      <t>ニュウカヨテイバンゴウ</t>
    </rPh>
    <rPh sb="38" eb="40">
      <t>ヒョウジ</t>
    </rPh>
    <phoneticPr fontId="2"/>
  </si>
  <si>
    <t>[入荷明細]画面を開き、[修正]を押下すると[入荷予定入力]画面になるが、画面左側が隠れてしまっている為、何の画面を開いているのか本当に自分が選択した入荷予定番号の情報なのかわかりづらい</t>
    <rPh sb="13" eb="15">
      <t>シュウセイ</t>
    </rPh>
    <rPh sb="17" eb="19">
      <t>オウカ</t>
    </rPh>
    <rPh sb="23" eb="27">
      <t>ニュウカヨテイ</t>
    </rPh>
    <rPh sb="27" eb="29">
      <t>ニュウリョク</t>
    </rPh>
    <rPh sb="30" eb="32">
      <t>ガメン</t>
    </rPh>
    <rPh sb="37" eb="39">
      <t>ガメン</t>
    </rPh>
    <rPh sb="39" eb="41">
      <t>ヒダリガワ</t>
    </rPh>
    <rPh sb="42" eb="43">
      <t>カク</t>
    </rPh>
    <rPh sb="51" eb="52">
      <t>タメ</t>
    </rPh>
    <rPh sb="53" eb="54">
      <t>ナン</t>
    </rPh>
    <rPh sb="55" eb="57">
      <t>ガメン</t>
    </rPh>
    <rPh sb="58" eb="59">
      <t>ヒラ</t>
    </rPh>
    <rPh sb="65" eb="67">
      <t>ホントウ</t>
    </rPh>
    <rPh sb="68" eb="70">
      <t>ジブン</t>
    </rPh>
    <rPh sb="71" eb="73">
      <t>センタク</t>
    </rPh>
    <rPh sb="75" eb="81">
      <t>ニュウカヨテイバンゴウ</t>
    </rPh>
    <rPh sb="82" eb="84">
      <t>ジョウホウ</t>
    </rPh>
    <phoneticPr fontId="2"/>
  </si>
  <si>
    <t>入荷明細→入荷予定入力</t>
    <rPh sb="0" eb="4">
      <t>ニュウカメイサイ</t>
    </rPh>
    <rPh sb="5" eb="11">
      <t>ニュウカヨテイニュウリョク</t>
    </rPh>
    <phoneticPr fontId="2"/>
  </si>
  <si>
    <t>top＞入荷＞入荷予定照会＞
入荷予定入力</t>
    <rPh sb="4" eb="6">
      <t>ニュウカ</t>
    </rPh>
    <rPh sb="7" eb="9">
      <t>ニュウカ</t>
    </rPh>
    <rPh sb="9" eb="11">
      <t>ヨテイ</t>
    </rPh>
    <rPh sb="11" eb="13">
      <t>ショウカイ</t>
    </rPh>
    <rPh sb="15" eb="21">
      <t>ニュウカヨテイニュウリョク</t>
    </rPh>
    <phoneticPr fontId="2"/>
  </si>
  <si>
    <t>入荷予定入力画面が開くときは、まずは左端のタイトル名（入荷予定入力）、入荷予定番号を表示する。</t>
    <rPh sb="0" eb="2">
      <t>ニュウカ</t>
    </rPh>
    <rPh sb="2" eb="4">
      <t>ヨテイ</t>
    </rPh>
    <rPh sb="4" eb="6">
      <t>ニュウリョク</t>
    </rPh>
    <rPh sb="6" eb="8">
      <t>ガメン</t>
    </rPh>
    <rPh sb="9" eb="10">
      <t>ヒラ</t>
    </rPh>
    <rPh sb="18" eb="20">
      <t>ヒダリハジ</t>
    </rPh>
    <rPh sb="25" eb="26">
      <t>メイ</t>
    </rPh>
    <rPh sb="27" eb="29">
      <t>ニュウカ</t>
    </rPh>
    <rPh sb="29" eb="31">
      <t>ヨテイ</t>
    </rPh>
    <rPh sb="31" eb="33">
      <t>ニュウリョク</t>
    </rPh>
    <rPh sb="35" eb="41">
      <t>ニュウカヨテイバンゴウ</t>
    </rPh>
    <rPh sb="42" eb="44">
      <t>ヒョウジ</t>
    </rPh>
    <phoneticPr fontId="2"/>
  </si>
  <si>
    <t>[入荷][出荷][在庫][棚卸]のスワイプで出るメニューとメニューの間が一定ではない。</t>
    <rPh sb="1" eb="3">
      <t>ニュウカ</t>
    </rPh>
    <rPh sb="5" eb="7">
      <t>シュッカ</t>
    </rPh>
    <rPh sb="9" eb="11">
      <t>ザイコ</t>
    </rPh>
    <rPh sb="13" eb="15">
      <t>タナオロシ</t>
    </rPh>
    <rPh sb="22" eb="23">
      <t>デ</t>
    </rPh>
    <rPh sb="34" eb="35">
      <t>アイダ</t>
    </rPh>
    <rPh sb="36" eb="38">
      <t>イッテイ</t>
    </rPh>
    <phoneticPr fontId="2"/>
  </si>
  <si>
    <t>ハンバーガーメニュー＞[入荷][出荷][在庫][棚卸]のスワイプで出るメニューとメニューの間が一定ではなく、極端に狭かったり広かったりする。</t>
    <rPh sb="12" eb="14">
      <t>ニュウカ</t>
    </rPh>
    <rPh sb="16" eb="18">
      <t>シュッカ</t>
    </rPh>
    <rPh sb="20" eb="22">
      <t>ザイコ</t>
    </rPh>
    <rPh sb="24" eb="26">
      <t>タナオロシ</t>
    </rPh>
    <rPh sb="33" eb="34">
      <t>デ</t>
    </rPh>
    <rPh sb="45" eb="46">
      <t>アイダ</t>
    </rPh>
    <rPh sb="47" eb="49">
      <t>イッテイ</t>
    </rPh>
    <rPh sb="54" eb="56">
      <t>キョクタン</t>
    </rPh>
    <rPh sb="57" eb="58">
      <t>セマ</t>
    </rPh>
    <rPh sb="62" eb="63">
      <t>ヒロ</t>
    </rPh>
    <phoneticPr fontId="2"/>
  </si>
  <si>
    <t>例えば[入荷]であれば[入荷予定入力]と[入荷予定照会]の間は、[入荷予定照会]と【入荷検品】の間に比べずっと広い。津べればスワイプする回数が少なくなり、目的のメニューまで早くたどり着けるのではないか。</t>
    <rPh sb="0" eb="1">
      <t>タト</t>
    </rPh>
    <rPh sb="4" eb="6">
      <t>ニュウカ</t>
    </rPh>
    <rPh sb="12" eb="16">
      <t>ニュウカヨテイ</t>
    </rPh>
    <rPh sb="16" eb="18">
      <t>ニュウリョク</t>
    </rPh>
    <rPh sb="21" eb="25">
      <t>ニュウカヨテイ</t>
    </rPh>
    <rPh sb="25" eb="27">
      <t>ショウカイ</t>
    </rPh>
    <rPh sb="29" eb="30">
      <t>アイダ</t>
    </rPh>
    <rPh sb="42" eb="46">
      <t>ニュウカケンピン</t>
    </rPh>
    <rPh sb="48" eb="49">
      <t>アイダ</t>
    </rPh>
    <rPh sb="50" eb="51">
      <t>クラ</t>
    </rPh>
    <rPh sb="55" eb="56">
      <t>ヒロ</t>
    </rPh>
    <rPh sb="58" eb="59">
      <t>ツ</t>
    </rPh>
    <rPh sb="68" eb="70">
      <t>カイスウ</t>
    </rPh>
    <rPh sb="71" eb="72">
      <t>スク</t>
    </rPh>
    <rPh sb="77" eb="79">
      <t>モクテキ</t>
    </rPh>
    <rPh sb="86" eb="87">
      <t>ハヤ</t>
    </rPh>
    <rPh sb="91" eb="92">
      <t>ツ</t>
    </rPh>
    <phoneticPr fontId="2"/>
  </si>
  <si>
    <t>[商品_写真1][商品_写真2]</t>
    <rPh sb="1" eb="3">
      <t>ショウヒン</t>
    </rPh>
    <rPh sb="4" eb="6">
      <t>シャシン</t>
    </rPh>
    <phoneticPr fontId="2"/>
  </si>
  <si>
    <t>入荷予定照会→任意の入荷予定番号を選択し[修正]→[明細行を追加]→明細＞[商品_写真1][商品_写真2]</t>
    <rPh sb="0" eb="6">
      <t>ニュウカヨテイショウカイ</t>
    </rPh>
    <rPh sb="7" eb="9">
      <t>ニンイ</t>
    </rPh>
    <rPh sb="10" eb="16">
      <t>ニュウカヨテイバンゴウ</t>
    </rPh>
    <rPh sb="17" eb="19">
      <t>センタク</t>
    </rPh>
    <rPh sb="21" eb="23">
      <t>シュウセイ</t>
    </rPh>
    <rPh sb="26" eb="29">
      <t>メイサイギョウ</t>
    </rPh>
    <rPh sb="30" eb="32">
      <t>ツイカ</t>
    </rPh>
    <rPh sb="34" eb="36">
      <t>メイサイ</t>
    </rPh>
    <rPh sb="38" eb="40">
      <t>ショウヒン</t>
    </rPh>
    <rPh sb="41" eb="43">
      <t>シャシン</t>
    </rPh>
    <phoneticPr fontId="2"/>
  </si>
  <si>
    <t>ChromeOS128.0.6613.133
解像度：1080×675</t>
    <rPh sb="23" eb="26">
      <t>カイゾウド</t>
    </rPh>
    <phoneticPr fontId="2"/>
  </si>
  <si>
    <r>
      <rPr>
        <strike/>
        <sz val="10"/>
        <color theme="1"/>
        <rFont val="游ゴシック"/>
        <family val="3"/>
        <charset val="128"/>
      </rPr>
      <t>カメラが起動し、バーコードを読み込んで何かしら枠内に反映がされるのでは？</t>
    </r>
    <r>
      <rPr>
        <sz val="10"/>
        <color theme="1"/>
        <rFont val="游ゴシック"/>
        <family val="3"/>
        <charset val="128"/>
      </rPr>
      <t xml:space="preserve">
⇒「商品名」のプルダウンで商品名を選択すると、予め設定されていると見られる商品画像が出てきました。
　なので手作業で画像を登録することはできないようです。</t>
    </r>
    <phoneticPr fontId="2"/>
  </si>
  <si>
    <t>入荷検品の際、商品ラベルを印刷し忘れた。入庫入力の際、商品ラベルのバーコードが必要なので商品ラベルを後から印刷したいが、どこから印刷できるのか分からない</t>
    <rPh sb="20" eb="24">
      <t>ニュウコニュウリョク</t>
    </rPh>
    <rPh sb="25" eb="26">
      <t>サイ</t>
    </rPh>
    <rPh sb="27" eb="29">
      <t>ショウヒン</t>
    </rPh>
    <rPh sb="39" eb="41">
      <t>ヒツヨウ</t>
    </rPh>
    <rPh sb="44" eb="46">
      <t>ショウヒン</t>
    </rPh>
    <rPh sb="50" eb="51">
      <t>アト</t>
    </rPh>
    <rPh sb="53" eb="55">
      <t>インサツ</t>
    </rPh>
    <rPh sb="64" eb="66">
      <t>インサツ</t>
    </rPh>
    <rPh sb="71" eb="72">
      <t>ワ</t>
    </rPh>
    <phoneticPr fontId="2"/>
  </si>
  <si>
    <t>[入荷予定入力]→[入荷予定照会]→[入荷検品］と順々に画面を進めてきたが、それまで出てこなかった[ロケーションのバーコード]をどこから探して入力（登録）するのか分からない。</t>
    <rPh sb="1" eb="7">
      <t>ニュウカヨテイニュウリョク</t>
    </rPh>
    <rPh sb="10" eb="16">
      <t>ニュウカヨテイショウカイ</t>
    </rPh>
    <rPh sb="19" eb="23">
      <t>ニュウカケンピン</t>
    </rPh>
    <rPh sb="25" eb="27">
      <t>ジュンジュン</t>
    </rPh>
    <rPh sb="28" eb="30">
      <t>ガメン</t>
    </rPh>
    <rPh sb="31" eb="32">
      <t>スス</t>
    </rPh>
    <rPh sb="42" eb="43">
      <t>デ</t>
    </rPh>
    <rPh sb="68" eb="69">
      <t>サガ</t>
    </rPh>
    <rPh sb="71" eb="73">
      <t>ニュウリョク</t>
    </rPh>
    <rPh sb="74" eb="76">
      <t>トウロク</t>
    </rPh>
    <rPh sb="81" eb="82">
      <t>ワ</t>
    </rPh>
    <phoneticPr fontId="2"/>
  </si>
  <si>
    <t>TOP画面に「告知内容」（お知らせ？）が無い。（タブレット）</t>
    <rPh sb="3" eb="5">
      <t>ガメン</t>
    </rPh>
    <rPh sb="7" eb="11">
      <t>コクチナイヨウ</t>
    </rPh>
    <rPh sb="14" eb="15">
      <t>シ</t>
    </rPh>
    <rPh sb="20" eb="21">
      <t>ナ</t>
    </rPh>
    <phoneticPr fontId="2"/>
  </si>
  <si>
    <t>タブレット（ChromeBook）で見たとき、TOP画面に「告知内容」（お知らせ？）が無い。
（PCで見るとTOP画面右上にベルのアイコンがあり、クリックすると新着や既存のお知らせを確認できるが、タブレットではベルのアイコンが無い）</t>
    <rPh sb="18" eb="19">
      <t>ミ</t>
    </rPh>
    <rPh sb="26" eb="28">
      <t>ガメン</t>
    </rPh>
    <rPh sb="30" eb="34">
      <t>コクチナイヨウ</t>
    </rPh>
    <rPh sb="37" eb="38">
      <t>シ</t>
    </rPh>
    <rPh sb="43" eb="44">
      <t>ナ</t>
    </rPh>
    <rPh sb="51" eb="52">
      <t>ミ</t>
    </rPh>
    <rPh sb="57" eb="59">
      <t>ガメン</t>
    </rPh>
    <rPh sb="59" eb="61">
      <t>ミギウエ</t>
    </rPh>
    <rPh sb="80" eb="81">
      <t>シン</t>
    </rPh>
    <rPh sb="81" eb="82">
      <t>チャク</t>
    </rPh>
    <rPh sb="83" eb="85">
      <t>キゾン</t>
    </rPh>
    <rPh sb="87" eb="88">
      <t>シ</t>
    </rPh>
    <rPh sb="91" eb="93">
      <t>カクニン</t>
    </rPh>
    <rPh sb="113" eb="114">
      <t>ナ</t>
    </rPh>
    <phoneticPr fontId="2"/>
  </si>
  <si>
    <t>添付ファイルの登録項目が見当たらない。
（PC、ChromeBook共に）</t>
    <rPh sb="9" eb="11">
      <t>コウモク</t>
    </rPh>
    <rPh sb="12" eb="14">
      <t>ミア</t>
    </rPh>
    <rPh sb="34" eb="35">
      <t>トモ</t>
    </rPh>
    <phoneticPr fontId="2"/>
  </si>
  <si>
    <t>機能一覧に「添付ファイルの登録を可能にする（自社用/取引先公開用）」とあるのでファイル添付の項目があり、ファイル添付出来ること　</t>
    <rPh sb="0" eb="4">
      <t>キノウイチラン</t>
    </rPh>
    <rPh sb="43" eb="45">
      <t>テンプ</t>
    </rPh>
    <rPh sb="46" eb="48">
      <t>コウモク</t>
    </rPh>
    <rPh sb="56" eb="58">
      <t>テンプ</t>
    </rPh>
    <rPh sb="58" eb="60">
      <t>デキ</t>
    </rPh>
    <phoneticPr fontId="2"/>
  </si>
  <si>
    <t>ChromeOS128.0.6613.133
解像度：1080×675
Windows10Pro 22H2
解像度：1920×1080</t>
    <rPh sb="23" eb="26">
      <t>カイゾウド</t>
    </rPh>
    <rPh sb="54" eb="57">
      <t>カイゾウド</t>
    </rPh>
    <phoneticPr fontId="2"/>
  </si>
  <si>
    <t>納入日：2024-09-11
出荷指示日：2024-09-13
上記内容で登録出来てしまった。通常、出荷指示があって納入となるはずなので、納入日のほうが古いのはありえないのではないか。</t>
    <phoneticPr fontId="2"/>
  </si>
  <si>
    <t>[出荷指示入力]画面＞[得意先備考]、[社内備考]欄共に入力不可</t>
    <rPh sb="1" eb="7">
      <t>シュッカシジニュウリョク</t>
    </rPh>
    <rPh sb="8" eb="10">
      <t>ガメン</t>
    </rPh>
    <rPh sb="12" eb="15">
      <t>トクイサキ</t>
    </rPh>
    <rPh sb="15" eb="17">
      <t>ビコウ</t>
    </rPh>
    <rPh sb="20" eb="24">
      <t>シャナイビコウ</t>
    </rPh>
    <rPh sb="25" eb="26">
      <t>ラン</t>
    </rPh>
    <rPh sb="26" eb="27">
      <t>トモ</t>
    </rPh>
    <rPh sb="28" eb="32">
      <t>ニュウリョクフカ</t>
    </rPh>
    <phoneticPr fontId="2"/>
  </si>
  <si>
    <t>両方の欄内でクリックするとカーソルは出るが実際入力不可。</t>
    <rPh sb="0" eb="2">
      <t>リョウホウ</t>
    </rPh>
    <rPh sb="3" eb="4">
      <t>ラン</t>
    </rPh>
    <rPh sb="4" eb="5">
      <t>ナイ</t>
    </rPh>
    <rPh sb="18" eb="19">
      <t>デ</t>
    </rPh>
    <rPh sb="21" eb="23">
      <t>ジッサイ</t>
    </rPh>
    <rPh sb="23" eb="27">
      <t>ニュウリョクフカ</t>
    </rPh>
    <phoneticPr fontId="2"/>
  </si>
  <si>
    <t>両方の項目共に枠内は[出荷指示日」、「納入日」と同じ色なので本来は入力できるのではないか。</t>
    <rPh sb="0" eb="2">
      <t>リョウホウ</t>
    </rPh>
    <rPh sb="3" eb="5">
      <t>コウモク</t>
    </rPh>
    <rPh sb="5" eb="6">
      <t>トモ</t>
    </rPh>
    <rPh sb="7" eb="9">
      <t>ワクナイ</t>
    </rPh>
    <rPh sb="11" eb="16">
      <t>シュッカシジビ</t>
    </rPh>
    <rPh sb="19" eb="22">
      <t>ノウニュウビ</t>
    </rPh>
    <rPh sb="24" eb="25">
      <t>オナ</t>
    </rPh>
    <rPh sb="26" eb="27">
      <t>イロ</t>
    </rPh>
    <rPh sb="30" eb="32">
      <t>ホンライ</t>
    </rPh>
    <rPh sb="33" eb="35">
      <t>ニュウリョク</t>
    </rPh>
    <phoneticPr fontId="2"/>
  </si>
  <si>
    <t>「納入先カナ名称」を出荷指示入力画面では直せない。</t>
    <rPh sb="1" eb="4">
      <t>ノウニュウサキ</t>
    </rPh>
    <rPh sb="6" eb="8">
      <t>メイショウ</t>
    </rPh>
    <rPh sb="10" eb="18">
      <t>シュッカシジニュウリョクガメン</t>
    </rPh>
    <rPh sb="20" eb="21">
      <t>ナオ</t>
    </rPh>
    <phoneticPr fontId="2"/>
  </si>
  <si>
    <t>マスタにて「納入先カナ名称」が漢字ひらがな記号混じりで登録されているので、出荷指示入力画面では直せない。</t>
    <rPh sb="6" eb="9">
      <t>ノウニュウサキ</t>
    </rPh>
    <rPh sb="11" eb="13">
      <t>メイショウ</t>
    </rPh>
    <rPh sb="15" eb="17">
      <t>カンジ</t>
    </rPh>
    <rPh sb="21" eb="23">
      <t>キゴウ</t>
    </rPh>
    <rPh sb="23" eb="24">
      <t>マ</t>
    </rPh>
    <rPh sb="27" eb="29">
      <t>トウロク</t>
    </rPh>
    <rPh sb="37" eb="45">
      <t>シュッカシジニュウリョクガメン</t>
    </rPh>
    <rPh sb="47" eb="48">
      <t>ナオ</t>
    </rPh>
    <phoneticPr fontId="2"/>
  </si>
  <si>
    <t>-</t>
    <phoneticPr fontId="2"/>
  </si>
  <si>
    <t>10月中</t>
    <rPh sb="2" eb="4">
      <t>ガツチュウ</t>
    </rPh>
    <phoneticPr fontId="2"/>
  </si>
  <si>
    <t>保留</t>
    <rPh sb="0" eb="2">
      <t>ホリュウ</t>
    </rPh>
    <phoneticPr fontId="2"/>
  </si>
  <si>
    <t>オプションの開発</t>
    <rPh sb="6" eb="8">
      <t>カイハツ</t>
    </rPh>
    <phoneticPr fontId="2"/>
  </si>
  <si>
    <t>検討</t>
    <rPh sb="0" eb="2">
      <t>ケントウ</t>
    </rPh>
    <phoneticPr fontId="2"/>
  </si>
  <si>
    <t>該当機能が必要か検討</t>
    <rPh sb="0" eb="4">
      <t>ガイトウキノウ</t>
    </rPh>
    <rPh sb="5" eb="7">
      <t>ヒツヨウ</t>
    </rPh>
    <rPh sb="8" eb="10">
      <t>ケントウ</t>
    </rPh>
    <phoneticPr fontId="2"/>
  </si>
  <si>
    <t>11月中</t>
    <rPh sb="2" eb="4">
      <t>ガツチュウ</t>
    </rPh>
    <phoneticPr fontId="2"/>
  </si>
  <si>
    <t>橋本</t>
    <rPh sb="0" eb="2">
      <t>ハシモト</t>
    </rPh>
    <phoneticPr fontId="2"/>
  </si>
  <si>
    <t>C</t>
    <phoneticPr fontId="2"/>
  </si>
  <si>
    <t>B</t>
    <phoneticPr fontId="2"/>
  </si>
  <si>
    <t>全画面</t>
    <rPh sb="0" eb="3">
      <t>ゼンガメン</t>
    </rPh>
    <phoneticPr fontId="2"/>
  </si>
  <si>
    <t>レスポンシブデザイン</t>
    <phoneticPr fontId="2"/>
  </si>
  <si>
    <t>メニュー</t>
    <phoneticPr fontId="2"/>
  </si>
  <si>
    <t>デザイン</t>
    <phoneticPr fontId="2"/>
  </si>
  <si>
    <t>figmaの通りになっていない</t>
    <rPh sb="6" eb="7">
      <t>トオ</t>
    </rPh>
    <phoneticPr fontId="2"/>
  </si>
  <si>
    <t>画面サイズで調整されていない部分がある</t>
    <rPh sb="0" eb="2">
      <t>ガメン</t>
    </rPh>
    <rPh sb="6" eb="8">
      <t>チョウセイ</t>
    </rPh>
    <rPh sb="14" eb="16">
      <t>ブブン</t>
    </rPh>
    <phoneticPr fontId="2"/>
  </si>
  <si>
    <t>画面サイズが小さい場合にメニューの表示を検討する必要がある
SP版も</t>
    <rPh sb="0" eb="2">
      <t>ガメン</t>
    </rPh>
    <rPh sb="6" eb="7">
      <t>チイ</t>
    </rPh>
    <rPh sb="9" eb="11">
      <t>バアイ</t>
    </rPh>
    <rPh sb="17" eb="19">
      <t>ヒョウジ</t>
    </rPh>
    <rPh sb="20" eb="22">
      <t>ケントウ</t>
    </rPh>
    <rPh sb="24" eb="26">
      <t>ヒツヨウ</t>
    </rPh>
    <rPh sb="32" eb="33">
      <t>バン</t>
    </rPh>
    <phoneticPr fontId="2"/>
  </si>
  <si>
    <t>商品マスタ　　　　　　　　　　　　　　　　　　　　　　　　　　　　　　　　　　　　　　　　　　　　　　　　　　　　　　　　　</t>
    <phoneticPr fontId="2"/>
  </si>
  <si>
    <t>CSVファイルでアップロード可否</t>
    <rPh sb="14" eb="16">
      <t>カヒ</t>
    </rPh>
    <phoneticPr fontId="2"/>
  </si>
  <si>
    <t>商品を登録する場合、商品マスタ画面から1つずつしないといけない</t>
    <rPh sb="0" eb="2">
      <t>ショウヒン</t>
    </rPh>
    <rPh sb="3" eb="5">
      <t>トウロク</t>
    </rPh>
    <rPh sb="7" eb="9">
      <t>バアイ</t>
    </rPh>
    <rPh sb="10" eb="12">
      <t>ショウヒン</t>
    </rPh>
    <rPh sb="15" eb="17">
      <t>ガメン</t>
    </rPh>
    <phoneticPr fontId="2"/>
  </si>
  <si>
    <t>Windows10Pro 22H2
解像度：1920×1080</t>
    <phoneticPr fontId="2"/>
  </si>
  <si>
    <t>2024/09/17
18:56</t>
    <phoneticPr fontId="2"/>
  </si>
  <si>
    <t>ログインID、PASS</t>
    <phoneticPr fontId="2"/>
  </si>
  <si>
    <t>ログイン画面</t>
    <rPh sb="4" eb="6">
      <t>ガメン</t>
    </rPh>
    <phoneticPr fontId="2"/>
  </si>
  <si>
    <t>前回の情報が残っている</t>
    <rPh sb="0" eb="2">
      <t>ゼンカイ</t>
    </rPh>
    <rPh sb="3" eb="5">
      <t>ジョウホウ</t>
    </rPh>
    <rPh sb="6" eb="7">
      <t>ノコ</t>
    </rPh>
    <phoneticPr fontId="2"/>
  </si>
  <si>
    <t>「ID、Passwordを保存する」のチェックボックス（デフォルトOFF）でONにした場合のみ残すようにしてください</t>
    <rPh sb="13" eb="15">
      <t>ホゾン</t>
    </rPh>
    <rPh sb="43" eb="45">
      <t>バアイ</t>
    </rPh>
    <rPh sb="47" eb="48">
      <t>ノコ</t>
    </rPh>
    <phoneticPr fontId="2"/>
  </si>
  <si>
    <t>マスタ系全画面</t>
    <rPh sb="3" eb="4">
      <t>ケイ</t>
    </rPh>
    <rPh sb="4" eb="7">
      <t>ゼンガメン</t>
    </rPh>
    <phoneticPr fontId="2"/>
  </si>
  <si>
    <t>明細部で修正を選択しないと全項目確認できない</t>
    <rPh sb="0" eb="3">
      <t>メイサイブ</t>
    </rPh>
    <rPh sb="4" eb="6">
      <t>シュウセイ</t>
    </rPh>
    <rPh sb="7" eb="9">
      <t>センタク</t>
    </rPh>
    <rPh sb="13" eb="16">
      <t>ゼンコウモク</t>
    </rPh>
    <rPh sb="16" eb="18">
      <t>カクニン</t>
    </rPh>
    <phoneticPr fontId="2"/>
  </si>
  <si>
    <t>マスタ系画面動作</t>
    <rPh sb="3" eb="4">
      <t>ケイ</t>
    </rPh>
    <rPh sb="4" eb="8">
      <t>ガメンドウサ</t>
    </rPh>
    <phoneticPr fontId="2"/>
  </si>
  <si>
    <t>10月中</t>
    <rPh sb="2" eb="4">
      <t>ガツチュウ</t>
    </rPh>
    <phoneticPr fontId="2"/>
  </si>
  <si>
    <t>【現状】
上部：基本情報
下部：一覧
↓
【変更仕様】
初期画面は一覧のみ
明細を選択した時に詳細（基本情報）を表示する
初期画面に登録ボタンを配置し、登録ボタン押下時は詳細（基本情報）画面を表示して登録する。実行後は一覧画面に戻る。</t>
    <rPh sb="1" eb="3">
      <t>ゲンジョウ</t>
    </rPh>
    <rPh sb="5" eb="7">
      <t>ジョウブ</t>
    </rPh>
    <rPh sb="8" eb="10">
      <t>キホン</t>
    </rPh>
    <rPh sb="10" eb="12">
      <t>ジョウホウ</t>
    </rPh>
    <rPh sb="13" eb="15">
      <t>カブ</t>
    </rPh>
    <rPh sb="16" eb="18">
      <t>イチラン</t>
    </rPh>
    <rPh sb="22" eb="26">
      <t>ヘンコウシヨウ</t>
    </rPh>
    <rPh sb="28" eb="32">
      <t>ショキガメン</t>
    </rPh>
    <rPh sb="33" eb="35">
      <t>イチラン</t>
    </rPh>
    <rPh sb="38" eb="40">
      <t>メイサイ</t>
    </rPh>
    <rPh sb="41" eb="43">
      <t>センタク</t>
    </rPh>
    <rPh sb="45" eb="46">
      <t>トキ</t>
    </rPh>
    <rPh sb="47" eb="49">
      <t>ショウサイ</t>
    </rPh>
    <rPh sb="50" eb="54">
      <t>キホンジョウホウ</t>
    </rPh>
    <rPh sb="56" eb="58">
      <t>ヒョウジ</t>
    </rPh>
    <rPh sb="61" eb="65">
      <t>ショキガメン</t>
    </rPh>
    <rPh sb="66" eb="68">
      <t>トウロク</t>
    </rPh>
    <rPh sb="72" eb="74">
      <t>ハイチ</t>
    </rPh>
    <rPh sb="76" eb="78">
      <t>トウロク</t>
    </rPh>
    <rPh sb="81" eb="84">
      <t>オウカジ</t>
    </rPh>
    <rPh sb="85" eb="87">
      <t>ショウサイ</t>
    </rPh>
    <rPh sb="88" eb="92">
      <t>キホンジョウホウ</t>
    </rPh>
    <rPh sb="93" eb="95">
      <t>ガメン</t>
    </rPh>
    <rPh sb="96" eb="98">
      <t>ヒョウジ</t>
    </rPh>
    <rPh sb="100" eb="102">
      <t>トウロク</t>
    </rPh>
    <rPh sb="105" eb="108">
      <t>ジッコウゴ</t>
    </rPh>
    <rPh sb="109" eb="113">
      <t>イチランガメン</t>
    </rPh>
    <rPh sb="114" eb="115">
      <t>モド</t>
    </rPh>
    <phoneticPr fontId="2"/>
  </si>
  <si>
    <t>組織コードの重複</t>
    <rPh sb="0" eb="2">
      <t>ソシキ</t>
    </rPh>
    <rPh sb="6" eb="8">
      <t>チョウフク</t>
    </rPh>
    <phoneticPr fontId="2"/>
  </si>
  <si>
    <t>組織マスタ</t>
    <rPh sb="0" eb="2">
      <t>ソシキ</t>
    </rPh>
    <phoneticPr fontId="2"/>
  </si>
  <si>
    <t>同じ組織コードを使って新組織の登録が出来てしまう。</t>
    <rPh sb="0" eb="1">
      <t>オナ</t>
    </rPh>
    <rPh sb="2" eb="4">
      <t>ソシキ</t>
    </rPh>
    <rPh sb="8" eb="9">
      <t>ツカ</t>
    </rPh>
    <rPh sb="11" eb="14">
      <t>シンソシキ</t>
    </rPh>
    <rPh sb="15" eb="17">
      <t>トウロク</t>
    </rPh>
    <rPh sb="18" eb="20">
      <t>デキ</t>
    </rPh>
    <phoneticPr fontId="2"/>
  </si>
  <si>
    <t>「組織コード」はユニークの重複不可な番号ではないか。</t>
    <rPh sb="1" eb="3">
      <t>ソシキ</t>
    </rPh>
    <rPh sb="13" eb="17">
      <t>チョウフクフカ</t>
    </rPh>
    <rPh sb="18" eb="20">
      <t>バンゴウ</t>
    </rPh>
    <phoneticPr fontId="2"/>
  </si>
  <si>
    <t>ChromeOS128.0.6613.161
解像度：1080×675</t>
    <phoneticPr fontId="2"/>
  </si>
  <si>
    <t>従業員マスタがない</t>
    <rPh sb="0" eb="3">
      <t>ジュウギョウイン</t>
    </rPh>
    <phoneticPr fontId="2"/>
  </si>
  <si>
    <t>従業員マスタ　　　　　　　　　　　　　　　　　　　　　　　　　　　　　　　　　　　　　　　　　　　　　　　　　　　　　　　　　　　　　　　　　　　　　　　　　　　　　　　　　　　　</t>
    <rPh sb="0" eb="3">
      <t>ジュウギョウイン</t>
    </rPh>
    <phoneticPr fontId="2"/>
  </si>
  <si>
    <t>組織マスタ</t>
    <rPh sb="0" eb="2">
      <t>ソシキ</t>
    </rPh>
    <phoneticPr fontId="2"/>
  </si>
  <si>
    <t>階層</t>
    <rPh sb="0" eb="2">
      <t>カイソウ</t>
    </rPh>
    <phoneticPr fontId="2"/>
  </si>
  <si>
    <t>4階層以上登録できる</t>
    <rPh sb="1" eb="3">
      <t>カイソウ</t>
    </rPh>
    <rPh sb="3" eb="7">
      <t>イジョウトウロク</t>
    </rPh>
    <phoneticPr fontId="2"/>
  </si>
  <si>
    <t>3階層までとしてください</t>
    <rPh sb="1" eb="3">
      <t>カイソウ</t>
    </rPh>
    <phoneticPr fontId="2"/>
  </si>
  <si>
    <t>得意先マスタ</t>
    <rPh sb="0" eb="3">
      <t>トクイサキ</t>
    </rPh>
    <phoneticPr fontId="2"/>
  </si>
  <si>
    <t>必要項目</t>
    <rPh sb="0" eb="4">
      <t>ヒツヨウコウモク</t>
    </rPh>
    <phoneticPr fontId="2"/>
  </si>
  <si>
    <t>明細ソート順</t>
    <rPh sb="0" eb="2">
      <t>メイサイ</t>
    </rPh>
    <rPh sb="5" eb="6">
      <t>ジュン</t>
    </rPh>
    <phoneticPr fontId="2"/>
  </si>
  <si>
    <t>組織コード順となっていない</t>
    <rPh sb="0" eb="2">
      <t>ソシキ</t>
    </rPh>
    <rPh sb="5" eb="6">
      <t>ジュン</t>
    </rPh>
    <phoneticPr fontId="2"/>
  </si>
  <si>
    <t>デフォルトは組織コード順としてください
※他画面も同様、明細表示はデフォルトのソート順を設定してください
※他画面も同様、明細表示している箇所は動的にソート順を変更できるようにしてください</t>
    <rPh sb="6" eb="8">
      <t>ソシキ</t>
    </rPh>
    <rPh sb="11" eb="12">
      <t>ジュン</t>
    </rPh>
    <rPh sb="21" eb="24">
      <t>タガメン</t>
    </rPh>
    <rPh sb="25" eb="27">
      <t>ドウヨウ</t>
    </rPh>
    <rPh sb="28" eb="32">
      <t>メイサイヒョウジ</t>
    </rPh>
    <rPh sb="42" eb="43">
      <t>ジュン</t>
    </rPh>
    <rPh sb="44" eb="46">
      <t>セッテイ</t>
    </rPh>
    <rPh sb="54" eb="57">
      <t>タガメン</t>
    </rPh>
    <rPh sb="58" eb="60">
      <t>ドウヨウ</t>
    </rPh>
    <rPh sb="61" eb="65">
      <t>メイサイヒョウジ</t>
    </rPh>
    <rPh sb="69" eb="71">
      <t>カショ</t>
    </rPh>
    <rPh sb="72" eb="74">
      <t>ドウテキ</t>
    </rPh>
    <rPh sb="78" eb="79">
      <t>ジュン</t>
    </rPh>
    <rPh sb="80" eb="82">
      <t>ヘンコウ</t>
    </rPh>
    <phoneticPr fontId="2"/>
  </si>
  <si>
    <t>項目が足りない</t>
    <rPh sb="0" eb="2">
      <t>コウモク</t>
    </rPh>
    <rPh sb="3" eb="4">
      <t>タ</t>
    </rPh>
    <phoneticPr fontId="2"/>
  </si>
  <si>
    <t>共通</t>
    <rPh sb="0" eb="2">
      <t>キョウツウ</t>
    </rPh>
    <phoneticPr fontId="2"/>
  </si>
  <si>
    <t>ブラウザの戻るボタン</t>
    <rPh sb="5" eb="6">
      <t>モド</t>
    </rPh>
    <phoneticPr fontId="2"/>
  </si>
  <si>
    <t>ブラウザの戻るボタンで前の画面に戻る</t>
    <rPh sb="5" eb="6">
      <t>モド</t>
    </rPh>
    <rPh sb="11" eb="12">
      <t>マエ</t>
    </rPh>
    <rPh sb="13" eb="15">
      <t>ガメン</t>
    </rPh>
    <rPh sb="16" eb="17">
      <t>モド</t>
    </rPh>
    <phoneticPr fontId="2"/>
  </si>
  <si>
    <t>ブラウザの戻る・進むのボタンは無効にしてください
キーボード入力（バックスペース等）も同様
スマホも同様</t>
    <rPh sb="5" eb="6">
      <t>モド</t>
    </rPh>
    <rPh sb="8" eb="9">
      <t>スス</t>
    </rPh>
    <rPh sb="15" eb="17">
      <t>ムコウ</t>
    </rPh>
    <rPh sb="30" eb="32">
      <t>ニュウリョク</t>
    </rPh>
    <rPh sb="40" eb="41">
      <t>トウ</t>
    </rPh>
    <rPh sb="43" eb="45">
      <t>ドウヨウ</t>
    </rPh>
    <rPh sb="50" eb="52">
      <t>ドウヨウ</t>
    </rPh>
    <phoneticPr fontId="2"/>
  </si>
  <si>
    <t>-</t>
    <phoneticPr fontId="2"/>
  </si>
  <si>
    <t>一覧の動き</t>
    <rPh sb="0" eb="2">
      <t>イチラン</t>
    </rPh>
    <rPh sb="3" eb="4">
      <t>ウゴ</t>
    </rPh>
    <phoneticPr fontId="2"/>
  </si>
  <si>
    <t>画面下部の一覧</t>
    <rPh sb="0" eb="4">
      <t>ガメンカブ</t>
    </rPh>
    <rPh sb="5" eb="7">
      <t>イチラン</t>
    </rPh>
    <phoneticPr fontId="2"/>
  </si>
  <si>
    <t>縦横スクロールができない</t>
    <rPh sb="0" eb="2">
      <t>タテヨコ</t>
    </rPh>
    <phoneticPr fontId="2"/>
  </si>
  <si>
    <t>利用者側に見えると混乱する。
テナント側だけで見えれば良いのではないか</t>
    <rPh sb="0" eb="4">
      <t>リヨウシャガワ</t>
    </rPh>
    <rPh sb="5" eb="6">
      <t>ミ</t>
    </rPh>
    <rPh sb="9" eb="11">
      <t>コンラン</t>
    </rPh>
    <rPh sb="19" eb="20">
      <t>ガワ</t>
    </rPh>
    <rPh sb="23" eb="24">
      <t>ミ</t>
    </rPh>
    <rPh sb="27" eb="28">
      <t>ヨ</t>
    </rPh>
    <phoneticPr fontId="2"/>
  </si>
  <si>
    <t>「カナ名称」欄にカタカナ以外の文字が入力できてしまう。</t>
    <rPh sb="3" eb="5">
      <t>メイショウ</t>
    </rPh>
    <rPh sb="6" eb="7">
      <t>ラン</t>
    </rPh>
    <rPh sb="12" eb="14">
      <t>イガイ</t>
    </rPh>
    <rPh sb="15" eb="17">
      <t>モジ</t>
    </rPh>
    <rPh sb="18" eb="20">
      <t>ニュウリョク</t>
    </rPh>
    <phoneticPr fontId="2"/>
  </si>
  <si>
    <t>文字入力（カナ名称）</t>
    <rPh sb="0" eb="4">
      <t>モジニュウリョク</t>
    </rPh>
    <rPh sb="7" eb="9">
      <t>メイショウ</t>
    </rPh>
    <phoneticPr fontId="2"/>
  </si>
  <si>
    <t>「郵便番号」「電話番号」欄に全角数字が入力できてしまう</t>
    <rPh sb="1" eb="5">
      <t>ユウビンバンゴウ</t>
    </rPh>
    <rPh sb="7" eb="11">
      <t>デンワバンゴウ</t>
    </rPh>
    <rPh sb="12" eb="13">
      <t>ラン</t>
    </rPh>
    <rPh sb="14" eb="18">
      <t>ゼンカクスウジ</t>
    </rPh>
    <rPh sb="19" eb="21">
      <t>ニュウリョク</t>
    </rPh>
    <phoneticPr fontId="2"/>
  </si>
  <si>
    <t>文字入力（郵便番号、電話番号）</t>
    <rPh sb="10" eb="14">
      <t>デンワバンゴウ</t>
    </rPh>
    <phoneticPr fontId="2"/>
  </si>
  <si>
    <t>納入先マスタ＞「郵便番号」「電話番号」</t>
    <rPh sb="0" eb="3">
      <t>ノウニュウサキ</t>
    </rPh>
    <rPh sb="8" eb="12">
      <t>ユウビンバンゴウ</t>
    </rPh>
    <rPh sb="14" eb="18">
      <t>デンワバンゴウ</t>
    </rPh>
    <phoneticPr fontId="2"/>
  </si>
  <si>
    <t>納入先マスタ、仕入先マスタ＞「カナ名称」「郵便番号」</t>
    <rPh sb="0" eb="3">
      <t>ノウニュウサキ</t>
    </rPh>
    <rPh sb="7" eb="10">
      <t>シイレサキ</t>
    </rPh>
    <rPh sb="17" eb="19">
      <t>メイショウ</t>
    </rPh>
    <rPh sb="21" eb="25">
      <t>ユウビンバンゴウ</t>
    </rPh>
    <phoneticPr fontId="2"/>
  </si>
  <si>
    <t>担当者名に数字と記号</t>
    <rPh sb="0" eb="4">
      <t>タントウシャメイ</t>
    </rPh>
    <rPh sb="5" eb="7">
      <t>スウジ</t>
    </rPh>
    <rPh sb="8" eb="10">
      <t>キゴウ</t>
    </rPh>
    <phoneticPr fontId="2"/>
  </si>
  <si>
    <t>仕入先マスタ＞「担当者名」</t>
    <rPh sb="0" eb="3">
      <t>シイレサキ</t>
    </rPh>
    <rPh sb="8" eb="11">
      <t>タントウシャ</t>
    </rPh>
    <rPh sb="11" eb="12">
      <t>メイ</t>
    </rPh>
    <phoneticPr fontId="2"/>
  </si>
  <si>
    <t>数字とハイフン（電話番号を途中まで）で入力できてしまう</t>
    <rPh sb="0" eb="2">
      <t>スウジ</t>
    </rPh>
    <rPh sb="8" eb="12">
      <t>デンワバンゴウ</t>
    </rPh>
    <rPh sb="13" eb="15">
      <t>トチュウ</t>
    </rPh>
    <rPh sb="19" eb="21">
      <t>ニュウリョク</t>
    </rPh>
    <phoneticPr fontId="2"/>
  </si>
  <si>
    <t>ChromeOS128.0.6613.161
解像度：1080×675
Windows10Pro 22H2
解像度：1920×1080</t>
    <phoneticPr fontId="2"/>
  </si>
  <si>
    <t>郵便番号</t>
    <rPh sb="0" eb="4">
      <t>ユウビンバンゴウ</t>
    </rPh>
    <phoneticPr fontId="2"/>
  </si>
  <si>
    <t>日本の郵便番号は「3桁ハイフン4桁」の構成だが、「3桁ハイフン3桁」で登録出来てしまった。都道府県や市区町村の名称にチェックはかからないのか？</t>
    <rPh sb="0" eb="2">
      <t>ニホン</t>
    </rPh>
    <rPh sb="3" eb="7">
      <t>ユウビンバンゴウ</t>
    </rPh>
    <rPh sb="10" eb="11">
      <t>ケタ</t>
    </rPh>
    <rPh sb="16" eb="17">
      <t>ケタ</t>
    </rPh>
    <rPh sb="19" eb="21">
      <t>コウセイ</t>
    </rPh>
    <rPh sb="26" eb="27">
      <t>ケタ</t>
    </rPh>
    <rPh sb="32" eb="33">
      <t>ケタ</t>
    </rPh>
    <rPh sb="35" eb="37">
      <t>トウロク</t>
    </rPh>
    <rPh sb="37" eb="39">
      <t>デキ</t>
    </rPh>
    <rPh sb="45" eb="49">
      <t>トドウフケン</t>
    </rPh>
    <rPh sb="50" eb="52">
      <t>シク</t>
    </rPh>
    <rPh sb="52" eb="54">
      <t>チョウソン</t>
    </rPh>
    <rPh sb="55" eb="57">
      <t>メイショウ</t>
    </rPh>
    <phoneticPr fontId="2"/>
  </si>
  <si>
    <t>JANコードが手打ち</t>
    <rPh sb="7" eb="9">
      <t>テウ</t>
    </rPh>
    <phoneticPr fontId="2"/>
  </si>
  <si>
    <t>登録したい商品のJANコードをスキャンすることで「JANCD」欄に入力できること</t>
    <rPh sb="0" eb="2">
      <t>トウロク</t>
    </rPh>
    <rPh sb="5" eb="7">
      <t>ショウヒン</t>
    </rPh>
    <rPh sb="31" eb="32">
      <t>ラン</t>
    </rPh>
    <rPh sb="33" eb="35">
      <t>ニュウリョク</t>
    </rPh>
    <phoneticPr fontId="2"/>
  </si>
  <si>
    <t>絞り込み検索⇒該当なし</t>
    <rPh sb="0" eb="1">
      <t>シボ</t>
    </rPh>
    <rPh sb="2" eb="3">
      <t>コ</t>
    </rPh>
    <rPh sb="4" eb="6">
      <t>ケンサク</t>
    </rPh>
    <rPh sb="7" eb="9">
      <t>ガイトウ</t>
    </rPh>
    <phoneticPr fontId="2"/>
  </si>
  <si>
    <t>「絞り込み検索」で「該当なし」表示が出た後、検索前（元の一覧が表示される画面）に戻りたくても戻れない。
「ログアウト⇒再ログイン」もしくは再度「絞り込み検索」⇒「全ての選択を解除」と進まないと戻れない。
※商品マスタで事象発覚したので再度商品マスタを開きなおしても「該当なし」のまま。</t>
    <rPh sb="1" eb="2">
      <t>シボ</t>
    </rPh>
    <rPh sb="3" eb="4">
      <t>コ</t>
    </rPh>
    <rPh sb="5" eb="7">
      <t>ケンサク</t>
    </rPh>
    <rPh sb="10" eb="12">
      <t>ガイトウ</t>
    </rPh>
    <rPh sb="15" eb="17">
      <t>ヒョウジ</t>
    </rPh>
    <rPh sb="18" eb="19">
      <t>デ</t>
    </rPh>
    <rPh sb="20" eb="21">
      <t>アト</t>
    </rPh>
    <rPh sb="22" eb="25">
      <t>ケンサクマエ</t>
    </rPh>
    <rPh sb="26" eb="27">
      <t>モト</t>
    </rPh>
    <rPh sb="28" eb="30">
      <t>イチラン</t>
    </rPh>
    <rPh sb="31" eb="33">
      <t>ヒョウジ</t>
    </rPh>
    <rPh sb="36" eb="38">
      <t>ガメン</t>
    </rPh>
    <rPh sb="40" eb="41">
      <t>モド</t>
    </rPh>
    <rPh sb="46" eb="47">
      <t>モド</t>
    </rPh>
    <rPh sb="69" eb="71">
      <t>サイド</t>
    </rPh>
    <rPh sb="72" eb="73">
      <t>シボ</t>
    </rPh>
    <rPh sb="74" eb="75">
      <t>コ</t>
    </rPh>
    <rPh sb="76" eb="78">
      <t>ケンサク</t>
    </rPh>
    <rPh sb="81" eb="82">
      <t>スベ</t>
    </rPh>
    <rPh sb="84" eb="86">
      <t>センタク</t>
    </rPh>
    <rPh sb="87" eb="89">
      <t>カイジョ</t>
    </rPh>
    <rPh sb="91" eb="92">
      <t>スス</t>
    </rPh>
    <phoneticPr fontId="2"/>
  </si>
  <si>
    <t>「戻る」ボタンなどで戻れるなど、感覚的に操作出来て元の戻りたい画面に戻れること</t>
    <rPh sb="1" eb="2">
      <t>モド</t>
    </rPh>
    <rPh sb="10" eb="11">
      <t>モド</t>
    </rPh>
    <rPh sb="16" eb="19">
      <t>カンカクテキ</t>
    </rPh>
    <rPh sb="20" eb="24">
      <t>ソウサデキ</t>
    </rPh>
    <rPh sb="25" eb="26">
      <t>モト</t>
    </rPh>
    <rPh sb="27" eb="28">
      <t>モド</t>
    </rPh>
    <rPh sb="31" eb="33">
      <t>ガメン</t>
    </rPh>
    <rPh sb="34" eb="35">
      <t>モド</t>
    </rPh>
    <phoneticPr fontId="2"/>
  </si>
  <si>
    <t>「1ページあたり□本」とある</t>
    <rPh sb="9" eb="10">
      <t>ホン</t>
    </rPh>
    <phoneticPr fontId="2"/>
  </si>
  <si>
    <t>明細部分すべて</t>
    <rPh sb="0" eb="4">
      <t>メイサイブブン</t>
    </rPh>
    <phoneticPr fontId="2"/>
  </si>
  <si>
    <t>「写真1」「写真2」をタップしても「ファイルを選択して開く」しか出てこない。</t>
    <rPh sb="1" eb="3">
      <t>シャシン</t>
    </rPh>
    <rPh sb="6" eb="8">
      <t>シャシン</t>
    </rPh>
    <rPh sb="23" eb="25">
      <t>センタク</t>
    </rPh>
    <rPh sb="27" eb="28">
      <t>ヒラ</t>
    </rPh>
    <rPh sb="32" eb="33">
      <t>デ</t>
    </rPh>
    <phoneticPr fontId="2"/>
  </si>
  <si>
    <t>商品マスタ＞「写真1」もしくは「写真2」をタップ</t>
    <rPh sb="0" eb="2">
      <t>ショウヒン</t>
    </rPh>
    <phoneticPr fontId="2"/>
  </si>
  <si>
    <t>「ファイルを選択して開く」か、カメラを起動し撮影、撮影した画像を使うかが選べる</t>
    <rPh sb="19" eb="21">
      <t>キドウ</t>
    </rPh>
    <rPh sb="22" eb="24">
      <t>サツエイ</t>
    </rPh>
    <rPh sb="25" eb="27">
      <t>サツエイ</t>
    </rPh>
    <rPh sb="29" eb="31">
      <t>ガゾウ</t>
    </rPh>
    <rPh sb="32" eb="33">
      <t>ツカ</t>
    </rPh>
    <rPh sb="36" eb="37">
      <t>エラ</t>
    </rPh>
    <phoneticPr fontId="2"/>
  </si>
  <si>
    <t>絞り込み検索の後、元の画面に戻れない</t>
    <rPh sb="0" eb="1">
      <t>シボ</t>
    </rPh>
    <rPh sb="2" eb="3">
      <t>コ</t>
    </rPh>
    <rPh sb="4" eb="6">
      <t>ケンサク</t>
    </rPh>
    <rPh sb="7" eb="8">
      <t>ノチ</t>
    </rPh>
    <rPh sb="9" eb="10">
      <t>モト</t>
    </rPh>
    <rPh sb="11" eb="13">
      <t>ガメン</t>
    </rPh>
    <rPh sb="14" eb="15">
      <t>モド</t>
    </rPh>
    <phoneticPr fontId="2"/>
  </si>
  <si>
    <t>明細部分すべて</t>
    <phoneticPr fontId="2"/>
  </si>
  <si>
    <t>ファイルが添付できない</t>
    <rPh sb="5" eb="7">
      <t>テンプ</t>
    </rPh>
    <phoneticPr fontId="2"/>
  </si>
  <si>
    <t>ファイルを添付するためのメニューがない</t>
    <rPh sb="5" eb="7">
      <t>テンプ</t>
    </rPh>
    <phoneticPr fontId="2"/>
  </si>
  <si>
    <t>ファイルを添付するためのメニューがある</t>
    <rPh sb="5" eb="7">
      <t>テンプ</t>
    </rPh>
    <phoneticPr fontId="2"/>
  </si>
  <si>
    <t>郵便番号を入力し、enterを押下しても途中までしか住所が出てこない</t>
    <rPh sb="0" eb="4">
      <t>ユウビンバンゴウ</t>
    </rPh>
    <rPh sb="5" eb="7">
      <t>ニュウリョク</t>
    </rPh>
    <rPh sb="15" eb="17">
      <t>オウカ</t>
    </rPh>
    <rPh sb="20" eb="22">
      <t>トチュウ</t>
    </rPh>
    <rPh sb="26" eb="28">
      <t>ジュウショ</t>
    </rPh>
    <rPh sb="29" eb="30">
      <t>デ</t>
    </rPh>
    <phoneticPr fontId="2"/>
  </si>
  <si>
    <t>郵便番号欄に「106-0031」を入力しEnter＞
「都道府県」名に「東京都」、「市区町村」欄に「港区」しか出てこない。</t>
    <rPh sb="0" eb="5">
      <t>ユウビンバンゴウラン</t>
    </rPh>
    <rPh sb="17" eb="19">
      <t>ニュウリョク</t>
    </rPh>
    <rPh sb="28" eb="32">
      <t>トドウフケン</t>
    </rPh>
    <rPh sb="33" eb="34">
      <t>メイ</t>
    </rPh>
    <rPh sb="36" eb="39">
      <t>トウキョウト</t>
    </rPh>
    <rPh sb="42" eb="44">
      <t>シク</t>
    </rPh>
    <rPh sb="44" eb="46">
      <t>チョウソン</t>
    </rPh>
    <rPh sb="47" eb="48">
      <t>ラン</t>
    </rPh>
    <rPh sb="50" eb="51">
      <t>ミナト</t>
    </rPh>
    <rPh sb="51" eb="52">
      <t>ク</t>
    </rPh>
    <rPh sb="55" eb="56">
      <t>デ</t>
    </rPh>
    <phoneticPr fontId="2"/>
  </si>
  <si>
    <t>「カレンダー」の「納入先休日」「仕入先休日」営業備考</t>
    <rPh sb="9" eb="12">
      <t>ノウニュウサキ</t>
    </rPh>
    <rPh sb="12" eb="14">
      <t>キュウジツ</t>
    </rPh>
    <rPh sb="16" eb="19">
      <t>シイレサキ</t>
    </rPh>
    <rPh sb="19" eb="21">
      <t>キュウジツ</t>
    </rPh>
    <rPh sb="22" eb="26">
      <t>エイギョウビコウ</t>
    </rPh>
    <phoneticPr fontId="2"/>
  </si>
  <si>
    <t>タップすると表示される吹き出しの中に「営業備考」で入力した情報が出てくること</t>
    <rPh sb="6" eb="8">
      <t>ヒョウジ</t>
    </rPh>
    <rPh sb="11" eb="12">
      <t>フ</t>
    </rPh>
    <rPh sb="13" eb="14">
      <t>ダ</t>
    </rPh>
    <rPh sb="16" eb="17">
      <t>ナカ</t>
    </rPh>
    <rPh sb="19" eb="23">
      <t>エイギョウビコウ</t>
    </rPh>
    <rPh sb="25" eb="27">
      <t>ニュウリョク</t>
    </rPh>
    <rPh sb="29" eb="31">
      <t>ジョウホウ</t>
    </rPh>
    <rPh sb="32" eb="33">
      <t>デ</t>
    </rPh>
    <phoneticPr fontId="2"/>
  </si>
  <si>
    <t>TOP＞カレンダーで緑ポッチ、青ポッチの日付をタップ</t>
    <rPh sb="10" eb="11">
      <t>ミドリ</t>
    </rPh>
    <rPh sb="15" eb="16">
      <t>アオ</t>
    </rPh>
    <rPh sb="20" eb="22">
      <t>ヒヅケ</t>
    </rPh>
    <phoneticPr fontId="2"/>
  </si>
  <si>
    <t>TOP＞「カレンダー」の「納入先休日」「仕入先休日」が表示されるが、カレンダーマスタの「営業備考」欄に企業名入力済にも関わらず営業備考欄の内容は表示されないので、営業備考欄に企業名を入力していたとしても、どこの企業の休日なのか分からない。</t>
    <rPh sb="27" eb="29">
      <t>ヒョウジ</t>
    </rPh>
    <rPh sb="44" eb="46">
      <t>エイギョウ</t>
    </rPh>
    <rPh sb="46" eb="48">
      <t>ビコウ</t>
    </rPh>
    <rPh sb="49" eb="50">
      <t>ラン</t>
    </rPh>
    <rPh sb="51" eb="53">
      <t>キギョウ</t>
    </rPh>
    <rPh sb="53" eb="54">
      <t>メイ</t>
    </rPh>
    <rPh sb="54" eb="56">
      <t>ニュウリョク</t>
    </rPh>
    <rPh sb="56" eb="57">
      <t>スミ</t>
    </rPh>
    <rPh sb="59" eb="60">
      <t>カカ</t>
    </rPh>
    <rPh sb="63" eb="65">
      <t>エイギョウ</t>
    </rPh>
    <rPh sb="65" eb="67">
      <t>ビコウ</t>
    </rPh>
    <rPh sb="67" eb="68">
      <t>ラン</t>
    </rPh>
    <rPh sb="69" eb="71">
      <t>ナイヨウ</t>
    </rPh>
    <rPh sb="72" eb="74">
      <t>ヒョウジ</t>
    </rPh>
    <rPh sb="81" eb="86">
      <t>エイギョウビコウラン</t>
    </rPh>
    <rPh sb="87" eb="90">
      <t>キギョウメイ</t>
    </rPh>
    <rPh sb="91" eb="93">
      <t>ニュウリョク</t>
    </rPh>
    <rPh sb="105" eb="107">
      <t>キギョウ</t>
    </rPh>
    <rPh sb="108" eb="110">
      <t>キュウジツ</t>
    </rPh>
    <rPh sb="113" eb="114">
      <t>ワ</t>
    </rPh>
    <phoneticPr fontId="2"/>
  </si>
  <si>
    <t>商品単価マスタが無い</t>
    <rPh sb="0" eb="4">
      <t>ショウヒンタンカ</t>
    </rPh>
    <rPh sb="8" eb="9">
      <t>ナ</t>
    </rPh>
    <phoneticPr fontId="2"/>
  </si>
  <si>
    <t>商品単価マスタ</t>
    <rPh sb="0" eb="4">
      <t>ショウヒンタンカ</t>
    </rPh>
    <phoneticPr fontId="2"/>
  </si>
  <si>
    <t>得意先商品マスタ</t>
    <rPh sb="0" eb="3">
      <t>トクイサキ</t>
    </rPh>
    <rPh sb="3" eb="5">
      <t>ショウヒン</t>
    </rPh>
    <phoneticPr fontId="2"/>
  </si>
  <si>
    <t>仕入先別商品マスタ</t>
    <rPh sb="0" eb="3">
      <t>シイレサキ</t>
    </rPh>
    <rPh sb="3" eb="4">
      <t>ベツ</t>
    </rPh>
    <rPh sb="4" eb="6">
      <t>ショウヒン</t>
    </rPh>
    <phoneticPr fontId="2"/>
  </si>
  <si>
    <t>得意先納入先別</t>
    <rPh sb="0" eb="3">
      <t>トクイサキ</t>
    </rPh>
    <rPh sb="3" eb="6">
      <t>ノウニュウサキ</t>
    </rPh>
    <rPh sb="6" eb="7">
      <t>ベツ</t>
    </rPh>
    <phoneticPr fontId="2"/>
  </si>
  <si>
    <t>得意先納入先別商品単価マスタ</t>
    <phoneticPr fontId="2"/>
  </si>
  <si>
    <t>仕入先商品単価マスタ</t>
    <phoneticPr fontId="2"/>
  </si>
  <si>
    <t>商品荷姿マスタ</t>
    <phoneticPr fontId="2"/>
  </si>
  <si>
    <t>商品構成マスタ</t>
    <phoneticPr fontId="2"/>
  </si>
  <si>
    <t>セット出荷マスタ</t>
    <phoneticPr fontId="2"/>
  </si>
  <si>
    <t>在庫情報マスタ</t>
    <rPh sb="0" eb="4">
      <t>ザイコジョウホウ</t>
    </rPh>
    <phoneticPr fontId="2"/>
  </si>
  <si>
    <t>メッセージマスタ</t>
    <phoneticPr fontId="2"/>
  </si>
  <si>
    <t>リポジトリ</t>
    <phoneticPr fontId="2"/>
  </si>
  <si>
    <t>汎用分類マスタ</t>
    <rPh sb="0" eb="4">
      <t>ハンヨウブンルイ</t>
    </rPh>
    <phoneticPr fontId="1"/>
  </si>
  <si>
    <t>汎用詳細マスタ</t>
    <rPh sb="0" eb="4">
      <t>ハンヨウショウサイ</t>
    </rPh>
    <phoneticPr fontId="1"/>
  </si>
  <si>
    <t>採番マスタ</t>
    <rPh sb="0" eb="2">
      <t>サイバン</t>
    </rPh>
    <phoneticPr fontId="1"/>
  </si>
  <si>
    <t>システムマスタ</t>
  </si>
  <si>
    <t>月次締処理</t>
    <rPh sb="0" eb="5">
      <t>ゲツジシメショリ</t>
    </rPh>
    <phoneticPr fontId="1"/>
  </si>
  <si>
    <t>データ繰越処理</t>
    <rPh sb="3" eb="7">
      <t>クリコシショリ</t>
    </rPh>
    <phoneticPr fontId="1"/>
  </si>
  <si>
    <t>月次評価単価</t>
    <rPh sb="0" eb="2">
      <t>ゲツジ</t>
    </rPh>
    <rPh sb="2" eb="4">
      <t>ヒョウカ</t>
    </rPh>
    <rPh sb="4" eb="6">
      <t>タンカ</t>
    </rPh>
    <phoneticPr fontId="1"/>
  </si>
  <si>
    <t>帳票紐付け</t>
    <rPh sb="0" eb="4">
      <t>チョウヒョウヒモツ</t>
    </rPh>
    <phoneticPr fontId="1"/>
  </si>
  <si>
    <t>多言語マスタ</t>
    <rPh sb="0" eb="3">
      <t>タゲンゴ</t>
    </rPh>
    <phoneticPr fontId="1"/>
  </si>
  <si>
    <t>マスタ編集</t>
    <rPh sb="3" eb="5">
      <t>ヘンシュウ</t>
    </rPh>
    <phoneticPr fontId="1"/>
  </si>
  <si>
    <t>帳票編集</t>
    <rPh sb="0" eb="2">
      <t>チョウヒョウ</t>
    </rPh>
    <rPh sb="2" eb="4">
      <t>ヘンシュウ</t>
    </rPh>
    <phoneticPr fontId="1"/>
  </si>
  <si>
    <t>画面編集</t>
    <rPh sb="0" eb="4">
      <t>ガメンヘンシュウ</t>
    </rPh>
    <phoneticPr fontId="1"/>
  </si>
  <si>
    <t>アイコン編集</t>
    <rPh sb="4" eb="6">
      <t>ヘンシュウ</t>
    </rPh>
    <phoneticPr fontId="1"/>
  </si>
  <si>
    <t>バックアップ</t>
  </si>
  <si>
    <t>リストア</t>
  </si>
  <si>
    <t>メニューマスタ</t>
  </si>
  <si>
    <t>法人管理</t>
    <rPh sb="0" eb="4">
      <t>ホウジンカンリ</t>
    </rPh>
    <phoneticPr fontId="1"/>
  </si>
  <si>
    <t>ライセンス管理</t>
    <rPh sb="5" eb="7">
      <t>カンリ</t>
    </rPh>
    <phoneticPr fontId="1"/>
  </si>
  <si>
    <t>メッセージ管理</t>
    <rPh sb="5" eb="7">
      <t>カンリ</t>
    </rPh>
    <phoneticPr fontId="1"/>
  </si>
  <si>
    <t>申込機能</t>
    <rPh sb="0" eb="4">
      <t>モウシコミキノウ</t>
    </rPh>
    <phoneticPr fontId="1"/>
  </si>
  <si>
    <t>解約機能</t>
    <rPh sb="0" eb="4">
      <t>カイヤクキノウ</t>
    </rPh>
    <phoneticPr fontId="1"/>
  </si>
  <si>
    <t>得意先商品マスタが無い</t>
    <rPh sb="9" eb="10">
      <t>ナ</t>
    </rPh>
    <phoneticPr fontId="2"/>
  </si>
  <si>
    <t>仕入先別商品マスタが無い</t>
    <rPh sb="0" eb="3">
      <t>シイレサキ</t>
    </rPh>
    <rPh sb="3" eb="4">
      <t>ベツ</t>
    </rPh>
    <rPh sb="4" eb="6">
      <t>ショウヒン</t>
    </rPh>
    <rPh sb="10" eb="11">
      <t>ナ</t>
    </rPh>
    <phoneticPr fontId="2"/>
  </si>
  <si>
    <t>出力されたCSVファイルの項目が英語で表示される。</t>
    <rPh sb="0" eb="2">
      <t>シュツリョク</t>
    </rPh>
    <rPh sb="13" eb="15">
      <t>コウモク</t>
    </rPh>
    <rPh sb="16" eb="18">
      <t>エイゴ</t>
    </rPh>
    <rPh sb="19" eb="21">
      <t>ヒョウジ</t>
    </rPh>
    <phoneticPr fontId="2"/>
  </si>
  <si>
    <t>デザインは全体的に要見直し</t>
    <rPh sb="5" eb="8">
      <t>ゼンタイテキ</t>
    </rPh>
    <rPh sb="9" eb="10">
      <t>ヨウ</t>
    </rPh>
    <rPh sb="10" eb="12">
      <t>ミナオ</t>
    </rPh>
    <phoneticPr fontId="2"/>
  </si>
  <si>
    <t>本来であれば「会社マスタ」で設定した言語で帳票類の項目は表示される。</t>
    <rPh sb="7" eb="9">
      <t>カイシャ</t>
    </rPh>
    <rPh sb="14" eb="16">
      <t>セッテイ</t>
    </rPh>
    <rPh sb="18" eb="20">
      <t>ゲンゴ</t>
    </rPh>
    <rPh sb="21" eb="24">
      <t>チョウヒョウルイ</t>
    </rPh>
    <rPh sb="25" eb="27">
      <t>コウモク</t>
    </rPh>
    <rPh sb="28" eb="30">
      <t>ヒョウジ</t>
    </rPh>
    <phoneticPr fontId="2"/>
  </si>
  <si>
    <t>帳票</t>
    <rPh sb="0" eb="2">
      <t>チョウヒョウ</t>
    </rPh>
    <phoneticPr fontId="2"/>
  </si>
  <si>
    <t>検品入力の際、商品ラベルの印刷忘れをしても大丈夫なように後から印刷できるようにしてほしい。既に対応策があるのであればすぐに分かるようにしてほしい
↓2024/9/19橋本
商品ラベル印刷で可能
※今はメニューにないので修正が必要</t>
    <rPh sb="0" eb="4">
      <t>ケンピンニュウリョク</t>
    </rPh>
    <rPh sb="5" eb="6">
      <t>サイ</t>
    </rPh>
    <rPh sb="7" eb="9">
      <t>ショウヒン</t>
    </rPh>
    <rPh sb="13" eb="16">
      <t>インサツワス</t>
    </rPh>
    <rPh sb="21" eb="24">
      <t>ダイジョウブ</t>
    </rPh>
    <rPh sb="28" eb="29">
      <t>アト</t>
    </rPh>
    <rPh sb="31" eb="33">
      <t>インサツ</t>
    </rPh>
    <rPh sb="45" eb="46">
      <t>スデ</t>
    </rPh>
    <rPh sb="47" eb="50">
      <t>タイオウサク</t>
    </rPh>
    <rPh sb="61" eb="62">
      <t>ワ</t>
    </rPh>
    <rPh sb="83" eb="85">
      <t>ハシモト</t>
    </rPh>
    <rPh sb="86" eb="88">
      <t>ショウヒン</t>
    </rPh>
    <rPh sb="91" eb="93">
      <t>インサツ</t>
    </rPh>
    <rPh sb="94" eb="96">
      <t>カノウ</t>
    </rPh>
    <rPh sb="98" eb="99">
      <t>イマ</t>
    </rPh>
    <rPh sb="109" eb="111">
      <t>シュウセイ</t>
    </rPh>
    <rPh sb="112" eb="114">
      <t>ヒツヨウ</t>
    </rPh>
    <phoneticPr fontId="2"/>
  </si>
  <si>
    <t>入力項目（今回の場合は[ロケーションのバーコード]）で何を入力するのか分からないユーザーのためにヘルプ（説明機能）があること
↓2024/9/19橋本
利用方法はチャットボットで対応可能
ラベルはロケーションラベル印刷で可能
※今はメニューに無いので修正が必要</t>
    <rPh sb="0" eb="4">
      <t>ニュウリョクコウモク</t>
    </rPh>
    <rPh sb="5" eb="7">
      <t>コンカイ</t>
    </rPh>
    <rPh sb="8" eb="10">
      <t>バアイ</t>
    </rPh>
    <rPh sb="27" eb="28">
      <t>ナニ</t>
    </rPh>
    <rPh sb="29" eb="31">
      <t>ニュウリョク</t>
    </rPh>
    <rPh sb="35" eb="36">
      <t>ワ</t>
    </rPh>
    <rPh sb="52" eb="54">
      <t>セツメイ</t>
    </rPh>
    <rPh sb="54" eb="56">
      <t>キノウ</t>
    </rPh>
    <rPh sb="73" eb="75">
      <t>ハシモト</t>
    </rPh>
    <rPh sb="76" eb="80">
      <t>リヨウホウホウ</t>
    </rPh>
    <rPh sb="89" eb="93">
      <t>タイオウカノウ</t>
    </rPh>
    <rPh sb="107" eb="109">
      <t>インサツ</t>
    </rPh>
    <rPh sb="110" eb="112">
      <t>カノウ</t>
    </rPh>
    <rPh sb="114" eb="115">
      <t>イマ</t>
    </rPh>
    <rPh sb="121" eb="122">
      <t>ナ</t>
    </rPh>
    <rPh sb="125" eb="127">
      <t>シュウセイ</t>
    </rPh>
    <rPh sb="128" eb="130">
      <t>ヒツヨウ</t>
    </rPh>
    <phoneticPr fontId="2"/>
  </si>
  <si>
    <t>項目追加</t>
    <rPh sb="0" eb="4">
      <t>コウモクツイカ</t>
    </rPh>
    <phoneticPr fontId="2"/>
  </si>
  <si>
    <t>汎用区分1-5、出庫WRN1-3、入庫WRN1-3
（追加）
原産国、温度区分、メーカーを追加</t>
    <rPh sb="45" eb="47">
      <t>ツイカ</t>
    </rPh>
    <phoneticPr fontId="2"/>
  </si>
  <si>
    <t>汎用区分1-5、出庫WRN1-3、入庫WRN1-3
が無い</t>
    <rPh sb="0" eb="4">
      <t>ハンヨウクブン</t>
    </rPh>
    <rPh sb="8" eb="10">
      <t>シュッコ</t>
    </rPh>
    <rPh sb="17" eb="19">
      <t>ニュウコ</t>
    </rPh>
    <rPh sb="27" eb="28">
      <t>ナ</t>
    </rPh>
    <phoneticPr fontId="2"/>
  </si>
  <si>
    <t>10月中</t>
    <rPh sb="2" eb="4">
      <t>ガツチュウ</t>
    </rPh>
    <phoneticPr fontId="2"/>
  </si>
  <si>
    <t>一時保存ボタンがあれば、入力したところまで保存ができ、時間が経過しても後ほど続きが入力できる。
↓2024/9/19橋本
今回は対応しない</t>
    <rPh sb="0" eb="4">
      <t>イチジホゾン</t>
    </rPh>
    <rPh sb="12" eb="14">
      <t>ニュウリョク</t>
    </rPh>
    <rPh sb="21" eb="23">
      <t>ホゾン</t>
    </rPh>
    <rPh sb="27" eb="29">
      <t>ジカン</t>
    </rPh>
    <rPh sb="30" eb="32">
      <t>ケイカ</t>
    </rPh>
    <rPh sb="35" eb="36">
      <t>ノチ</t>
    </rPh>
    <rPh sb="38" eb="39">
      <t>ツヅ</t>
    </rPh>
    <rPh sb="41" eb="43">
      <t>ニュウリョク</t>
    </rPh>
    <rPh sb="58" eb="60">
      <t>ハシモト</t>
    </rPh>
    <rPh sb="61" eb="63">
      <t>コンカイ</t>
    </rPh>
    <rPh sb="64" eb="66">
      <t>タイオウ</t>
    </rPh>
    <phoneticPr fontId="2"/>
  </si>
  <si>
    <t>全体的に画面項目の見直し</t>
    <rPh sb="0" eb="3">
      <t>ゼンタイテキ</t>
    </rPh>
    <rPh sb="4" eb="8">
      <t>ガメンコウモク</t>
    </rPh>
    <rPh sb="9" eb="11">
      <t>ミナオ</t>
    </rPh>
    <phoneticPr fontId="2"/>
  </si>
  <si>
    <t>全体的にデザインの見直し</t>
    <rPh sb="0" eb="3">
      <t>ゼンタイテキ</t>
    </rPh>
    <rPh sb="9" eb="11">
      <t>ミナオ</t>
    </rPh>
    <phoneticPr fontId="2"/>
  </si>
  <si>
    <t>複数の商品登録が必要な場合、CSVファイルに入力、アップロードすることで登録できること
↓2024/9/19橋本
※マスタ系はCSVでの一括取込・一括出力の機能が必須です</t>
    <rPh sb="0" eb="2">
      <t>フクスウ</t>
    </rPh>
    <rPh sb="3" eb="7">
      <t>ショウヒントウロク</t>
    </rPh>
    <rPh sb="8" eb="10">
      <t>ヒツヨウ</t>
    </rPh>
    <rPh sb="11" eb="13">
      <t>バアイ</t>
    </rPh>
    <rPh sb="22" eb="24">
      <t>ニュウリョク</t>
    </rPh>
    <rPh sb="36" eb="38">
      <t>トウロク</t>
    </rPh>
    <rPh sb="54" eb="56">
      <t>ハシモト</t>
    </rPh>
    <rPh sb="61" eb="62">
      <t>ケイ</t>
    </rPh>
    <rPh sb="68" eb="72">
      <t>イッカツトリコミ</t>
    </rPh>
    <rPh sb="73" eb="75">
      <t>イッカツ</t>
    </rPh>
    <rPh sb="75" eb="77">
      <t>シュツリョク</t>
    </rPh>
    <rPh sb="78" eb="80">
      <t>キノウ</t>
    </rPh>
    <rPh sb="81" eb="83">
      <t>ヒッス</t>
    </rPh>
    <phoneticPr fontId="2"/>
  </si>
  <si>
    <t>大分類、中分類、小分類、住所詳細1（住所→住所詳細1）、住所詳細2、適用開始日、適用終了日
※基準日（各画面で基準が異なる）が適用開始日～適用終了日の範囲外の場合は表示しない。全部表示する場合だけ全部表示する。
（追加）
国、地域、法人番号</t>
    <rPh sb="0" eb="3">
      <t>ダイブンルイ</t>
    </rPh>
    <rPh sb="4" eb="7">
      <t>チュウブンルイ</t>
    </rPh>
    <rPh sb="8" eb="11">
      <t>ショウブンルイ</t>
    </rPh>
    <rPh sb="18" eb="20">
      <t>ジュウショ</t>
    </rPh>
    <rPh sb="21" eb="23">
      <t>ジュウショ</t>
    </rPh>
    <rPh sb="23" eb="25">
      <t>ショウサイ</t>
    </rPh>
    <rPh sb="28" eb="30">
      <t>ジュウショ</t>
    </rPh>
    <rPh sb="30" eb="32">
      <t>ショウサイ</t>
    </rPh>
    <rPh sb="34" eb="38">
      <t>テキヨウカイシ</t>
    </rPh>
    <rPh sb="38" eb="39">
      <t>ビ</t>
    </rPh>
    <rPh sb="40" eb="45">
      <t>テキヨウシュウリョウビ</t>
    </rPh>
    <rPh sb="47" eb="50">
      <t>キジュンビ</t>
    </rPh>
    <rPh sb="51" eb="54">
      <t>カクガメン</t>
    </rPh>
    <rPh sb="55" eb="57">
      <t>キジュン</t>
    </rPh>
    <rPh sb="58" eb="59">
      <t>コト</t>
    </rPh>
    <rPh sb="75" eb="78">
      <t>ハンイガイ</t>
    </rPh>
    <rPh sb="79" eb="81">
      <t>バアイ</t>
    </rPh>
    <rPh sb="82" eb="84">
      <t>ヒョウジ</t>
    </rPh>
    <rPh sb="88" eb="92">
      <t>ゼンブヒョウジ</t>
    </rPh>
    <rPh sb="94" eb="96">
      <t>バアイ</t>
    </rPh>
    <rPh sb="98" eb="100">
      <t>ゼンブ</t>
    </rPh>
    <rPh sb="100" eb="102">
      <t>ヒョウジ</t>
    </rPh>
    <rPh sb="107" eb="109">
      <t>ツイカ</t>
    </rPh>
    <rPh sb="111" eb="112">
      <t>クニ</t>
    </rPh>
    <rPh sb="113" eb="115">
      <t>チイキ</t>
    </rPh>
    <rPh sb="116" eb="120">
      <t>ホウジンバンゴウ</t>
    </rPh>
    <phoneticPr fontId="2"/>
  </si>
  <si>
    <t>縦横スクロールができるようになってほしい
↓2024/9/19橋本
スクロールバーを表示</t>
    <rPh sb="0" eb="2">
      <t>タテヨコ</t>
    </rPh>
    <rPh sb="31" eb="33">
      <t>ハシモト</t>
    </rPh>
    <rPh sb="42" eb="44">
      <t>ヒョウジ</t>
    </rPh>
    <phoneticPr fontId="2"/>
  </si>
  <si>
    <t>得意先マスタ</t>
    <phoneticPr fontId="2"/>
  </si>
  <si>
    <t>明細部の会社名が見える</t>
    <rPh sb="0" eb="3">
      <t>メイサイブ</t>
    </rPh>
    <rPh sb="4" eb="7">
      <t>カイシャメイ</t>
    </rPh>
    <rPh sb="8" eb="9">
      <t>ミ</t>
    </rPh>
    <phoneticPr fontId="2"/>
  </si>
  <si>
    <t>「得意先マスタ＞会社名」項目が見えないこと
↓2024/9/19橋本
明細部の項目を全て精査してください</t>
    <rPh sb="12" eb="14">
      <t>コウモク</t>
    </rPh>
    <rPh sb="32" eb="34">
      <t>ハシモト</t>
    </rPh>
    <rPh sb="35" eb="38">
      <t>メイサイブ</t>
    </rPh>
    <rPh sb="39" eb="41">
      <t>コウモク</t>
    </rPh>
    <rPh sb="42" eb="43">
      <t>スベ</t>
    </rPh>
    <rPh sb="44" eb="46">
      <t>セイサ</t>
    </rPh>
    <phoneticPr fontId="2"/>
  </si>
  <si>
    <t>[登録」ボタン押下の際、「カナ名称はカナでなくてはなりません」とメッセージが出てくるが、そもそもカナ入力の状態になってほしい
↓2024/9/19橋本
カナ名称がある全ての画面を精査してください
IMEで半角カナを設定してください
チェックは半角以外はエラーとしてください（半角英数字記号はOK）</t>
    <rPh sb="1" eb="3">
      <t>トウロク</t>
    </rPh>
    <rPh sb="7" eb="9">
      <t>オウカ</t>
    </rPh>
    <rPh sb="10" eb="11">
      <t>サイ</t>
    </rPh>
    <rPh sb="15" eb="17">
      <t>メイショウ</t>
    </rPh>
    <rPh sb="38" eb="39">
      <t>デ</t>
    </rPh>
    <rPh sb="50" eb="52">
      <t>ニュウリョク</t>
    </rPh>
    <rPh sb="53" eb="55">
      <t>ジョウタイ</t>
    </rPh>
    <rPh sb="73" eb="75">
      <t>ハシモト</t>
    </rPh>
    <rPh sb="78" eb="80">
      <t>メイショウ</t>
    </rPh>
    <rPh sb="83" eb="84">
      <t>スベ</t>
    </rPh>
    <rPh sb="86" eb="88">
      <t>ガメン</t>
    </rPh>
    <rPh sb="89" eb="91">
      <t>セイサ</t>
    </rPh>
    <rPh sb="102" eb="104">
      <t>ハンカク</t>
    </rPh>
    <rPh sb="107" eb="109">
      <t>セッテイ</t>
    </rPh>
    <rPh sb="121" eb="123">
      <t>ハンカク</t>
    </rPh>
    <rPh sb="123" eb="125">
      <t>イガイ</t>
    </rPh>
    <rPh sb="137" eb="139">
      <t>ハンカク</t>
    </rPh>
    <rPh sb="139" eb="142">
      <t>エイスウジ</t>
    </rPh>
    <rPh sb="142" eb="144">
      <t>キゴウ</t>
    </rPh>
    <phoneticPr fontId="2"/>
  </si>
  <si>
    <t>[登録」ボタン押下の際、「郵便番号（電話番号）は半角数字、ハイフンでなくてはなりません」とメッセージが出てくるが、そもそも「直接入力」状態に入力モードを自動で切り替えてほしい
↓2024/9/19橋本
IMEを設定してください</t>
    <rPh sb="1" eb="3">
      <t>トウロク</t>
    </rPh>
    <rPh sb="7" eb="9">
      <t>オウカ</t>
    </rPh>
    <rPh sb="10" eb="11">
      <t>サイ</t>
    </rPh>
    <rPh sb="13" eb="17">
      <t>ユウビンバンゴウ</t>
    </rPh>
    <rPh sb="18" eb="22">
      <t>デンワバンゴウ</t>
    </rPh>
    <rPh sb="24" eb="28">
      <t>ハンカクスウジ</t>
    </rPh>
    <rPh sb="51" eb="52">
      <t>デ</t>
    </rPh>
    <rPh sb="62" eb="64">
      <t>チョクセツ</t>
    </rPh>
    <rPh sb="64" eb="66">
      <t>ニュウリョク</t>
    </rPh>
    <rPh sb="67" eb="69">
      <t>ジョウタイ</t>
    </rPh>
    <rPh sb="70" eb="72">
      <t>ニュウリョク</t>
    </rPh>
    <rPh sb="76" eb="78">
      <t>ジドウ</t>
    </rPh>
    <rPh sb="79" eb="80">
      <t>キ</t>
    </rPh>
    <rPh sb="81" eb="82">
      <t>カ</t>
    </rPh>
    <rPh sb="98" eb="100">
      <t>ハシモト</t>
    </rPh>
    <rPh sb="105" eb="107">
      <t>セッテイ</t>
    </rPh>
    <phoneticPr fontId="2"/>
  </si>
  <si>
    <t>担当者名が数字とハイフンで構成されている場合もあるのでしょうか？
↓2024/9/19橋本
対応しない方針とします</t>
    <rPh sb="0" eb="4">
      <t>タントウシャメイ</t>
    </rPh>
    <rPh sb="5" eb="7">
      <t>スウジ</t>
    </rPh>
    <rPh sb="13" eb="15">
      <t>コウセイ</t>
    </rPh>
    <rPh sb="20" eb="22">
      <t>バアイ</t>
    </rPh>
    <rPh sb="43" eb="45">
      <t>ハシモト</t>
    </rPh>
    <rPh sb="46" eb="48">
      <t>タイオウ</t>
    </rPh>
    <rPh sb="51" eb="53">
      <t>ホウシン</t>
    </rPh>
    <phoneticPr fontId="2"/>
  </si>
  <si>
    <t>テナントの国による制御を意識してください</t>
    <rPh sb="5" eb="6">
      <t>クニ</t>
    </rPh>
    <rPh sb="9" eb="11">
      <t>セイギョ</t>
    </rPh>
    <rPh sb="12" eb="14">
      <t>イシキ</t>
    </rPh>
    <phoneticPr fontId="2"/>
  </si>
  <si>
    <t>正しい形式（3桁ハイフン4桁）で郵便番号が登録されていなければメッセージを出し知らせてほしい
都道府県や市区町村名称がひらがなだけということはありえない</t>
    <rPh sb="0" eb="1">
      <t>タダ</t>
    </rPh>
    <rPh sb="3" eb="5">
      <t>ケイシキ</t>
    </rPh>
    <rPh sb="7" eb="8">
      <t>ケタ</t>
    </rPh>
    <rPh sb="13" eb="14">
      <t>ケタ</t>
    </rPh>
    <rPh sb="16" eb="20">
      <t>ユウビンバンゴウ</t>
    </rPh>
    <rPh sb="21" eb="23">
      <t>トウロク</t>
    </rPh>
    <rPh sb="37" eb="38">
      <t>ダ</t>
    </rPh>
    <rPh sb="39" eb="40">
      <t>シ</t>
    </rPh>
    <rPh sb="47" eb="51">
      <t>トドウフケン</t>
    </rPh>
    <rPh sb="52" eb="56">
      <t>シクチョウソン</t>
    </rPh>
    <rPh sb="56" eb="58">
      <t>メイショウ</t>
    </rPh>
    <phoneticPr fontId="2"/>
  </si>
  <si>
    <t>郵便番号データダウンロード（https://www.post.japanpost.jp/zipcode/download.html）よりCSVダウンロード⇒あらかじめシステムに仕込んで置き、正しく郵便番号を入力した場合は途中までの住所が出てくるようになると登録作業が楽になる。
「住所」欄に地名（106-0031の場合「西麻布」）まで出ること
↓2024/9/19橋本
DBにダウンロードしなくて良いです。今まで通りAPIで良いです。</t>
    <rPh sb="88" eb="90">
      <t>シコ</t>
    </rPh>
    <rPh sb="92" eb="93">
      <t>オ</t>
    </rPh>
    <rPh sb="95" eb="96">
      <t>タダ</t>
    </rPh>
    <rPh sb="98" eb="102">
      <t>ユウビンバンゴウ</t>
    </rPh>
    <rPh sb="103" eb="105">
      <t>ニュウリョク</t>
    </rPh>
    <rPh sb="107" eb="109">
      <t>バアイ</t>
    </rPh>
    <rPh sb="110" eb="112">
      <t>トチュウ</t>
    </rPh>
    <rPh sb="115" eb="117">
      <t>ジュウショ</t>
    </rPh>
    <rPh sb="118" eb="119">
      <t>デ</t>
    </rPh>
    <rPh sb="128" eb="132">
      <t>トウロクサギョウ</t>
    </rPh>
    <rPh sb="133" eb="134">
      <t>ラク</t>
    </rPh>
    <rPh sb="140" eb="142">
      <t>ジュウショ</t>
    </rPh>
    <rPh sb="143" eb="144">
      <t>ラン</t>
    </rPh>
    <rPh sb="145" eb="147">
      <t>チメイ</t>
    </rPh>
    <rPh sb="157" eb="159">
      <t>バアイ</t>
    </rPh>
    <rPh sb="160" eb="163">
      <t>ニシアザブ</t>
    </rPh>
    <rPh sb="167" eb="168">
      <t>デ</t>
    </rPh>
    <rPh sb="182" eb="184">
      <t>ハシモト</t>
    </rPh>
    <rPh sb="198" eb="199">
      <t>イ</t>
    </rPh>
    <rPh sb="203" eb="204">
      <t>イマ</t>
    </rPh>
    <rPh sb="206" eb="207">
      <t>トオ</t>
    </rPh>
    <rPh sb="212" eb="213">
      <t>イ</t>
    </rPh>
    <phoneticPr fontId="2"/>
  </si>
  <si>
    <t>※今回のシステムで使用するAPIやライブラリ、ライセンス形態の一覧を作成してください</t>
    <rPh sb="1" eb="3">
      <t>コンカイ</t>
    </rPh>
    <rPh sb="9" eb="11">
      <t>シヨウ</t>
    </rPh>
    <rPh sb="28" eb="30">
      <t>ケイタイ</t>
    </rPh>
    <rPh sb="31" eb="33">
      <t>イチラン</t>
    </rPh>
    <rPh sb="34" eb="36">
      <t>サクセイ</t>
    </rPh>
    <phoneticPr fontId="2"/>
  </si>
  <si>
    <t>「1ページあたり□行」もしくは
「1ページあたり□明細」ではないか。
↓2024/9/19橋本
言語による項目の制御はプロパティファイルで行うと聞きましたが、運営のメニューに編集画面を用意してください（リポジトリの予定でしたがプロパティに変更）</t>
    <rPh sb="45" eb="47">
      <t>ハシモト</t>
    </rPh>
    <rPh sb="48" eb="50">
      <t>ゲンゴ</t>
    </rPh>
    <rPh sb="53" eb="55">
      <t>コウモク</t>
    </rPh>
    <rPh sb="56" eb="58">
      <t>セイギョ</t>
    </rPh>
    <rPh sb="69" eb="70">
      <t>オコナ</t>
    </rPh>
    <rPh sb="72" eb="73">
      <t>キ</t>
    </rPh>
    <rPh sb="79" eb="81">
      <t>ウンエイ</t>
    </rPh>
    <rPh sb="87" eb="91">
      <t>ヘンシュウガメン</t>
    </rPh>
    <rPh sb="92" eb="94">
      <t>ヨウイ</t>
    </rPh>
    <rPh sb="107" eb="109">
      <t>ヨテイ</t>
    </rPh>
    <rPh sb="119" eb="121">
      <t>ヘンコウ</t>
    </rPh>
    <phoneticPr fontId="2"/>
  </si>
  <si>
    <t>※全機能においてテナントの国による制御（チェック等を含む）を意識してください</t>
    <rPh sb="1" eb="4">
      <t>ゼンキノウ</t>
    </rPh>
    <rPh sb="13" eb="14">
      <t>クニ</t>
    </rPh>
    <rPh sb="17" eb="19">
      <t>セイギョ</t>
    </rPh>
    <rPh sb="24" eb="25">
      <t>トウ</t>
    </rPh>
    <rPh sb="26" eb="27">
      <t>フク</t>
    </rPh>
    <rPh sb="30" eb="32">
      <t>イシキ</t>
    </rPh>
    <phoneticPr fontId="2"/>
  </si>
  <si>
    <t>張</t>
    <rPh sb="0" eb="1">
      <t>チョウ</t>
    </rPh>
    <phoneticPr fontId="2"/>
  </si>
  <si>
    <t>要確認
デザイン改善ですので、しばらく対応不要で良いかと思います。</t>
    <rPh sb="0" eb="1">
      <t>ヨウ</t>
    </rPh>
    <rPh sb="1" eb="3">
      <t>カクニン</t>
    </rPh>
    <rPh sb="19" eb="21">
      <t>タイオウ</t>
    </rPh>
    <rPh sb="21" eb="23">
      <t>フヨウ</t>
    </rPh>
    <rPh sb="24" eb="25">
      <t>ヨ</t>
    </rPh>
    <rPh sb="28" eb="29">
      <t>オモ</t>
    </rPh>
    <phoneticPr fontId="2"/>
  </si>
  <si>
    <t>対応要
説明言葉を追記します。</t>
    <rPh sb="0" eb="2">
      <t>タイオウ</t>
    </rPh>
    <rPh sb="2" eb="3">
      <t>ヨウ</t>
    </rPh>
    <rPh sb="4" eb="6">
      <t>セツメイ</t>
    </rPh>
    <rPh sb="6" eb="8">
      <t>コトバ</t>
    </rPh>
    <rPh sb="9" eb="11">
      <t>ツイキ</t>
    </rPh>
    <phoneticPr fontId="2"/>
  </si>
  <si>
    <t>対応要
ロールは、下記の三つですので、今回は、一般ユーザーに修正します。
・admin（運用管理用アカウント）、システム設定関するものとなります。
・会社管理者、会社の管理のため、アカウント情報などの管理のためのユーザーになります。
・一般ユーザー、業務操作関するユーザーです。現在には、アカウント未提供、新規追加必要です。</t>
    <rPh sb="9" eb="11">
      <t>カキ</t>
    </rPh>
    <rPh sb="12" eb="13">
      <t>ミ</t>
    </rPh>
    <rPh sb="19" eb="21">
      <t>コンカイ</t>
    </rPh>
    <rPh sb="23" eb="25">
      <t>イッパン</t>
    </rPh>
    <rPh sb="30" eb="32">
      <t>シュウセイ</t>
    </rPh>
    <phoneticPr fontId="2"/>
  </si>
  <si>
    <t>要確認
理解できておりませんので、詳しいまでに教えていただけますでしょうか。
パスワード変更というものは、別画面で作るということですか。</t>
    <rPh sb="0" eb="1">
      <t>ヨウ</t>
    </rPh>
    <rPh sb="1" eb="3">
      <t>カクニン</t>
    </rPh>
    <rPh sb="4" eb="6">
      <t>リカイ</t>
    </rPh>
    <rPh sb="17" eb="18">
      <t>クワ</t>
    </rPh>
    <rPh sb="23" eb="24">
      <t>オシ</t>
    </rPh>
    <rPh sb="44" eb="46">
      <t>ヘンコウ</t>
    </rPh>
    <rPh sb="53" eb="54">
      <t>ベツ</t>
    </rPh>
    <rPh sb="54" eb="56">
      <t>ガメン</t>
    </rPh>
    <rPh sb="57" eb="58">
      <t>ツク</t>
    </rPh>
    <phoneticPr fontId="2"/>
  </si>
  <si>
    <t>対応要
１段階黒い色に設定します。</t>
    <rPh sb="0" eb="2">
      <t>タイオウ</t>
    </rPh>
    <rPh sb="2" eb="3">
      <t>ヨウ</t>
    </rPh>
    <rPh sb="5" eb="7">
      <t>ダンカイ</t>
    </rPh>
    <rPh sb="7" eb="8">
      <t>クロ</t>
    </rPh>
    <rPh sb="9" eb="10">
      <t>イロ</t>
    </rPh>
    <rPh sb="11" eb="13">
      <t>セッテイ</t>
    </rPh>
    <phoneticPr fontId="2"/>
  </si>
  <si>
    <t>対応要
スクロールバーを設定できるように調整します。</t>
    <rPh sb="12" eb="14">
      <t>セッテイ</t>
    </rPh>
    <rPh sb="20" eb="22">
      <t>チョウセイ</t>
    </rPh>
    <phoneticPr fontId="2"/>
  </si>
  <si>
    <t>要確認
メニューを隠して、画面を開くということですか。
タイトルを表示するのは、左上に表示しているタイトル「入荷明細」は「top＞入荷＞入荷予定照会＞入荷明細」にしてほしいですか。</t>
    <rPh sb="9" eb="10">
      <t>カク</t>
    </rPh>
    <rPh sb="13" eb="15">
      <t>ガメン</t>
    </rPh>
    <rPh sb="16" eb="17">
      <t>ヒラ</t>
    </rPh>
    <rPh sb="33" eb="35">
      <t>ヒョウジ</t>
    </rPh>
    <rPh sb="40" eb="41">
      <t>ヒダリ</t>
    </rPh>
    <rPh sb="41" eb="42">
      <t>ウエ</t>
    </rPh>
    <rPh sb="43" eb="45">
      <t>ヒョウジ</t>
    </rPh>
    <rPh sb="54" eb="56">
      <t>ニュウカ</t>
    </rPh>
    <rPh sb="56" eb="58">
      <t>メイサイ</t>
    </rPh>
    <phoneticPr fontId="2"/>
  </si>
  <si>
    <t>要確認
↑と同じです。</t>
    <rPh sb="6" eb="7">
      <t>オナ</t>
    </rPh>
    <phoneticPr fontId="2"/>
  </si>
  <si>
    <t>要確認
アイコンはどこに設定のを要確認です。
要らないかと思います。</t>
    <rPh sb="12" eb="14">
      <t>セッテイ</t>
    </rPh>
    <rPh sb="16" eb="17">
      <t>ヨウ</t>
    </rPh>
    <rPh sb="17" eb="19">
      <t>カクニン</t>
    </rPh>
    <rPh sb="23" eb="24">
      <t>イ</t>
    </rPh>
    <rPh sb="29" eb="30">
      <t>オモ</t>
    </rPh>
    <phoneticPr fontId="2"/>
  </si>
  <si>
    <t>要確認
ロケーションのバーコードのヘルプ説明の増加は可能ですが、橋本さんからのメニューにないので、修正必要なことはなんでしょうか。</t>
    <rPh sb="20" eb="22">
      <t>セツメイ</t>
    </rPh>
    <rPh sb="23" eb="25">
      <t>ゾウカ</t>
    </rPh>
    <rPh sb="26" eb="28">
      <t>カノウ</t>
    </rPh>
    <rPh sb="32" eb="34">
      <t>ハシモト</t>
    </rPh>
    <rPh sb="49" eb="51">
      <t>シュウセイ</t>
    </rPh>
    <rPh sb="51" eb="53">
      <t>ヒツヨウ</t>
    </rPh>
    <phoneticPr fontId="2"/>
  </si>
  <si>
    <t>要確認
あるべきですので、チャプチャーをご提供していただければと思います。</t>
    <rPh sb="21" eb="23">
      <t>テイキョウ</t>
    </rPh>
    <rPh sb="32" eb="33">
      <t>オモ</t>
    </rPh>
    <phoneticPr fontId="2"/>
  </si>
  <si>
    <t>対応要
出荷指示日よりも納入日が先（古い）場合、チェック処理を追加します。</t>
    <rPh sb="21" eb="23">
      <t>バアイ</t>
    </rPh>
    <rPh sb="28" eb="30">
      <t>ショリ</t>
    </rPh>
    <rPh sb="31" eb="33">
      <t>ツイカ</t>
    </rPh>
    <phoneticPr fontId="2"/>
  </si>
  <si>
    <t>要確認
カレンダーを表示しべきですが、表示していなかったんですか。チャプチャーをご提供していただければと思います。
こちらのエビデンスは別ファイル「No.20」をご参照ください。</t>
    <rPh sb="10" eb="12">
      <t>ヒョウジ</t>
    </rPh>
    <rPh sb="19" eb="21">
      <t>ヒョウジ</t>
    </rPh>
    <rPh sb="41" eb="43">
      <t>テイキョウ</t>
    </rPh>
    <rPh sb="52" eb="53">
      <t>オモ</t>
    </rPh>
    <rPh sb="68" eb="69">
      <t>ベツ</t>
    </rPh>
    <rPh sb="82" eb="84">
      <t>サンショウ</t>
    </rPh>
    <phoneticPr fontId="2"/>
  </si>
  <si>
    <t>対応要
横展開で、洗い出して、チェックおよび入力転換処理を追加します。</t>
    <rPh sb="0" eb="2">
      <t>タイオウ</t>
    </rPh>
    <rPh sb="2" eb="3">
      <t>ヨウ</t>
    </rPh>
    <rPh sb="4" eb="7">
      <t>ヨコテンカイ</t>
    </rPh>
    <rPh sb="9" eb="10">
      <t>アラ</t>
    </rPh>
    <rPh sb="11" eb="12">
      <t>ダ</t>
    </rPh>
    <rPh sb="22" eb="24">
      <t>ニュウリョク</t>
    </rPh>
    <rPh sb="24" eb="26">
      <t>テンカン</t>
    </rPh>
    <rPh sb="26" eb="28">
      <t>ショリ</t>
    </rPh>
    <rPh sb="29" eb="31">
      <t>ツイカ</t>
    </rPh>
    <phoneticPr fontId="2"/>
  </si>
  <si>
    <t>要確認</t>
    <phoneticPr fontId="2"/>
  </si>
  <si>
    <t>要確認
商品ポータルという画面を追加する予定で、そこに印刷できることように調整してもよろしいでしょうか。
　・メニューの追加（レベルに商品レベ　　　ル印刷可能）</t>
    <rPh sb="4" eb="6">
      <t>ショウヒン</t>
    </rPh>
    <rPh sb="13" eb="15">
      <t>ガメン</t>
    </rPh>
    <rPh sb="16" eb="18">
      <t>ツイカ</t>
    </rPh>
    <rPh sb="20" eb="22">
      <t>ヨテイ</t>
    </rPh>
    <rPh sb="27" eb="29">
      <t>インサツ</t>
    </rPh>
    <rPh sb="37" eb="39">
      <t>チョウセイ</t>
    </rPh>
    <rPh sb="61" eb="63">
      <t>ツイカ</t>
    </rPh>
    <rPh sb="68" eb="70">
      <t>ショウヒン</t>
    </rPh>
    <rPh sb="76" eb="78">
      <t>インサツ</t>
    </rPh>
    <rPh sb="78" eb="80">
      <t>カノウ</t>
    </rPh>
    <phoneticPr fontId="2"/>
  </si>
  <si>
    <t>全体的にデザインの見直し
・デザインと同じにしてほしい、なおお、クリックによりマウスを移動したら、メニューを表示してほしいです。</t>
    <rPh sb="0" eb="3">
      <t>ゼンタイテキ</t>
    </rPh>
    <rPh sb="9" eb="11">
      <t>ミナオ</t>
    </rPh>
    <phoneticPr fontId="2"/>
  </si>
  <si>
    <t>要確認
↓2024/10/04 橋本さん
後に検討</t>
    <rPh sb="16" eb="18">
      <t>ハシモト</t>
    </rPh>
    <rPh sb="21" eb="22">
      <t>アト</t>
    </rPh>
    <rPh sb="23" eb="25">
      <t>ケントウ</t>
    </rPh>
    <phoneticPr fontId="2"/>
  </si>
  <si>
    <t>要確認
ブラウザの「←」と「→」の制御で、操作不可にしてほしいです。</t>
    <rPh sb="17" eb="19">
      <t>セイギョ</t>
    </rPh>
    <rPh sb="21" eb="23">
      <t>ソウサ</t>
    </rPh>
    <rPh sb="23" eb="25">
      <t>フカ</t>
    </rPh>
    <phoneticPr fontId="2"/>
  </si>
  <si>
    <t>対応要
メニューとメニューの間が一定に設定します。
メニューのクローズボタンは左側にして、メニューは一番左側にして、マウスを移動すると、表示するように調整してほしいです。</t>
    <rPh sb="14" eb="15">
      <t>アイダ</t>
    </rPh>
    <rPh sb="16" eb="18">
      <t>イッテイ</t>
    </rPh>
    <rPh sb="19" eb="21">
      <t>セッテイ</t>
    </rPh>
    <rPh sb="39" eb="40">
      <t>ヒダリ</t>
    </rPh>
    <rPh sb="40" eb="41">
      <t>カワ</t>
    </rPh>
    <rPh sb="50" eb="52">
      <t>イチバン</t>
    </rPh>
    <rPh sb="52" eb="53">
      <t>ヒダリ</t>
    </rPh>
    <rPh sb="53" eb="54">
      <t>カワ</t>
    </rPh>
    <rPh sb="62" eb="64">
      <t>イドウ</t>
    </rPh>
    <rPh sb="68" eb="70">
      <t>ヒョウジ</t>
    </rPh>
    <rPh sb="75" eb="77">
      <t>チョウセイ</t>
    </rPh>
    <phoneticPr fontId="2"/>
  </si>
  <si>
    <t>対応要
保存しないとき、ログイン情報を保持しないようにします。</t>
    <rPh sb="4" eb="6">
      <t>ホゾン</t>
    </rPh>
    <rPh sb="16" eb="18">
      <t>ジョウホウ</t>
    </rPh>
    <rPh sb="19" eb="21">
      <t>ホジ</t>
    </rPh>
    <phoneticPr fontId="2"/>
  </si>
  <si>
    <t>対応要
マスタデータの一括導入機能は理解できました、対応します。</t>
    <rPh sb="0" eb="2">
      <t>タイオウ</t>
    </rPh>
    <rPh sb="2" eb="3">
      <t>ヨウ</t>
    </rPh>
    <rPh sb="11" eb="13">
      <t>イッカツ</t>
    </rPh>
    <rPh sb="13" eb="15">
      <t>ドウニュウ</t>
    </rPh>
    <rPh sb="15" eb="17">
      <t>キノウ</t>
    </rPh>
    <rPh sb="18" eb="20">
      <t>リカイ</t>
    </rPh>
    <rPh sb="26" eb="28">
      <t>タイオウ</t>
    </rPh>
    <phoneticPr fontId="2"/>
  </si>
  <si>
    <t>要確認
↓2024/10/04 橋本さんからの指示
入荷出荷などの機能画面はまず修正不要(修正時期再検討)で、まずマスタ画面の修正を実施します。</t>
    <rPh sb="16" eb="18">
      <t>ハシモト</t>
    </rPh>
    <rPh sb="23" eb="25">
      <t>シジ</t>
    </rPh>
    <rPh sb="26" eb="28">
      <t>ニュウカ</t>
    </rPh>
    <rPh sb="28" eb="30">
      <t>シュッカ</t>
    </rPh>
    <rPh sb="33" eb="37">
      <t>キノウガメン</t>
    </rPh>
    <rPh sb="40" eb="42">
      <t>シュウセイ</t>
    </rPh>
    <rPh sb="42" eb="44">
      <t>フヨウ</t>
    </rPh>
    <rPh sb="45" eb="47">
      <t>シュウセイ</t>
    </rPh>
    <rPh sb="47" eb="49">
      <t>ジキ</t>
    </rPh>
    <rPh sb="49" eb="52">
      <t>サイケントウ</t>
    </rPh>
    <rPh sb="60" eb="62">
      <t>ガメン</t>
    </rPh>
    <rPh sb="63" eb="65">
      <t>シュウセイ</t>
    </rPh>
    <rPh sb="66" eb="68">
      <t>ジッシ</t>
    </rPh>
    <phoneticPr fontId="2"/>
  </si>
  <si>
    <t>要確認
ライセンス管理に含めておりますので、仕様書をご添付して、もし不足がありましたら、ご指摘ください。
POTTS_設計書-902（ライセンス管理）.xlsx</t>
    <rPh sb="0" eb="1">
      <t>ヨウ</t>
    </rPh>
    <rPh sb="1" eb="3">
      <t>カクニン</t>
    </rPh>
    <rPh sb="9" eb="11">
      <t>カンリ</t>
    </rPh>
    <rPh sb="12" eb="13">
      <t>フク</t>
    </rPh>
    <rPh sb="22" eb="25">
      <t>シヨウショ</t>
    </rPh>
    <rPh sb="27" eb="29">
      <t>テンプ</t>
    </rPh>
    <rPh sb="34" eb="36">
      <t>フソク</t>
    </rPh>
    <rPh sb="45" eb="47">
      <t>シテキ</t>
    </rPh>
    <phoneticPr fontId="2"/>
  </si>
  <si>
    <t>対応要
組織コードは三階層までに制御するように対応します。</t>
    <rPh sb="4" eb="6">
      <t>ソシキ</t>
    </rPh>
    <rPh sb="10" eb="11">
      <t>サン</t>
    </rPh>
    <rPh sb="11" eb="13">
      <t>カイソウ</t>
    </rPh>
    <rPh sb="16" eb="18">
      <t>セイギョ</t>
    </rPh>
    <rPh sb="23" eb="25">
      <t>タイオウ</t>
    </rPh>
    <phoneticPr fontId="2"/>
  </si>
  <si>
    <t>対応要
ブラウザの「←」と「→」の制御で、操作不可にしてほしいです。</t>
    <rPh sb="0" eb="2">
      <t>タイオウ</t>
    </rPh>
    <rPh sb="2" eb="3">
      <t>ヨウ</t>
    </rPh>
    <phoneticPr fontId="2"/>
  </si>
  <si>
    <t>対応要
組織コード順で設定するように修正します。横展開で、ほかの画面も同様に対応します。
※横展開一覧のNo.１をご参照すること。</t>
    <rPh sb="4" eb="6">
      <t>ソシキ</t>
    </rPh>
    <rPh sb="9" eb="10">
      <t>ジュン</t>
    </rPh>
    <rPh sb="11" eb="13">
      <t>セッテイ</t>
    </rPh>
    <rPh sb="18" eb="20">
      <t>シュウセイ</t>
    </rPh>
    <rPh sb="24" eb="27">
      <t>ヨコテンカイ</t>
    </rPh>
    <rPh sb="32" eb="34">
      <t>ガメン</t>
    </rPh>
    <rPh sb="35" eb="37">
      <t>ドウヨウ</t>
    </rPh>
    <rPh sb="38" eb="40">
      <t>タイオウ</t>
    </rPh>
    <rPh sb="46" eb="51">
      <t>ヨコテンカイイチラン</t>
    </rPh>
    <rPh sb="58" eb="60">
      <t>サンショウ</t>
    </rPh>
    <phoneticPr fontId="2"/>
  </si>
  <si>
    <t>対応要
追加した内容で対応します。</t>
    <rPh sb="0" eb="2">
      <t>タイオウ</t>
    </rPh>
    <rPh sb="2" eb="3">
      <t>ヨウ</t>
    </rPh>
    <rPh sb="4" eb="6">
      <t>ツイカ</t>
    </rPh>
    <rPh sb="8" eb="10">
      <t>ナイヨウ</t>
    </rPh>
    <rPh sb="11" eb="13">
      <t>タイオウ</t>
    </rPh>
    <phoneticPr fontId="2"/>
  </si>
  <si>
    <t>対応要
No.6と重複、スクロールバーを追加します。</t>
    <rPh sb="9" eb="11">
      <t>ジュウフク</t>
    </rPh>
    <rPh sb="20" eb="22">
      <t>ツイカ</t>
    </rPh>
    <phoneticPr fontId="2"/>
  </si>
  <si>
    <t>対応要
カナチェックおよびIME等の設定を追加します。
※横展開一覧のNo.2を参照すること。</t>
    <rPh sb="16" eb="17">
      <t>ナド</t>
    </rPh>
    <rPh sb="18" eb="20">
      <t>セッテイ</t>
    </rPh>
    <rPh sb="21" eb="23">
      <t>ツイカ</t>
    </rPh>
    <rPh sb="29" eb="34">
      <t>ヨコテンカイイチラン</t>
    </rPh>
    <rPh sb="40" eb="42">
      <t>サンショウ</t>
    </rPh>
    <phoneticPr fontId="2"/>
  </si>
  <si>
    <t>対応要
No.37と重複、合わせて横展開で対応します。</t>
    <rPh sb="10" eb="12">
      <t>ジュウフク</t>
    </rPh>
    <rPh sb="13" eb="14">
      <t>ア</t>
    </rPh>
    <rPh sb="17" eb="20">
      <t>ヨコテンカイ</t>
    </rPh>
    <rPh sb="21" eb="23">
      <t>タイオウ</t>
    </rPh>
    <phoneticPr fontId="2"/>
  </si>
  <si>
    <t>対応要
No.37と類似、合わせて横展開で対応します。</t>
    <rPh sb="10" eb="12">
      <t>ルイジ</t>
    </rPh>
    <rPh sb="13" eb="14">
      <t>ア</t>
    </rPh>
    <rPh sb="17" eb="20">
      <t>ヨコテンカイ</t>
    </rPh>
    <rPh sb="21" eb="23">
      <t>タイオウ</t>
    </rPh>
    <phoneticPr fontId="2"/>
  </si>
  <si>
    <t>要確認
こちら側のPC端で確認すると、表示できているとなっておりますが、見えないエビデンスをご提供ください。</t>
    <rPh sb="0" eb="1">
      <t>ヨウ</t>
    </rPh>
    <rPh sb="1" eb="3">
      <t>カクニン</t>
    </rPh>
    <rPh sb="7" eb="8">
      <t>カワ</t>
    </rPh>
    <rPh sb="11" eb="12">
      <t>ハシ</t>
    </rPh>
    <rPh sb="13" eb="15">
      <t>カクニン</t>
    </rPh>
    <rPh sb="19" eb="21">
      <t>ヒョウジ</t>
    </rPh>
    <rPh sb="36" eb="37">
      <t>ミ</t>
    </rPh>
    <rPh sb="47" eb="49">
      <t>テイキョウ</t>
    </rPh>
    <phoneticPr fontId="2"/>
  </si>
  <si>
    <t>対応要
Ajaxの形で、外に向けのAPIを提供します。
※おそらく、flutterには該当になるようなライブラリがあるかもしれませんので、まず調査必要。</t>
    <rPh sb="9" eb="10">
      <t>カタチ</t>
    </rPh>
    <rPh sb="12" eb="13">
      <t>ソト</t>
    </rPh>
    <rPh sb="14" eb="15">
      <t>ム</t>
    </rPh>
    <rPh sb="21" eb="23">
      <t>テイキョウ</t>
    </rPh>
    <rPh sb="43" eb="45">
      <t>ガイトウ</t>
    </rPh>
    <rPh sb="71" eb="73">
      <t>チョウサ</t>
    </rPh>
    <rPh sb="73" eb="75">
      <t>ヒツヨウ</t>
    </rPh>
    <phoneticPr fontId="2"/>
  </si>
  <si>
    <t>対応要
スキャンできるように対応します。</t>
    <rPh sb="14" eb="16">
      <t>タイオウ</t>
    </rPh>
    <phoneticPr fontId="2"/>
  </si>
  <si>
    <t>要確認
行⇒明細の修正は対応します。
言語の項目は、プロパティに設定しておりますが、編集画面に対応可能かどうかをご検討します。</t>
    <rPh sb="0" eb="1">
      <t>ヨウ</t>
    </rPh>
    <rPh sb="1" eb="3">
      <t>カクニン</t>
    </rPh>
    <rPh sb="4" eb="5">
      <t>ギョウ</t>
    </rPh>
    <rPh sb="6" eb="8">
      <t>メイサイ</t>
    </rPh>
    <rPh sb="9" eb="11">
      <t>シュウセイ</t>
    </rPh>
    <rPh sb="12" eb="14">
      <t>タイオウ</t>
    </rPh>
    <rPh sb="19" eb="21">
      <t>ゲンゴ</t>
    </rPh>
    <rPh sb="22" eb="24">
      <t>コウモク</t>
    </rPh>
    <rPh sb="32" eb="34">
      <t>セッテイ</t>
    </rPh>
    <rPh sb="42" eb="44">
      <t>ヘンシュウ</t>
    </rPh>
    <rPh sb="44" eb="46">
      <t>ガメン</t>
    </rPh>
    <rPh sb="47" eb="49">
      <t>タイオウ</t>
    </rPh>
    <rPh sb="49" eb="51">
      <t>カノウ</t>
    </rPh>
    <rPh sb="57" eb="59">
      <t>ケントウ</t>
    </rPh>
    <phoneticPr fontId="2"/>
  </si>
  <si>
    <t>要確認
PC：ファイルを選択して開くになりますが、ＳＰ側はカメラを起動して、撮影するはずかと思いまして、エビデンスをご提供ください。</t>
    <rPh sb="0" eb="1">
      <t>ヨウ</t>
    </rPh>
    <rPh sb="1" eb="3">
      <t>カクニン</t>
    </rPh>
    <rPh sb="12" eb="14">
      <t>センタク</t>
    </rPh>
    <rPh sb="16" eb="17">
      <t>ヒラ</t>
    </rPh>
    <rPh sb="27" eb="28">
      <t>ガワ</t>
    </rPh>
    <rPh sb="33" eb="35">
      <t>キドウ</t>
    </rPh>
    <rPh sb="46" eb="47">
      <t>オモ</t>
    </rPh>
    <rPh sb="59" eb="61">
      <t>テイキョウ</t>
    </rPh>
    <phoneticPr fontId="2"/>
  </si>
  <si>
    <t>要確認
商品単価マスタは４次開発対象で、今回の対象ではありません。</t>
    <rPh sb="13" eb="14">
      <t>ジ</t>
    </rPh>
    <rPh sb="14" eb="16">
      <t>カイハツ</t>
    </rPh>
    <rPh sb="16" eb="18">
      <t>タイショウ</t>
    </rPh>
    <rPh sb="20" eb="22">
      <t>コンカイ</t>
    </rPh>
    <rPh sb="23" eb="25">
      <t>タイショウ</t>
    </rPh>
    <phoneticPr fontId="2"/>
  </si>
  <si>
    <t>要確認
得意先商品マスタは2次開発対象で、今回の対象ではありません。</t>
    <rPh sb="14" eb="15">
      <t>ジ</t>
    </rPh>
    <rPh sb="15" eb="17">
      <t>カイハツ</t>
    </rPh>
    <rPh sb="17" eb="19">
      <t>タイショウ</t>
    </rPh>
    <rPh sb="21" eb="23">
      <t>コンカイ</t>
    </rPh>
    <rPh sb="24" eb="26">
      <t>タイショウ</t>
    </rPh>
    <phoneticPr fontId="2"/>
  </si>
  <si>
    <t>要確認
仕入先別商品マスタは2次開発対象で、今回の対象ではありません。</t>
    <rPh sb="15" eb="16">
      <t>ジ</t>
    </rPh>
    <rPh sb="16" eb="18">
      <t>カイハツ</t>
    </rPh>
    <rPh sb="18" eb="20">
      <t>タイショウ</t>
    </rPh>
    <rPh sb="22" eb="24">
      <t>コンカイ</t>
    </rPh>
    <rPh sb="25" eb="27">
      <t>タイショウ</t>
    </rPh>
    <phoneticPr fontId="2"/>
  </si>
  <si>
    <t>要確認
14-4機能一覧には、該当機能はありませんので、新規追加対象になりますか。</t>
    <rPh sb="15" eb="17">
      <t>ガイトウ</t>
    </rPh>
    <rPh sb="17" eb="19">
      <t>キノウ</t>
    </rPh>
    <rPh sb="28" eb="30">
      <t>シンキ</t>
    </rPh>
    <rPh sb="30" eb="32">
      <t>ツイカ</t>
    </rPh>
    <rPh sb="32" eb="34">
      <t>タイショウ</t>
    </rPh>
    <phoneticPr fontId="2"/>
  </si>
  <si>
    <t>要確認
得意先納入先別商品単価マスタは４次開発対象で、今回の対象ではありません。</t>
    <rPh sb="20" eb="21">
      <t>ジ</t>
    </rPh>
    <rPh sb="21" eb="23">
      <t>カイハツ</t>
    </rPh>
    <rPh sb="23" eb="25">
      <t>タイショウ</t>
    </rPh>
    <rPh sb="27" eb="29">
      <t>コンカイ</t>
    </rPh>
    <rPh sb="30" eb="32">
      <t>タイショウ</t>
    </rPh>
    <phoneticPr fontId="2"/>
  </si>
  <si>
    <t>要確認
仕入先商品単価マスタは４次開発対象で、今回の対象ではありません。</t>
    <rPh sb="16" eb="17">
      <t>ジ</t>
    </rPh>
    <rPh sb="17" eb="19">
      <t>カイハツ</t>
    </rPh>
    <rPh sb="19" eb="21">
      <t>タイショウ</t>
    </rPh>
    <rPh sb="23" eb="25">
      <t>コンカイ</t>
    </rPh>
    <rPh sb="26" eb="28">
      <t>タイショウ</t>
    </rPh>
    <phoneticPr fontId="2"/>
  </si>
  <si>
    <t>要確認
商品荷姿マスタは４次開発対象で、今回の対象ではありません。</t>
    <rPh sb="13" eb="14">
      <t>ジ</t>
    </rPh>
    <rPh sb="14" eb="16">
      <t>カイハツ</t>
    </rPh>
    <rPh sb="16" eb="18">
      <t>タイショウ</t>
    </rPh>
    <rPh sb="20" eb="22">
      <t>コンカイ</t>
    </rPh>
    <rPh sb="23" eb="25">
      <t>タイショウ</t>
    </rPh>
    <phoneticPr fontId="2"/>
  </si>
  <si>
    <t>要確認
商品構成マスタは４次開発対象で、今回の対象ではありません。</t>
    <rPh sb="13" eb="14">
      <t>ジ</t>
    </rPh>
    <rPh sb="14" eb="16">
      <t>カイハツ</t>
    </rPh>
    <rPh sb="16" eb="18">
      <t>タイショウ</t>
    </rPh>
    <rPh sb="20" eb="22">
      <t>コンカイ</t>
    </rPh>
    <rPh sb="23" eb="25">
      <t>タイショウ</t>
    </rPh>
    <phoneticPr fontId="2"/>
  </si>
  <si>
    <t>要確認
セット出荷マスタは４次開発対象で、今回の対象ではありません。</t>
    <rPh sb="14" eb="15">
      <t>ジ</t>
    </rPh>
    <rPh sb="15" eb="17">
      <t>カイハツ</t>
    </rPh>
    <rPh sb="17" eb="19">
      <t>タイショウ</t>
    </rPh>
    <rPh sb="21" eb="23">
      <t>コンカイ</t>
    </rPh>
    <rPh sb="24" eb="26">
      <t>タイショウ</t>
    </rPh>
    <phoneticPr fontId="2"/>
  </si>
  <si>
    <t>別途回答
開発環境で確認して、別途回答します。</t>
    <rPh sb="0" eb="2">
      <t>ベット</t>
    </rPh>
    <rPh sb="2" eb="4">
      <t>カイトウ</t>
    </rPh>
    <rPh sb="5" eb="7">
      <t>カイハツ</t>
    </rPh>
    <rPh sb="7" eb="9">
      <t>カンキョウ</t>
    </rPh>
    <rPh sb="10" eb="12">
      <t>カクニン</t>
    </rPh>
    <rPh sb="15" eb="17">
      <t>ベット</t>
    </rPh>
    <rPh sb="17" eb="19">
      <t>カイトウ</t>
    </rPh>
    <phoneticPr fontId="2"/>
  </si>
  <si>
    <t>要確認
月次評価単価は４次開発対象で、今回の対象ではありません。</t>
    <rPh sb="12" eb="13">
      <t>ジ</t>
    </rPh>
    <rPh sb="13" eb="15">
      <t>カイハツ</t>
    </rPh>
    <rPh sb="15" eb="17">
      <t>タイショウ</t>
    </rPh>
    <rPh sb="19" eb="21">
      <t>コンカイ</t>
    </rPh>
    <rPh sb="22" eb="24">
      <t>タイショウ</t>
    </rPh>
    <phoneticPr fontId="2"/>
  </si>
  <si>
    <t>要確認
見積書および機能一覧に含めておりますが、仕様の確認必要です。</t>
    <rPh sb="4" eb="6">
      <t>ミツモリ</t>
    </rPh>
    <rPh sb="6" eb="7">
      <t>ショ</t>
    </rPh>
    <rPh sb="10" eb="12">
      <t>キノウ</t>
    </rPh>
    <rPh sb="12" eb="14">
      <t>イチラン</t>
    </rPh>
    <rPh sb="15" eb="16">
      <t>フク</t>
    </rPh>
    <rPh sb="24" eb="26">
      <t>シヨウ</t>
    </rPh>
    <rPh sb="27" eb="29">
      <t>カクニン</t>
    </rPh>
    <rPh sb="29" eb="31">
      <t>ヒツヨウ</t>
    </rPh>
    <phoneticPr fontId="2"/>
  </si>
  <si>
    <t>要確認
あると思いますが、仕様書は下記のファイルをご参照ください。
No.58_POTTS_設計書-611（メッセージマスタ管理）.xlsx</t>
    <rPh sb="7" eb="8">
      <t>オモ</t>
    </rPh>
    <rPh sb="13" eb="16">
      <t>シヨウショ</t>
    </rPh>
    <rPh sb="17" eb="19">
      <t>カキ</t>
    </rPh>
    <rPh sb="26" eb="28">
      <t>サンショウ</t>
    </rPh>
    <phoneticPr fontId="2"/>
  </si>
  <si>
    <t>要確認
採番は、自動採番ですが、ご添付資料の「No.62_マスタコード体系／一覧.xlsx」のシート「コード体系」に記載されて内容はマスタ化にすることですか。</t>
    <rPh sb="4" eb="6">
      <t>サイバン</t>
    </rPh>
    <rPh sb="8" eb="10">
      <t>ジドウ</t>
    </rPh>
    <rPh sb="10" eb="12">
      <t>サイバン</t>
    </rPh>
    <rPh sb="17" eb="19">
      <t>テンプ</t>
    </rPh>
    <rPh sb="19" eb="21">
      <t>シリョウ</t>
    </rPh>
    <rPh sb="58" eb="60">
      <t>キサイ</t>
    </rPh>
    <rPh sb="63" eb="65">
      <t>ナイヨウ</t>
    </rPh>
    <rPh sb="69" eb="70">
      <t>カ</t>
    </rPh>
    <phoneticPr fontId="2"/>
  </si>
  <si>
    <t>別途回答
No.59と同じ、開発環境で確認して、別途回答します。</t>
    <rPh sb="0" eb="2">
      <t>ベット</t>
    </rPh>
    <rPh sb="2" eb="4">
      <t>カイトウ</t>
    </rPh>
    <rPh sb="11" eb="12">
      <t>オナ</t>
    </rPh>
    <rPh sb="14" eb="16">
      <t>カイハツ</t>
    </rPh>
    <rPh sb="16" eb="18">
      <t>カンキョウ</t>
    </rPh>
    <rPh sb="19" eb="21">
      <t>カクニン</t>
    </rPh>
    <rPh sb="24" eb="26">
      <t>ベット</t>
    </rPh>
    <rPh sb="26" eb="28">
      <t>カイトウ</t>
    </rPh>
    <phoneticPr fontId="2"/>
  </si>
  <si>
    <t>要確認
マスタ編集は３次開発対象で、今回の対象ではありません。</t>
    <rPh sb="11" eb="12">
      <t>ジ</t>
    </rPh>
    <rPh sb="12" eb="14">
      <t>カイハツ</t>
    </rPh>
    <rPh sb="14" eb="16">
      <t>タイショウ</t>
    </rPh>
    <rPh sb="18" eb="20">
      <t>コンカイ</t>
    </rPh>
    <rPh sb="21" eb="23">
      <t>タイショウ</t>
    </rPh>
    <phoneticPr fontId="2"/>
  </si>
  <si>
    <t>別途回答
帳票編集は画面により対応可能ですが、開発環境で確認して、別途回答します。</t>
    <rPh sb="0" eb="2">
      <t>ベット</t>
    </rPh>
    <rPh sb="2" eb="4">
      <t>カイトウ</t>
    </rPh>
    <rPh sb="5" eb="7">
      <t>チョウヒョウ</t>
    </rPh>
    <rPh sb="7" eb="9">
      <t>ヘンシュウ</t>
    </rPh>
    <rPh sb="10" eb="12">
      <t>ガメン</t>
    </rPh>
    <rPh sb="15" eb="17">
      <t>タイオウ</t>
    </rPh>
    <rPh sb="17" eb="19">
      <t>カノウ</t>
    </rPh>
    <rPh sb="23" eb="25">
      <t>カイハツ</t>
    </rPh>
    <rPh sb="25" eb="27">
      <t>カンキョウ</t>
    </rPh>
    <rPh sb="28" eb="30">
      <t>カクニン</t>
    </rPh>
    <rPh sb="33" eb="35">
      <t>ベット</t>
    </rPh>
    <rPh sb="35" eb="37">
      <t>カイトウ</t>
    </rPh>
    <phoneticPr fontId="2"/>
  </si>
  <si>
    <t>要確認
画面編集は３次開発対象で、今回の対象ではありません。</t>
    <rPh sb="10" eb="11">
      <t>ジ</t>
    </rPh>
    <rPh sb="11" eb="13">
      <t>カイハツ</t>
    </rPh>
    <rPh sb="13" eb="15">
      <t>タイショウ</t>
    </rPh>
    <rPh sb="17" eb="19">
      <t>コンカイ</t>
    </rPh>
    <rPh sb="20" eb="22">
      <t>タイショウ</t>
    </rPh>
    <phoneticPr fontId="2"/>
  </si>
  <si>
    <t>要確認
アイコン編集は３次開発対象で、今回の対象ではありません。</t>
    <rPh sb="12" eb="13">
      <t>ジ</t>
    </rPh>
    <rPh sb="13" eb="15">
      <t>カイハツ</t>
    </rPh>
    <rPh sb="15" eb="17">
      <t>タイショウ</t>
    </rPh>
    <rPh sb="19" eb="21">
      <t>コンカイ</t>
    </rPh>
    <rPh sb="22" eb="24">
      <t>タイショウ</t>
    </rPh>
    <phoneticPr fontId="2"/>
  </si>
  <si>
    <t>要確認
運営と関する処理はあるんですが、10月には橋本さんとの打ち合わせにより、再度調整することは必要になります。
パス：https://potts.biz-x.app/loginRegister</t>
    <rPh sb="0" eb="3">
      <t>ヨウカクニン</t>
    </rPh>
    <rPh sb="4" eb="6">
      <t>ウンエイ</t>
    </rPh>
    <rPh sb="7" eb="8">
      <t>カン</t>
    </rPh>
    <rPh sb="10" eb="12">
      <t>ショリ</t>
    </rPh>
    <rPh sb="22" eb="23">
      <t>ガツ</t>
    </rPh>
    <rPh sb="25" eb="27">
      <t>ハシモト</t>
    </rPh>
    <rPh sb="31" eb="32">
      <t>ウ</t>
    </rPh>
    <rPh sb="33" eb="34">
      <t>ア</t>
    </rPh>
    <rPh sb="40" eb="42">
      <t>サイド</t>
    </rPh>
    <rPh sb="42" eb="44">
      <t>チョウセイ</t>
    </rPh>
    <rPh sb="49" eb="51">
      <t>ヒツヨウ</t>
    </rPh>
    <phoneticPr fontId="2"/>
  </si>
  <si>
    <t>要確認
No.23と重複していると認識しておりますが、具体的な内容をご教示ください。</t>
    <rPh sb="10" eb="12">
      <t>ジュウフク</t>
    </rPh>
    <rPh sb="17" eb="19">
      <t>ニンシキ</t>
    </rPh>
    <rPh sb="27" eb="30">
      <t>グタイテキ</t>
    </rPh>
    <rPh sb="31" eb="33">
      <t>ナイヨウ</t>
    </rPh>
    <rPh sb="35" eb="37">
      <t>キョウジ</t>
    </rPh>
    <phoneticPr fontId="2"/>
  </si>
  <si>
    <t>対応要
追加内容で対応します。</t>
    <rPh sb="0" eb="2">
      <t>タイオウ</t>
    </rPh>
    <rPh sb="2" eb="3">
      <t>ヨウ</t>
    </rPh>
    <rPh sb="4" eb="6">
      <t>ツイカ</t>
    </rPh>
    <rPh sb="6" eb="8">
      <t>ナイヨウ</t>
    </rPh>
    <rPh sb="9" eb="11">
      <t>タイオウ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</si>
</sst>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yyyy/mm/dd"/>
    <numFmt numFmtId="177" formatCode="_([$¥-411]* #,##0.00_);_([$¥-411]* \(#,##0.00\);_([$¥-411]* &quot;-&quot;??_);_(@_)"/>
  </numFmts>
  <fonts count="10" x14ac:knownFonts="1">
    <font>
      <sz val="10"/>
      <color rgb="FF000000"/>
      <name val="Arial"/>
      <scheme val="minor"/>
    </font>
    <font>
      <sz val="10"/>
      <color theme="1"/>
      <name val="Arial"/>
      <family val="2"/>
    </font>
    <font>
      <sz val="6"/>
      <name val="Arial"/>
      <family val="3"/>
      <charset val="128"/>
      <scheme val="minor"/>
    </font>
    <font>
      <b/>
      <sz val="10"/>
      <color rgb="FF000000"/>
      <name val="游ゴシック"/>
      <family val="3"/>
      <charset val="128"/>
    </font>
    <font>
      <sz val="10"/>
      <color rgb="FF000000"/>
      <name val="游ゴシック"/>
      <family val="3"/>
      <charset val="128"/>
    </font>
    <font>
      <sz val="10"/>
      <color theme="1"/>
      <name val="游ゴシック"/>
      <family val="3"/>
      <charset val="128"/>
    </font>
    <font>
      <b/>
      <sz val="10"/>
      <color theme="1"/>
      <name val="游ゴシック"/>
      <family val="3"/>
      <charset val="128"/>
    </font>
    <font>
      <sz val="10"/>
      <name val="游ゴシック"/>
      <family val="3"/>
      <charset val="128"/>
    </font>
    <font>
      <sz val="10"/>
      <color rgb="FFFFFFFF"/>
      <name val="游ゴシック"/>
      <family val="3"/>
      <charset val="128"/>
    </font>
    <font>
      <strike/>
      <sz val="10"/>
      <color theme="1"/>
      <name val="游ゴシック"/>
      <family val="3"/>
      <charset val="128"/>
    </font>
  </fonts>
  <fills count="9">
    <fill>
      <patternFill patternType="none"/>
    </fill>
    <fill>
      <patternFill patternType="gray125"/>
    </fill>
    <fill>
      <patternFill patternType="solid">
        <fgColor rgb="FFB6D7A8"/>
        <bgColor rgb="FFB6D7A8"/>
      </patternFill>
    </fill>
    <fill>
      <patternFill patternType="solid">
        <fgColor rgb="FFFBD4B4"/>
        <bgColor rgb="FFFBD4B4"/>
      </patternFill>
    </fill>
    <fill>
      <patternFill patternType="solid">
        <fgColor rgb="FFA4C2F4"/>
        <bgColor rgb="FFA4C2F4"/>
      </patternFill>
    </fill>
    <fill>
      <patternFill patternType="solid">
        <fgColor rgb="FFFF00FF"/>
        <bgColor rgb="FFFF00FF"/>
      </patternFill>
    </fill>
    <fill>
      <patternFill patternType="solid">
        <fgColor rgb="FFFF0000"/>
        <bgColor rgb="FFFF0000"/>
      </patternFill>
    </fill>
    <fill>
      <patternFill patternType="solid">
        <fgColor rgb="FFFFD966"/>
        <bgColor rgb="FFFFD966"/>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61">
    <xf numFmtId="0" fontId="0" fillId="0" borderId="0" xfId="0"/>
    <xf numFmtId="0" fontId="1" fillId="2" borderId="1" xfId="0" applyFont="1" applyFill="1" applyBorder="1"/>
    <xf numFmtId="0" fontId="1" fillId="0" borderId="1" xfId="0" applyFont="1" applyBorder="1"/>
    <xf numFmtId="0" fontId="1" fillId="0" borderId="0" xfId="0" applyFont="1"/>
    <xf numFmtId="0" fontId="3" fillId="0" borderId="0" xfId="0" applyFont="1"/>
    <xf numFmtId="0" fontId="4" fillId="0" borderId="0" xfId="0" applyFont="1"/>
    <xf numFmtId="0" fontId="5" fillId="0" borderId="0" xfId="0" applyFont="1" applyAlignment="1">
      <alignment vertical="top" wrapText="1"/>
    </xf>
    <xf numFmtId="0" fontId="4" fillId="0" borderId="0" xfId="0" applyFont="1" applyAlignment="1">
      <alignment horizontal="left" vertical="top" wrapText="1"/>
    </xf>
    <xf numFmtId="0" fontId="4" fillId="0" borderId="0" xfId="0" applyFont="1" applyAlignment="1">
      <alignment vertical="top" wrapText="1"/>
    </xf>
    <xf numFmtId="0" fontId="5" fillId="0" borderId="0" xfId="0" applyFont="1" applyAlignment="1">
      <alignment wrapText="1"/>
    </xf>
    <xf numFmtId="0" fontId="5" fillId="0" borderId="0" xfId="0" applyFont="1" applyAlignment="1">
      <alignment horizontal="left"/>
    </xf>
    <xf numFmtId="0" fontId="5" fillId="0" borderId="0" xfId="0" applyFont="1"/>
    <xf numFmtId="0" fontId="6" fillId="2" borderId="2" xfId="0" applyFont="1" applyFill="1" applyBorder="1"/>
    <xf numFmtId="0" fontId="5" fillId="2" borderId="3" xfId="0" applyFont="1" applyFill="1" applyBorder="1"/>
    <xf numFmtId="0" fontId="5" fillId="2" borderId="3" xfId="0" applyFont="1" applyFill="1" applyBorder="1" applyAlignment="1">
      <alignment vertical="top" wrapText="1"/>
    </xf>
    <xf numFmtId="0" fontId="5" fillId="2" borderId="3" xfId="0" applyFont="1" applyFill="1" applyBorder="1" applyAlignment="1">
      <alignment horizontal="left" vertical="top" wrapText="1"/>
    </xf>
    <xf numFmtId="0" fontId="5" fillId="2" borderId="3" xfId="0" applyFont="1" applyFill="1" applyBorder="1" applyAlignment="1">
      <alignment wrapText="1"/>
    </xf>
    <xf numFmtId="0" fontId="5" fillId="2" borderId="3" xfId="0" applyFont="1" applyFill="1" applyBorder="1" applyAlignment="1">
      <alignment horizontal="left"/>
    </xf>
    <xf numFmtId="0" fontId="5" fillId="2" borderId="1" xfId="0" applyFont="1" applyFill="1" applyBorder="1"/>
    <xf numFmtId="0" fontId="5" fillId="2" borderId="1" xfId="0" applyFont="1" applyFill="1" applyBorder="1" applyAlignment="1">
      <alignment wrapText="1"/>
    </xf>
    <xf numFmtId="0" fontId="5" fillId="4" borderId="1" xfId="0" applyFont="1" applyFill="1" applyBorder="1"/>
    <xf numFmtId="0" fontId="5" fillId="4" borderId="1" xfId="0" applyFont="1" applyFill="1" applyBorder="1" applyAlignment="1">
      <alignment vertical="top" wrapText="1"/>
    </xf>
    <xf numFmtId="0" fontId="5" fillId="4" borderId="1" xfId="0" applyFont="1" applyFill="1" applyBorder="1" applyAlignment="1">
      <alignment horizontal="left" vertical="top" wrapText="1"/>
    </xf>
    <xf numFmtId="0" fontId="5" fillId="4" borderId="1" xfId="0" applyFont="1" applyFill="1" applyBorder="1" applyAlignment="1">
      <alignment wrapText="1"/>
    </xf>
    <xf numFmtId="0" fontId="5" fillId="4" borderId="1" xfId="0" applyFont="1" applyFill="1" applyBorder="1" applyAlignment="1">
      <alignment horizontal="left"/>
    </xf>
    <xf numFmtId="0" fontId="5" fillId="5" borderId="1" xfId="0" applyFont="1" applyFill="1" applyBorder="1"/>
    <xf numFmtId="0" fontId="8" fillId="6" borderId="7" xfId="0" applyFont="1" applyFill="1" applyBorder="1" applyAlignment="1">
      <alignment horizontal="left"/>
    </xf>
    <xf numFmtId="0" fontId="8" fillId="6" borderId="8" xfId="0" applyFont="1" applyFill="1" applyBorder="1" applyAlignment="1">
      <alignment horizontal="left"/>
    </xf>
    <xf numFmtId="0" fontId="8" fillId="6" borderId="8" xfId="0" applyFont="1" applyFill="1" applyBorder="1" applyAlignment="1">
      <alignment horizontal="left" vertical="top"/>
    </xf>
    <xf numFmtId="0" fontId="8" fillId="6" borderId="9" xfId="0" applyFont="1" applyFill="1" applyBorder="1" applyAlignment="1">
      <alignment horizontal="left"/>
    </xf>
    <xf numFmtId="0" fontId="5" fillId="0" borderId="1" xfId="0" applyFont="1" applyBorder="1"/>
    <xf numFmtId="0" fontId="5" fillId="0" borderId="1" xfId="0" applyFont="1" applyBorder="1" applyAlignment="1">
      <alignment wrapText="1"/>
    </xf>
    <xf numFmtId="0" fontId="5" fillId="0" borderId="1" xfId="0" applyFont="1" applyBorder="1" applyAlignment="1">
      <alignment vertical="top" wrapText="1"/>
    </xf>
    <xf numFmtId="0" fontId="5" fillId="0" borderId="1" xfId="0" applyFont="1" applyBorder="1" applyAlignment="1">
      <alignment horizontal="left" vertical="top" wrapText="1"/>
    </xf>
    <xf numFmtId="0" fontId="5" fillId="0" borderId="1" xfId="0" applyFont="1" applyBorder="1" applyAlignment="1">
      <alignment horizontal="left"/>
    </xf>
    <xf numFmtId="9" fontId="5" fillId="0" borderId="1" xfId="0" applyNumberFormat="1" applyFont="1" applyBorder="1" applyAlignment="1">
      <alignment horizontal="left" vertical="top" wrapText="1"/>
    </xf>
    <xf numFmtId="176" fontId="5" fillId="0" borderId="1" xfId="0" applyNumberFormat="1" applyFont="1" applyBorder="1" applyAlignment="1">
      <alignment horizontal="left" vertical="top" wrapText="1"/>
    </xf>
    <xf numFmtId="14" fontId="4" fillId="0" borderId="10" xfId="0" applyNumberFormat="1" applyFont="1" applyBorder="1" applyAlignment="1">
      <alignment horizontal="right"/>
    </xf>
    <xf numFmtId="0" fontId="4" fillId="0" borderId="9" xfId="0" applyFont="1" applyBorder="1" applyAlignment="1">
      <alignment horizontal="left"/>
    </xf>
    <xf numFmtId="0" fontId="4" fillId="0" borderId="9" xfId="0" applyFont="1" applyBorder="1"/>
    <xf numFmtId="176" fontId="5" fillId="0" borderId="1" xfId="0" applyNumberFormat="1" applyFont="1" applyBorder="1"/>
    <xf numFmtId="14" fontId="5" fillId="0" borderId="1" xfId="0" applyNumberFormat="1" applyFont="1" applyBorder="1"/>
    <xf numFmtId="0" fontId="9" fillId="0" borderId="1" xfId="0" applyFont="1" applyBorder="1" applyAlignment="1">
      <alignment vertical="top" wrapText="1"/>
    </xf>
    <xf numFmtId="14" fontId="5" fillId="0" borderId="1" xfId="0" applyNumberFormat="1" applyFont="1" applyBorder="1" applyAlignment="1">
      <alignment horizontal="left" vertical="top" wrapText="1"/>
    </xf>
    <xf numFmtId="9" fontId="4" fillId="7" borderId="0" xfId="0" applyNumberFormat="1" applyFont="1" applyFill="1" applyAlignment="1">
      <alignment horizontal="left" vertical="top" wrapText="1"/>
    </xf>
    <xf numFmtId="0" fontId="4" fillId="0" borderId="10" xfId="0" applyFont="1" applyBorder="1"/>
    <xf numFmtId="177" fontId="5" fillId="0" borderId="1" xfId="0" applyNumberFormat="1" applyFont="1" applyBorder="1" applyAlignment="1">
      <alignment vertical="top" wrapText="1"/>
    </xf>
    <xf numFmtId="0" fontId="4" fillId="8" borderId="9" xfId="0" applyFont="1" applyFill="1" applyBorder="1" applyAlignment="1">
      <alignment horizontal="left"/>
    </xf>
    <xf numFmtId="0" fontId="4" fillId="0" borderId="0" xfId="0" applyFont="1" applyAlignment="1">
      <alignment vertical="top"/>
    </xf>
    <xf numFmtId="0" fontId="7" fillId="0" borderId="11" xfId="0" applyFont="1" applyBorder="1" applyAlignment="1">
      <alignment vertical="center"/>
    </xf>
    <xf numFmtId="0" fontId="4" fillId="0" borderId="0" xfId="0" applyFont="1" applyAlignment="1">
      <alignment wrapText="1"/>
    </xf>
    <xf numFmtId="0" fontId="5" fillId="2" borderId="4" xfId="0" applyFont="1" applyFill="1" applyBorder="1" applyAlignment="1">
      <alignment wrapText="1"/>
    </xf>
    <xf numFmtId="0" fontId="4" fillId="0" borderId="9" xfId="0" applyFont="1" applyBorder="1" applyAlignment="1">
      <alignment horizontal="left" wrapText="1"/>
    </xf>
    <xf numFmtId="0" fontId="4" fillId="0" borderId="9" xfId="0" applyNumberFormat="1" applyFont="1" applyBorder="1" applyAlignment="1">
      <alignment horizontal="left" wrapText="1"/>
    </xf>
    <xf numFmtId="0" fontId="3" fillId="3" borderId="2" xfId="0" applyFont="1" applyFill="1" applyBorder="1" applyAlignment="1">
      <alignment horizontal="left"/>
    </xf>
    <xf numFmtId="0" fontId="7" fillId="0" borderId="5" xfId="0" applyFont="1" applyBorder="1"/>
    <xf numFmtId="0" fontId="7" fillId="0" borderId="6" xfId="0" applyFont="1" applyBorder="1"/>
    <xf numFmtId="0" fontId="4" fillId="0" borderId="12" xfId="0" applyFont="1" applyBorder="1" applyAlignment="1">
      <alignment horizontal="left" wrapText="1"/>
    </xf>
    <xf numFmtId="0" fontId="4" fillId="0" borderId="13" xfId="0" applyFont="1" applyBorder="1" applyAlignment="1">
      <alignment horizontal="left" wrapText="1"/>
    </xf>
    <xf numFmtId="0" fontId="4" fillId="0" borderId="10" xfId="0" applyFont="1" applyBorder="1" applyAlignment="1">
      <alignment horizontal="left" wrapText="1"/>
    </xf>
    <xf numFmtId="0" fontId="4" fillId="0" borderId="9" xfId="0" applyFont="1" applyBorder="1" applyAlignment="1">
      <alignment wrapText="1"/>
    </xf>
  </cellXfs>
  <cellStyles count="1">
    <cellStyle name="標準" xfId="0" builtinId="0"/>
  </cellStyles>
  <dxfs count="8">
    <dxf>
      <fill>
        <patternFill patternType="solid">
          <fgColor rgb="FFF4C7C3"/>
          <bgColor rgb="FFF4C7C3"/>
        </patternFill>
      </fill>
    </dxf>
    <dxf>
      <fill>
        <patternFill patternType="solid">
          <fgColor rgb="FFB7B7B7"/>
          <bgColor rgb="FFB7B7B7"/>
        </patternFill>
      </fill>
    </dxf>
    <dxf>
      <fill>
        <patternFill patternType="solid">
          <fgColor rgb="FFB7E1CD"/>
          <bgColor rgb="FFB7E1CD"/>
        </patternFill>
      </fill>
    </dxf>
    <dxf>
      <fill>
        <patternFill patternType="solid">
          <fgColor rgb="FFFFD966"/>
          <bgColor rgb="FFFFD966"/>
        </patternFill>
      </fill>
    </dxf>
    <dxf>
      <fill>
        <patternFill patternType="solid">
          <fgColor rgb="FFF4C7C3"/>
          <bgColor rgb="FFF4C7C3"/>
        </patternFill>
      </fill>
    </dxf>
    <dxf>
      <fill>
        <patternFill patternType="solid">
          <fgColor rgb="FFB7B7B7"/>
          <bgColor rgb="FFB7B7B7"/>
        </patternFill>
      </fill>
    </dxf>
    <dxf>
      <fill>
        <patternFill patternType="solid">
          <fgColor rgb="FFB7E1CD"/>
          <bgColor rgb="FFB7E1CD"/>
        </patternFill>
      </fill>
    </dxf>
    <dxf>
      <fill>
        <patternFill patternType="solid">
          <fgColor rgb="FFFFD966"/>
          <bgColor rgb="FFFFD96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junko.ito" id="{BF3D363B-57D6-4FF2-BB97-760B12F4621A}" userId="junko.ito" providerId="Non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4" dT="2024-09-12T04:38:57.38" personId="{BF3D363B-57D6-4FF2-BB97-760B12F4621A}" id="{6F8BE71F-B4C7-4B24-8901-B86A0CFE4C32}">
    <text>業務に支障が出る：A
出ないけどまあまあひどい：B
業務に支障は出ないしひどくないけどどうなの？：C</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1:C1000"/>
  <sheetViews>
    <sheetView workbookViewId="0"/>
  </sheetViews>
  <sheetFormatPr defaultColWidth="12.5546875" defaultRowHeight="15" customHeight="1" x14ac:dyDescent="0.25"/>
  <cols>
    <col min="1" max="1" width="12.5546875" customWidth="1"/>
    <col min="2" max="2" width="15.44140625" customWidth="1"/>
    <col min="3" max="3" width="41" customWidth="1"/>
    <col min="4" max="6" width="12.5546875" customWidth="1"/>
  </cols>
  <sheetData>
    <row r="1" spans="2:3" ht="15.75" customHeight="1" x14ac:dyDescent="0.25"/>
    <row r="2" spans="2:3" ht="15.75" customHeight="1" x14ac:dyDescent="0.25"/>
    <row r="3" spans="2:3" ht="15.75" customHeight="1" x14ac:dyDescent="0.25">
      <c r="B3" s="1" t="s">
        <v>0</v>
      </c>
      <c r="C3" s="1" t="s">
        <v>1</v>
      </c>
    </row>
    <row r="4" spans="2:3" ht="15.75" customHeight="1" x14ac:dyDescent="0.25">
      <c r="B4" s="2" t="s">
        <v>2</v>
      </c>
      <c r="C4" s="2" t="s">
        <v>3</v>
      </c>
    </row>
    <row r="5" spans="2:3" ht="15.75" customHeight="1" x14ac:dyDescent="0.25">
      <c r="B5" s="2" t="s">
        <v>4</v>
      </c>
      <c r="C5" s="2" t="s">
        <v>5</v>
      </c>
    </row>
    <row r="6" spans="2:3" ht="15.75" customHeight="1" x14ac:dyDescent="0.25">
      <c r="B6" s="2" t="s">
        <v>6</v>
      </c>
      <c r="C6" s="2" t="s">
        <v>7</v>
      </c>
    </row>
    <row r="7" spans="2:3" ht="15.75" customHeight="1" x14ac:dyDescent="0.25">
      <c r="B7" s="2" t="s">
        <v>8</v>
      </c>
      <c r="C7" s="2" t="s">
        <v>9</v>
      </c>
    </row>
    <row r="8" spans="2:3" ht="15.75" customHeight="1" x14ac:dyDescent="0.25">
      <c r="B8" s="2" t="s">
        <v>10</v>
      </c>
      <c r="C8" s="2" t="s">
        <v>11</v>
      </c>
    </row>
    <row r="9" spans="2:3" ht="15.75" customHeight="1" x14ac:dyDescent="0.25">
      <c r="B9" s="2" t="s">
        <v>12</v>
      </c>
      <c r="C9" s="2" t="s">
        <v>13</v>
      </c>
    </row>
    <row r="10" spans="2:3" ht="15.75" customHeight="1" x14ac:dyDescent="0.25">
      <c r="B10" s="2" t="s">
        <v>14</v>
      </c>
      <c r="C10" s="2" t="s">
        <v>15</v>
      </c>
    </row>
    <row r="11" spans="2:3" ht="15.75" customHeight="1" x14ac:dyDescent="0.25"/>
    <row r="12" spans="2:3" ht="15.75" customHeight="1" x14ac:dyDescent="0.25">
      <c r="B12" s="3" t="s">
        <v>16</v>
      </c>
    </row>
    <row r="13" spans="2:3" ht="15.75" customHeight="1" x14ac:dyDescent="0.25">
      <c r="B13" s="3" t="s">
        <v>17</v>
      </c>
    </row>
    <row r="14" spans="2:3" ht="15.75" customHeight="1" x14ac:dyDescent="0.25">
      <c r="B14" s="3" t="s">
        <v>18</v>
      </c>
    </row>
    <row r="15" spans="2:3" ht="15.75" customHeight="1" x14ac:dyDescent="0.25">
      <c r="B15" s="3" t="s">
        <v>19</v>
      </c>
    </row>
    <row r="16" spans="2:3" ht="15.75" customHeight="1" x14ac:dyDescent="0.25">
      <c r="B16" s="3" t="s">
        <v>20</v>
      </c>
    </row>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honeticPr fontId="2"/>
  <conditionalFormatting sqref="B4:B10">
    <cfRule type="expression" dxfId="7" priority="2">
      <formula>$C4="起票済"</formula>
    </cfRule>
    <cfRule type="expression" dxfId="6" priority="3">
      <formula>$C4="対応済"</formula>
    </cfRule>
    <cfRule type="expression" dxfId="5" priority="4">
      <formula>OR($C4="完了",$C4="取り下げ",$C4="申し送り")</formula>
    </cfRule>
  </conditionalFormatting>
  <conditionalFormatting sqref="B10">
    <cfRule type="expression" dxfId="4" priority="1">
      <formula>$C10="再修正依頼"</formula>
    </cfRule>
  </conditionalFormatting>
  <dataValidations count="2">
    <dataValidation type="list" allowBlank="1" showErrorMessage="1" sqref="B4:B9">
      <formula1>"起票中,起票済,対応済,完了,申し送り,取り下げ"</formula1>
    </dataValidation>
    <dataValidation type="list" allowBlank="1" showErrorMessage="1" sqref="B10">
      <formula1>"起票中,起票済,対応済,完了,申し送り,取り下げ,再修正依頼"</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C999"/>
  <sheetViews>
    <sheetView tabSelected="1" zoomScale="70" zoomScaleNormal="70" workbookViewId="0">
      <pane xSplit="3" ySplit="4" topLeftCell="D5" activePane="bottomRight" state="frozen"/>
      <selection pane="topRight" activeCell="D1" sqref="D1"/>
      <selection pane="bottomLeft" activeCell="A5" sqref="A5"/>
      <selection pane="bottomRight" activeCell="X88" sqref="X88"/>
    </sheetView>
  </sheetViews>
  <sheetFormatPr defaultColWidth="12.5546875" defaultRowHeight="16.2" x14ac:dyDescent="0.4"/>
  <cols>
    <col min="1" max="1" width="2.33203125" style="5" customWidth="1"/>
    <col min="2" max="2" width="4.88671875" style="5" customWidth="1"/>
    <col min="3" max="3" width="14.33203125" style="5" customWidth="1"/>
    <col min="4" max="4" width="10" style="5" customWidth="1"/>
    <col min="5" max="5" width="4" style="5" customWidth="1"/>
    <col min="6" max="6" width="12.5546875" style="5" customWidth="1"/>
    <col min="7" max="7" width="28" style="48" customWidth="1"/>
    <col min="8" max="8" width="20.6640625" style="7" customWidth="1"/>
    <col min="9" max="9" width="37.5546875" style="8" customWidth="1"/>
    <col min="10" max="11" width="6.109375" style="5" customWidth="1"/>
    <col min="12" max="12" width="36.33203125" style="7" customWidth="1"/>
    <col min="13" max="13" width="51.33203125" style="8" customWidth="1"/>
    <col min="14" max="14" width="23.109375" style="7" customWidth="1"/>
    <col min="15" max="15" width="21.33203125" style="7" customWidth="1"/>
    <col min="16" max="16" width="11.88671875" style="7" customWidth="1"/>
    <col min="17" max="17" width="6.88671875" style="5" customWidth="1"/>
    <col min="18" max="18" width="16.88671875" style="5" customWidth="1"/>
    <col min="19" max="19" width="10.5546875" style="5" customWidth="1"/>
    <col min="20" max="20" width="21.5546875" style="50" customWidth="1"/>
    <col min="21" max="21" width="5.6640625" style="5" customWidth="1"/>
    <col min="22" max="22" width="11.5546875" style="5" bestFit="1" customWidth="1"/>
    <col min="23" max="23" width="9.44140625" style="5" customWidth="1"/>
    <col min="24" max="24" width="35.109375" style="5" customWidth="1"/>
    <col min="25" max="25" width="12.5546875" style="5"/>
    <col min="26" max="26" width="7.33203125" style="5" customWidth="1"/>
    <col min="27" max="27" width="9.44140625" style="5" customWidth="1"/>
    <col min="28" max="28" width="8.44140625" style="5" customWidth="1"/>
    <col min="29" max="29" width="49.109375" style="5" customWidth="1"/>
    <col min="30" max="16384" width="12.5546875" style="5"/>
  </cols>
  <sheetData>
    <row r="1" spans="2:29" x14ac:dyDescent="0.4">
      <c r="B1" s="4" t="s">
        <v>43</v>
      </c>
      <c r="G1" s="6"/>
      <c r="J1" s="9"/>
      <c r="K1" s="10"/>
      <c r="X1" s="9"/>
      <c r="Y1" s="11"/>
      <c r="Z1" s="11"/>
      <c r="AC1" s="9"/>
    </row>
    <row r="2" spans="2:29" x14ac:dyDescent="0.4">
      <c r="G2" s="6"/>
      <c r="J2" s="9"/>
      <c r="K2" s="10"/>
      <c r="X2" s="9"/>
      <c r="Y2" s="11"/>
      <c r="Z2" s="11"/>
      <c r="AC2" s="9"/>
    </row>
    <row r="3" spans="2:29" x14ac:dyDescent="0.4">
      <c r="B3" s="12" t="s">
        <v>21</v>
      </c>
      <c r="C3" s="13"/>
      <c r="D3" s="13"/>
      <c r="E3" s="13"/>
      <c r="F3" s="13"/>
      <c r="G3" s="14"/>
      <c r="H3" s="15"/>
      <c r="I3" s="14"/>
      <c r="J3" s="16"/>
      <c r="K3" s="17"/>
      <c r="L3" s="15"/>
      <c r="M3" s="14"/>
      <c r="N3" s="15"/>
      <c r="O3" s="15"/>
      <c r="P3" s="15"/>
      <c r="Q3" s="13"/>
      <c r="R3" s="13"/>
      <c r="S3" s="13"/>
      <c r="T3" s="51"/>
      <c r="V3" s="54" t="s">
        <v>95</v>
      </c>
      <c r="W3" s="55"/>
      <c r="X3" s="55"/>
      <c r="Y3" s="55"/>
      <c r="Z3" s="56"/>
      <c r="AA3" s="18" t="s">
        <v>21</v>
      </c>
      <c r="AB3" s="18"/>
      <c r="AC3" s="19"/>
    </row>
    <row r="4" spans="2:29" ht="25.5" customHeight="1" x14ac:dyDescent="0.4">
      <c r="B4" s="20" t="s">
        <v>22</v>
      </c>
      <c r="C4" s="20" t="s">
        <v>0</v>
      </c>
      <c r="D4" s="20" t="s">
        <v>23</v>
      </c>
      <c r="E4" s="20" t="s">
        <v>24</v>
      </c>
      <c r="F4" s="20" t="s">
        <v>25</v>
      </c>
      <c r="G4" s="21" t="s">
        <v>26</v>
      </c>
      <c r="H4" s="22" t="s">
        <v>27</v>
      </c>
      <c r="I4" s="21" t="s">
        <v>28</v>
      </c>
      <c r="J4" s="23" t="s">
        <v>29</v>
      </c>
      <c r="K4" s="24" t="s">
        <v>30</v>
      </c>
      <c r="L4" s="22" t="s">
        <v>31</v>
      </c>
      <c r="M4" s="21" t="s">
        <v>32</v>
      </c>
      <c r="N4" s="22" t="s">
        <v>33</v>
      </c>
      <c r="O4" s="22" t="s">
        <v>34</v>
      </c>
      <c r="P4" s="22" t="s">
        <v>35</v>
      </c>
      <c r="Q4" s="20" t="s">
        <v>36</v>
      </c>
      <c r="R4" s="20" t="s">
        <v>37</v>
      </c>
      <c r="S4" s="25" t="s">
        <v>93</v>
      </c>
      <c r="T4" s="23" t="s">
        <v>38</v>
      </c>
      <c r="V4" s="26" t="s">
        <v>96</v>
      </c>
      <c r="W4" s="27" t="s">
        <v>97</v>
      </c>
      <c r="X4" s="28" t="s">
        <v>98</v>
      </c>
      <c r="Y4" s="27" t="s">
        <v>39</v>
      </c>
      <c r="Z4" s="29" t="s">
        <v>99</v>
      </c>
      <c r="AA4" s="30" t="s">
        <v>40</v>
      </c>
      <c r="AB4" s="30" t="s">
        <v>41</v>
      </c>
      <c r="AC4" s="31" t="s">
        <v>42</v>
      </c>
    </row>
    <row r="5" spans="2:29" ht="48.6" x14ac:dyDescent="0.4">
      <c r="B5" s="30">
        <f t="shared" ref="B5:B259" si="0">ROW()-4</f>
        <v>1</v>
      </c>
      <c r="C5" s="30" t="s">
        <v>100</v>
      </c>
      <c r="D5" s="30" t="s">
        <v>46</v>
      </c>
      <c r="E5" s="30" t="s">
        <v>169</v>
      </c>
      <c r="F5" s="30" t="s">
        <v>45</v>
      </c>
      <c r="G5" s="32" t="s">
        <v>101</v>
      </c>
      <c r="H5" s="33" t="s">
        <v>102</v>
      </c>
      <c r="I5" s="32" t="s">
        <v>103</v>
      </c>
      <c r="J5" s="31" t="s">
        <v>44</v>
      </c>
      <c r="K5" s="34" t="s">
        <v>44</v>
      </c>
      <c r="L5" s="33" t="s">
        <v>104</v>
      </c>
      <c r="M5" s="32" t="s">
        <v>105</v>
      </c>
      <c r="N5" s="35">
        <v>1</v>
      </c>
      <c r="O5" s="33" t="s">
        <v>106</v>
      </c>
      <c r="P5" s="36" t="s">
        <v>47</v>
      </c>
      <c r="Q5" s="30" t="s">
        <v>44</v>
      </c>
      <c r="R5" s="31"/>
      <c r="S5" s="30" t="s">
        <v>94</v>
      </c>
      <c r="T5" s="31"/>
      <c r="V5" s="37">
        <v>45567</v>
      </c>
      <c r="W5" s="38" t="s">
        <v>315</v>
      </c>
      <c r="X5" s="52" t="s">
        <v>316</v>
      </c>
      <c r="Y5" s="39"/>
      <c r="Z5" s="39"/>
      <c r="AA5" s="40"/>
      <c r="AB5" s="30"/>
      <c r="AC5" s="31"/>
    </row>
    <row r="6" spans="2:29" ht="113.4" x14ac:dyDescent="0.4">
      <c r="B6" s="30">
        <f t="shared" si="0"/>
        <v>2</v>
      </c>
      <c r="C6" s="30" t="s">
        <v>4</v>
      </c>
      <c r="D6" s="30" t="s">
        <v>46</v>
      </c>
      <c r="E6" s="30" t="s">
        <v>169</v>
      </c>
      <c r="F6" s="30" t="s">
        <v>48</v>
      </c>
      <c r="G6" s="32" t="s">
        <v>107</v>
      </c>
      <c r="H6" s="33" t="s">
        <v>108</v>
      </c>
      <c r="I6" s="32" t="s">
        <v>109</v>
      </c>
      <c r="J6" s="31" t="s">
        <v>44</v>
      </c>
      <c r="K6" s="34" t="s">
        <v>44</v>
      </c>
      <c r="L6" s="33" t="s">
        <v>110</v>
      </c>
      <c r="M6" s="32" t="s">
        <v>111</v>
      </c>
      <c r="N6" s="35">
        <v>1</v>
      </c>
      <c r="O6" s="33" t="s">
        <v>106</v>
      </c>
      <c r="P6" s="36" t="s">
        <v>49</v>
      </c>
      <c r="Q6" s="30"/>
      <c r="R6" s="31"/>
      <c r="S6" s="30" t="s">
        <v>94</v>
      </c>
      <c r="T6" s="31"/>
      <c r="V6" s="37">
        <v>45567</v>
      </c>
      <c r="W6" s="38" t="s">
        <v>315</v>
      </c>
      <c r="X6" s="52" t="s">
        <v>317</v>
      </c>
      <c r="Y6" s="39"/>
      <c r="Z6" s="39"/>
      <c r="AA6" s="40"/>
      <c r="AB6" s="30"/>
      <c r="AC6" s="31"/>
    </row>
    <row r="7" spans="2:29" ht="178.2" x14ac:dyDescent="0.4">
      <c r="B7" s="30">
        <f t="shared" si="0"/>
        <v>3</v>
      </c>
      <c r="C7" s="30" t="s">
        <v>4</v>
      </c>
      <c r="D7" s="30" t="s">
        <v>46</v>
      </c>
      <c r="E7" s="30" t="s">
        <v>169</v>
      </c>
      <c r="F7" s="30" t="s">
        <v>48</v>
      </c>
      <c r="G7" s="6" t="s">
        <v>112</v>
      </c>
      <c r="H7" s="33" t="s">
        <v>113</v>
      </c>
      <c r="I7" s="32" t="s">
        <v>114</v>
      </c>
      <c r="J7" s="31" t="s">
        <v>44</v>
      </c>
      <c r="K7" s="34" t="s">
        <v>44</v>
      </c>
      <c r="L7" s="33" t="s">
        <v>115</v>
      </c>
      <c r="M7" s="32" t="s">
        <v>116</v>
      </c>
      <c r="N7" s="35">
        <v>1</v>
      </c>
      <c r="O7" s="33" t="s">
        <v>106</v>
      </c>
      <c r="P7" s="36" t="s">
        <v>50</v>
      </c>
      <c r="Q7" s="30"/>
      <c r="R7" s="31"/>
      <c r="S7" s="30" t="s">
        <v>94</v>
      </c>
      <c r="T7" s="31"/>
      <c r="V7" s="37">
        <v>45567</v>
      </c>
      <c r="W7" s="38" t="s">
        <v>315</v>
      </c>
      <c r="X7" s="52" t="s">
        <v>318</v>
      </c>
      <c r="Y7" s="38"/>
      <c r="Z7" s="39"/>
      <c r="AA7" s="40"/>
      <c r="AB7" s="30"/>
      <c r="AC7" s="31"/>
    </row>
    <row r="8" spans="2:29" ht="64.8" x14ac:dyDescent="0.4">
      <c r="B8" s="30">
        <f t="shared" si="0"/>
        <v>4</v>
      </c>
      <c r="C8" s="30" t="s">
        <v>4</v>
      </c>
      <c r="D8" s="30" t="s">
        <v>46</v>
      </c>
      <c r="E8" s="30" t="s">
        <v>169</v>
      </c>
      <c r="F8" s="30" t="s">
        <v>48</v>
      </c>
      <c r="G8" s="32" t="s">
        <v>117</v>
      </c>
      <c r="H8" s="33" t="s">
        <v>88</v>
      </c>
      <c r="I8" s="6" t="s">
        <v>118</v>
      </c>
      <c r="J8" s="31" t="s">
        <v>44</v>
      </c>
      <c r="K8" s="34" t="s">
        <v>44</v>
      </c>
      <c r="L8" s="33" t="s">
        <v>119</v>
      </c>
      <c r="M8" s="32" t="s">
        <v>120</v>
      </c>
      <c r="N8" s="35">
        <v>1</v>
      </c>
      <c r="O8" s="33" t="s">
        <v>106</v>
      </c>
      <c r="P8" s="36" t="s">
        <v>50</v>
      </c>
      <c r="Q8" s="30"/>
      <c r="R8" s="31"/>
      <c r="S8" s="30" t="s">
        <v>94</v>
      </c>
      <c r="T8" s="31"/>
      <c r="V8" s="37">
        <v>45567</v>
      </c>
      <c r="W8" s="38" t="s">
        <v>315</v>
      </c>
      <c r="X8" s="52" t="s">
        <v>334</v>
      </c>
      <c r="Y8" s="38"/>
      <c r="Z8" s="39"/>
      <c r="AA8" s="41"/>
      <c r="AB8" s="30"/>
      <c r="AC8" s="31"/>
    </row>
    <row r="9" spans="2:29" ht="81" x14ac:dyDescent="0.4">
      <c r="B9" s="30">
        <f t="shared" si="0"/>
        <v>5</v>
      </c>
      <c r="C9" s="30" t="s">
        <v>100</v>
      </c>
      <c r="D9" s="30" t="s">
        <v>46</v>
      </c>
      <c r="E9" s="30" t="s">
        <v>169</v>
      </c>
      <c r="F9" s="30" t="s">
        <v>48</v>
      </c>
      <c r="G9" s="32" t="s">
        <v>121</v>
      </c>
      <c r="H9" s="33" t="s">
        <v>122</v>
      </c>
      <c r="I9" s="32" t="s">
        <v>123</v>
      </c>
      <c r="J9" s="31" t="s">
        <v>44</v>
      </c>
      <c r="K9" s="34" t="s">
        <v>44</v>
      </c>
      <c r="L9" s="33" t="s">
        <v>124</v>
      </c>
      <c r="M9" s="32" t="s">
        <v>125</v>
      </c>
      <c r="N9" s="35">
        <v>1</v>
      </c>
      <c r="O9" s="33" t="s">
        <v>106</v>
      </c>
      <c r="P9" s="36" t="s">
        <v>50</v>
      </c>
      <c r="Q9" s="30"/>
      <c r="R9" s="31"/>
      <c r="S9" s="30" t="s">
        <v>94</v>
      </c>
      <c r="T9" s="31"/>
      <c r="V9" s="37">
        <v>45567</v>
      </c>
      <c r="W9" s="38" t="s">
        <v>315</v>
      </c>
      <c r="X9" s="52" t="s">
        <v>319</v>
      </c>
      <c r="Y9" s="39"/>
      <c r="Z9" s="39"/>
      <c r="AA9" s="40"/>
      <c r="AB9" s="30"/>
      <c r="AC9" s="31"/>
    </row>
    <row r="10" spans="2:29" ht="97.2" x14ac:dyDescent="0.4">
      <c r="B10" s="30">
        <f t="shared" si="0"/>
        <v>6</v>
      </c>
      <c r="C10" s="30" t="s">
        <v>100</v>
      </c>
      <c r="D10" s="30" t="s">
        <v>46</v>
      </c>
      <c r="E10" s="30" t="s">
        <v>169</v>
      </c>
      <c r="F10" s="30" t="s">
        <v>48</v>
      </c>
      <c r="G10" s="32" t="s">
        <v>126</v>
      </c>
      <c r="H10" s="33" t="s">
        <v>127</v>
      </c>
      <c r="I10" s="32" t="s">
        <v>126</v>
      </c>
      <c r="J10" s="31" t="s">
        <v>44</v>
      </c>
      <c r="K10" s="31" t="s">
        <v>44</v>
      </c>
      <c r="L10" s="33" t="s">
        <v>128</v>
      </c>
      <c r="M10" s="32" t="s">
        <v>129</v>
      </c>
      <c r="N10" s="35">
        <v>1</v>
      </c>
      <c r="O10" s="33" t="s">
        <v>106</v>
      </c>
      <c r="P10" s="36" t="s">
        <v>51</v>
      </c>
      <c r="Q10" s="30"/>
      <c r="R10" s="31"/>
      <c r="S10" s="30" t="s">
        <v>94</v>
      </c>
      <c r="T10" s="31"/>
      <c r="V10" s="37">
        <v>45567</v>
      </c>
      <c r="W10" s="38" t="s">
        <v>315</v>
      </c>
      <c r="X10" s="52" t="s">
        <v>321</v>
      </c>
      <c r="Y10" s="39"/>
      <c r="Z10" s="39"/>
      <c r="AA10" s="40"/>
      <c r="AB10" s="30"/>
      <c r="AC10" s="31"/>
    </row>
    <row r="11" spans="2:29" ht="97.2" x14ac:dyDescent="0.4">
      <c r="B11" s="30">
        <f t="shared" si="0"/>
        <v>7</v>
      </c>
      <c r="C11" s="30" t="s">
        <v>100</v>
      </c>
      <c r="D11" s="30" t="s">
        <v>46</v>
      </c>
      <c r="E11" s="30" t="s">
        <v>169</v>
      </c>
      <c r="F11" s="30" t="s">
        <v>48</v>
      </c>
      <c r="G11" s="32" t="s">
        <v>130</v>
      </c>
      <c r="H11" s="33" t="s">
        <v>127</v>
      </c>
      <c r="I11" s="32" t="s">
        <v>131</v>
      </c>
      <c r="J11" s="31" t="s">
        <v>44</v>
      </c>
      <c r="K11" s="31" t="s">
        <v>44</v>
      </c>
      <c r="L11" s="33" t="s">
        <v>132</v>
      </c>
      <c r="M11" s="32" t="s">
        <v>133</v>
      </c>
      <c r="N11" s="35">
        <v>1</v>
      </c>
      <c r="O11" s="33" t="s">
        <v>106</v>
      </c>
      <c r="P11" s="36" t="s">
        <v>52</v>
      </c>
      <c r="Q11" s="30"/>
      <c r="R11" s="31"/>
      <c r="S11" s="30" t="s">
        <v>94</v>
      </c>
      <c r="T11" s="31"/>
      <c r="V11" s="37">
        <v>45567</v>
      </c>
      <c r="W11" s="38" t="s">
        <v>315</v>
      </c>
      <c r="X11" s="52" t="s">
        <v>320</v>
      </c>
      <c r="Y11" s="39"/>
      <c r="Z11" s="39"/>
      <c r="AA11" s="40"/>
      <c r="AB11" s="30"/>
      <c r="AC11" s="31"/>
    </row>
    <row r="12" spans="2:29" ht="113.4" x14ac:dyDescent="0.4">
      <c r="B12" s="30">
        <f t="shared" si="0"/>
        <v>8</v>
      </c>
      <c r="C12" s="30" t="s">
        <v>4</v>
      </c>
      <c r="D12" s="30" t="s">
        <v>46</v>
      </c>
      <c r="E12" s="30" t="s">
        <v>169</v>
      </c>
      <c r="F12" s="30" t="s">
        <v>48</v>
      </c>
      <c r="G12" s="32" t="s">
        <v>134</v>
      </c>
      <c r="H12" s="33" t="s">
        <v>135</v>
      </c>
      <c r="I12" s="32" t="s">
        <v>134</v>
      </c>
      <c r="J12" s="31" t="s">
        <v>44</v>
      </c>
      <c r="K12" s="31" t="s">
        <v>44</v>
      </c>
      <c r="L12" s="33" t="s">
        <v>53</v>
      </c>
      <c r="M12" s="32" t="s">
        <v>136</v>
      </c>
      <c r="N12" s="35">
        <v>1</v>
      </c>
      <c r="O12" s="33" t="s">
        <v>106</v>
      </c>
      <c r="P12" s="36" t="s">
        <v>54</v>
      </c>
      <c r="Q12" s="30"/>
      <c r="R12" s="31"/>
      <c r="S12" s="30" t="s">
        <v>94</v>
      </c>
      <c r="T12" s="31"/>
      <c r="V12" s="37">
        <v>45569</v>
      </c>
      <c r="W12" s="38" t="s">
        <v>315</v>
      </c>
      <c r="X12" s="52" t="s">
        <v>322</v>
      </c>
      <c r="Y12" s="38"/>
      <c r="Z12" s="39"/>
      <c r="AA12" s="40"/>
      <c r="AB12" s="30"/>
      <c r="AC12" s="31"/>
    </row>
    <row r="13" spans="2:29" ht="113.4" x14ac:dyDescent="0.4">
      <c r="B13" s="30">
        <f t="shared" si="0"/>
        <v>9</v>
      </c>
      <c r="C13" s="30" t="s">
        <v>4</v>
      </c>
      <c r="D13" s="30" t="s">
        <v>46</v>
      </c>
      <c r="E13" s="30" t="s">
        <v>169</v>
      </c>
      <c r="F13" s="30" t="s">
        <v>48</v>
      </c>
      <c r="G13" s="32" t="s">
        <v>137</v>
      </c>
      <c r="H13" s="33" t="s">
        <v>138</v>
      </c>
      <c r="I13" s="32" t="s">
        <v>137</v>
      </c>
      <c r="J13" s="31" t="s">
        <v>44</v>
      </c>
      <c r="K13" s="31" t="s">
        <v>44</v>
      </c>
      <c r="L13" s="33" t="s">
        <v>139</v>
      </c>
      <c r="M13" s="32" t="s">
        <v>140</v>
      </c>
      <c r="N13" s="35">
        <v>1</v>
      </c>
      <c r="O13" s="33" t="s">
        <v>106</v>
      </c>
      <c r="P13" s="36" t="s">
        <v>55</v>
      </c>
      <c r="Q13" s="30"/>
      <c r="R13" s="31"/>
      <c r="S13" s="30" t="s">
        <v>94</v>
      </c>
      <c r="T13" s="31"/>
      <c r="V13" s="37">
        <v>45569</v>
      </c>
      <c r="W13" s="38" t="s">
        <v>315</v>
      </c>
      <c r="X13" s="52" t="s">
        <v>323</v>
      </c>
      <c r="Y13" s="38"/>
      <c r="Z13" s="39"/>
      <c r="AA13" s="40"/>
      <c r="AB13" s="30"/>
      <c r="AC13" s="31"/>
    </row>
    <row r="14" spans="2:29" ht="113.4" x14ac:dyDescent="0.4">
      <c r="B14" s="30">
        <f t="shared" si="0"/>
        <v>10</v>
      </c>
      <c r="C14" s="30" t="s">
        <v>4</v>
      </c>
      <c r="D14" s="30" t="s">
        <v>46</v>
      </c>
      <c r="E14" s="30" t="s">
        <v>169</v>
      </c>
      <c r="F14" s="30" t="s">
        <v>48</v>
      </c>
      <c r="G14" s="32" t="s">
        <v>141</v>
      </c>
      <c r="H14" s="33"/>
      <c r="I14" s="32" t="s">
        <v>142</v>
      </c>
      <c r="J14" s="31" t="s">
        <v>44</v>
      </c>
      <c r="K14" s="31" t="s">
        <v>44</v>
      </c>
      <c r="L14" s="33" t="s">
        <v>56</v>
      </c>
      <c r="M14" s="32" t="s">
        <v>143</v>
      </c>
      <c r="N14" s="35">
        <v>1</v>
      </c>
      <c r="O14" s="33" t="s">
        <v>106</v>
      </c>
      <c r="P14" s="36" t="s">
        <v>57</v>
      </c>
      <c r="Q14" s="30"/>
      <c r="R14" s="31"/>
      <c r="S14" s="30" t="s">
        <v>94</v>
      </c>
      <c r="T14" s="31"/>
      <c r="V14" s="37">
        <v>45569</v>
      </c>
      <c r="W14" s="38" t="s">
        <v>315</v>
      </c>
      <c r="X14" s="52" t="s">
        <v>335</v>
      </c>
      <c r="Y14" s="39"/>
      <c r="Z14" s="39"/>
      <c r="AA14" s="40"/>
      <c r="AB14" s="30"/>
      <c r="AC14" s="31"/>
    </row>
    <row r="15" spans="2:29" ht="113.4" x14ac:dyDescent="0.4">
      <c r="B15" s="30">
        <f t="shared" si="0"/>
        <v>11</v>
      </c>
      <c r="C15" s="30" t="s">
        <v>8</v>
      </c>
      <c r="D15" s="30" t="s">
        <v>46</v>
      </c>
      <c r="E15" s="30" t="s">
        <v>44</v>
      </c>
      <c r="F15" s="30" t="s">
        <v>48</v>
      </c>
      <c r="G15" s="32" t="s">
        <v>58</v>
      </c>
      <c r="H15" s="33" t="s">
        <v>144</v>
      </c>
      <c r="I15" s="32" t="s">
        <v>59</v>
      </c>
      <c r="J15" s="31" t="s">
        <v>44</v>
      </c>
      <c r="K15" s="31" t="s">
        <v>44</v>
      </c>
      <c r="L15" s="33" t="s">
        <v>145</v>
      </c>
      <c r="M15" s="32" t="s">
        <v>60</v>
      </c>
      <c r="N15" s="35">
        <v>1</v>
      </c>
      <c r="O15" s="33" t="s">
        <v>106</v>
      </c>
      <c r="P15" s="36" t="s">
        <v>61</v>
      </c>
      <c r="Q15" s="30"/>
      <c r="R15" s="31"/>
      <c r="S15" s="30" t="s">
        <v>213</v>
      </c>
      <c r="T15" s="31"/>
      <c r="V15" s="37"/>
      <c r="W15" s="38"/>
      <c r="X15" s="38"/>
      <c r="Y15" s="39"/>
      <c r="Z15" s="39"/>
      <c r="AA15" s="41"/>
      <c r="AB15" s="30"/>
      <c r="AC15" s="31"/>
    </row>
    <row r="16" spans="2:29" ht="48.6" x14ac:dyDescent="0.4">
      <c r="B16" s="30">
        <f t="shared" si="0"/>
        <v>12</v>
      </c>
      <c r="C16" s="30" t="s">
        <v>4</v>
      </c>
      <c r="D16" s="30" t="s">
        <v>46</v>
      </c>
      <c r="E16" s="30" t="s">
        <v>169</v>
      </c>
      <c r="F16" s="30" t="s">
        <v>48</v>
      </c>
      <c r="G16" s="32" t="s">
        <v>62</v>
      </c>
      <c r="H16" s="33" t="s">
        <v>44</v>
      </c>
      <c r="I16" s="32" t="s">
        <v>62</v>
      </c>
      <c r="J16" s="31" t="s">
        <v>44</v>
      </c>
      <c r="K16" s="31" t="s">
        <v>44</v>
      </c>
      <c r="L16" s="31" t="s">
        <v>44</v>
      </c>
      <c r="M16" s="32" t="s">
        <v>63</v>
      </c>
      <c r="N16" s="35">
        <v>1</v>
      </c>
      <c r="O16" s="33" t="s">
        <v>146</v>
      </c>
      <c r="P16" s="36" t="s">
        <v>64</v>
      </c>
      <c r="Q16" s="30"/>
      <c r="R16" s="31"/>
      <c r="S16" s="30" t="s">
        <v>94</v>
      </c>
      <c r="T16" s="31"/>
      <c r="V16" s="37">
        <v>45569</v>
      </c>
      <c r="W16" s="38" t="s">
        <v>315</v>
      </c>
      <c r="X16" s="52" t="s">
        <v>324</v>
      </c>
      <c r="Y16" s="39"/>
      <c r="Z16" s="39"/>
      <c r="AA16" s="40"/>
      <c r="AB16" s="30"/>
      <c r="AC16" s="31"/>
    </row>
    <row r="17" spans="1:29" ht="97.2" x14ac:dyDescent="0.4">
      <c r="B17" s="30">
        <f t="shared" si="0"/>
        <v>13</v>
      </c>
      <c r="C17" s="30" t="s">
        <v>8</v>
      </c>
      <c r="D17" s="30" t="s">
        <v>46</v>
      </c>
      <c r="E17" s="30" t="s">
        <v>65</v>
      </c>
      <c r="F17" s="30" t="s">
        <v>48</v>
      </c>
      <c r="G17" s="42" t="s">
        <v>66</v>
      </c>
      <c r="H17" s="33" t="s">
        <v>67</v>
      </c>
      <c r="I17" s="42" t="s">
        <v>66</v>
      </c>
      <c r="J17" s="31" t="s">
        <v>44</v>
      </c>
      <c r="K17" s="31" t="s">
        <v>44</v>
      </c>
      <c r="L17" s="31" t="s">
        <v>44</v>
      </c>
      <c r="M17" s="33" t="s">
        <v>147</v>
      </c>
      <c r="N17" s="35">
        <v>1</v>
      </c>
      <c r="O17" s="33" t="s">
        <v>146</v>
      </c>
      <c r="P17" s="36" t="s">
        <v>68</v>
      </c>
      <c r="Q17" s="30"/>
      <c r="R17" s="31"/>
      <c r="S17" s="30" t="s">
        <v>161</v>
      </c>
      <c r="T17" s="31"/>
      <c r="V17" s="37"/>
      <c r="W17" s="38"/>
      <c r="X17" s="38"/>
      <c r="Y17" s="39"/>
      <c r="Z17" s="39"/>
      <c r="AA17" s="40"/>
      <c r="AB17" s="30"/>
      <c r="AC17" s="31"/>
    </row>
    <row r="18" spans="1:29" ht="97.2" x14ac:dyDescent="0.4">
      <c r="B18" s="30">
        <f t="shared" si="0"/>
        <v>14</v>
      </c>
      <c r="C18" s="30" t="s">
        <v>8</v>
      </c>
      <c r="D18" s="30" t="s">
        <v>46</v>
      </c>
      <c r="E18" s="30" t="s">
        <v>65</v>
      </c>
      <c r="F18" s="30" t="s">
        <v>45</v>
      </c>
      <c r="G18" s="42" t="s">
        <v>71</v>
      </c>
      <c r="H18" s="33" t="s">
        <v>69</v>
      </c>
      <c r="I18" s="42" t="s">
        <v>66</v>
      </c>
      <c r="J18" s="31" t="s">
        <v>44</v>
      </c>
      <c r="K18" s="31" t="s">
        <v>44</v>
      </c>
      <c r="L18" s="31" t="s">
        <v>44</v>
      </c>
      <c r="M18" s="33" t="s">
        <v>147</v>
      </c>
      <c r="N18" s="33">
        <v>1</v>
      </c>
      <c r="O18" s="33" t="s">
        <v>146</v>
      </c>
      <c r="P18" s="36" t="s">
        <v>68</v>
      </c>
      <c r="Q18" s="30"/>
      <c r="R18" s="31"/>
      <c r="S18" s="30" t="s">
        <v>161</v>
      </c>
      <c r="T18" s="31"/>
      <c r="V18" s="37"/>
      <c r="W18" s="38"/>
      <c r="X18" s="38"/>
      <c r="Y18" s="38"/>
      <c r="Z18" s="39"/>
      <c r="AA18" s="40"/>
      <c r="AB18" s="30"/>
      <c r="AC18" s="31"/>
    </row>
    <row r="19" spans="1:29" ht="113.4" x14ac:dyDescent="0.4">
      <c r="B19" s="30">
        <f t="shared" si="0"/>
        <v>15</v>
      </c>
      <c r="C19" s="30" t="s">
        <v>4</v>
      </c>
      <c r="D19" s="30" t="s">
        <v>46</v>
      </c>
      <c r="E19" s="30" t="s">
        <v>65</v>
      </c>
      <c r="F19" s="30" t="s">
        <v>48</v>
      </c>
      <c r="G19" s="32" t="s">
        <v>70</v>
      </c>
      <c r="H19" s="33" t="s">
        <v>44</v>
      </c>
      <c r="I19" s="32" t="s">
        <v>148</v>
      </c>
      <c r="J19" s="31" t="s">
        <v>44</v>
      </c>
      <c r="K19" s="31" t="s">
        <v>44</v>
      </c>
      <c r="L19" s="31" t="s">
        <v>44</v>
      </c>
      <c r="M19" s="32" t="s">
        <v>291</v>
      </c>
      <c r="N19" s="35">
        <v>1</v>
      </c>
      <c r="O19" s="33" t="s">
        <v>146</v>
      </c>
      <c r="P19" s="36" t="s">
        <v>72</v>
      </c>
      <c r="Q19" s="30"/>
      <c r="R19" s="31"/>
      <c r="S19" s="30" t="s">
        <v>162</v>
      </c>
      <c r="T19" s="31"/>
      <c r="V19" s="37">
        <v>45569</v>
      </c>
      <c r="W19" s="38" t="s">
        <v>315</v>
      </c>
      <c r="X19" s="52" t="s">
        <v>331</v>
      </c>
      <c r="Y19" s="38"/>
      <c r="Z19" s="39"/>
      <c r="AA19" s="40"/>
      <c r="AB19" s="30"/>
      <c r="AC19" s="31"/>
    </row>
    <row r="20" spans="1:29" ht="113.4" x14ac:dyDescent="0.4">
      <c r="B20" s="30">
        <f t="shared" si="0"/>
        <v>16</v>
      </c>
      <c r="C20" s="30" t="s">
        <v>4</v>
      </c>
      <c r="D20" s="30" t="s">
        <v>46</v>
      </c>
      <c r="E20" s="30" t="s">
        <v>169</v>
      </c>
      <c r="F20" s="30" t="s">
        <v>48</v>
      </c>
      <c r="G20" s="32" t="s">
        <v>73</v>
      </c>
      <c r="H20" s="33" t="s">
        <v>69</v>
      </c>
      <c r="I20" s="32" t="s">
        <v>149</v>
      </c>
      <c r="J20" s="31" t="s">
        <v>44</v>
      </c>
      <c r="K20" s="31" t="s">
        <v>44</v>
      </c>
      <c r="L20" s="31" t="s">
        <v>44</v>
      </c>
      <c r="M20" s="32" t="s">
        <v>292</v>
      </c>
      <c r="N20" s="35">
        <v>1</v>
      </c>
      <c r="O20" s="33" t="s">
        <v>146</v>
      </c>
      <c r="P20" s="36" t="s">
        <v>74</v>
      </c>
      <c r="Q20" s="30"/>
      <c r="R20" s="31"/>
      <c r="S20" s="30" t="s">
        <v>162</v>
      </c>
      <c r="T20" s="31"/>
      <c r="V20" s="37">
        <v>45569</v>
      </c>
      <c r="W20" s="38" t="s">
        <v>315</v>
      </c>
      <c r="X20" s="52" t="s">
        <v>325</v>
      </c>
      <c r="Y20" s="38"/>
      <c r="Z20" s="39"/>
      <c r="AA20" s="40"/>
      <c r="AB20" s="30"/>
      <c r="AC20" s="31"/>
    </row>
    <row r="21" spans="1:29" ht="113.4" x14ac:dyDescent="0.4">
      <c r="B21" s="30">
        <f t="shared" si="0"/>
        <v>17</v>
      </c>
      <c r="C21" s="30" t="s">
        <v>4</v>
      </c>
      <c r="D21" s="30" t="s">
        <v>46</v>
      </c>
      <c r="E21" s="30" t="s">
        <v>169</v>
      </c>
      <c r="F21" s="30" t="s">
        <v>48</v>
      </c>
      <c r="G21" s="32" t="s">
        <v>150</v>
      </c>
      <c r="H21" s="33" t="s">
        <v>75</v>
      </c>
      <c r="I21" s="32" t="s">
        <v>151</v>
      </c>
      <c r="J21" s="31" t="s">
        <v>44</v>
      </c>
      <c r="K21" s="31" t="s">
        <v>44</v>
      </c>
      <c r="L21" s="31" t="s">
        <v>44</v>
      </c>
      <c r="M21" s="32" t="s">
        <v>77</v>
      </c>
      <c r="N21" s="35">
        <v>1</v>
      </c>
      <c r="O21" s="33" t="s">
        <v>146</v>
      </c>
      <c r="P21" s="36" t="s">
        <v>76</v>
      </c>
      <c r="Q21" s="30"/>
      <c r="R21" s="31"/>
      <c r="S21" s="30" t="s">
        <v>94</v>
      </c>
      <c r="T21" s="31"/>
      <c r="V21" s="37">
        <v>45569</v>
      </c>
      <c r="W21" s="38" t="s">
        <v>315</v>
      </c>
      <c r="X21" s="52" t="s">
        <v>326</v>
      </c>
      <c r="Y21" s="39"/>
      <c r="Z21" s="39"/>
      <c r="AA21" s="41"/>
      <c r="AB21" s="30"/>
      <c r="AC21" s="31"/>
    </row>
    <row r="22" spans="1:29" ht="81" x14ac:dyDescent="0.4">
      <c r="A22" s="5" t="s">
        <v>79</v>
      </c>
      <c r="B22" s="30">
        <f t="shared" si="0"/>
        <v>18</v>
      </c>
      <c r="C22" s="30" t="s">
        <v>4</v>
      </c>
      <c r="D22" s="30" t="s">
        <v>46</v>
      </c>
      <c r="E22" s="30" t="s">
        <v>44</v>
      </c>
      <c r="F22" s="30" t="s">
        <v>48</v>
      </c>
      <c r="G22" s="32" t="s">
        <v>152</v>
      </c>
      <c r="H22" s="33" t="s">
        <v>78</v>
      </c>
      <c r="I22" s="32" t="s">
        <v>152</v>
      </c>
      <c r="J22" s="31" t="s">
        <v>44</v>
      </c>
      <c r="K22" s="31" t="s">
        <v>44</v>
      </c>
      <c r="L22" s="31" t="s">
        <v>44</v>
      </c>
      <c r="M22" s="32" t="s">
        <v>153</v>
      </c>
      <c r="N22" s="35">
        <v>1</v>
      </c>
      <c r="O22" s="33" t="s">
        <v>154</v>
      </c>
      <c r="P22" s="36" t="s">
        <v>81</v>
      </c>
      <c r="Q22" s="30"/>
      <c r="R22" s="30"/>
      <c r="S22" s="31" t="s">
        <v>163</v>
      </c>
      <c r="T22" s="31" t="s">
        <v>164</v>
      </c>
      <c r="V22" s="37"/>
      <c r="W22" s="38"/>
      <c r="X22" s="38"/>
      <c r="Y22" s="39"/>
      <c r="Z22" s="38"/>
      <c r="AA22" s="40"/>
      <c r="AB22" s="30"/>
      <c r="AC22" s="31"/>
    </row>
    <row r="23" spans="1:29" ht="97.2" x14ac:dyDescent="0.4">
      <c r="B23" s="30">
        <f t="shared" si="0"/>
        <v>19</v>
      </c>
      <c r="C23" s="30" t="s">
        <v>4</v>
      </c>
      <c r="D23" s="30" t="s">
        <v>46</v>
      </c>
      <c r="E23" s="30" t="s">
        <v>170</v>
      </c>
      <c r="F23" s="30" t="s">
        <v>45</v>
      </c>
      <c r="G23" s="32" t="s">
        <v>82</v>
      </c>
      <c r="H23" s="33" t="s">
        <v>78</v>
      </c>
      <c r="I23" s="32" t="s">
        <v>155</v>
      </c>
      <c r="J23" s="31" t="s">
        <v>44</v>
      </c>
      <c r="K23" s="31" t="s">
        <v>44</v>
      </c>
      <c r="L23" s="33" t="s">
        <v>83</v>
      </c>
      <c r="M23" s="32" t="s">
        <v>85</v>
      </c>
      <c r="N23" s="35">
        <v>1</v>
      </c>
      <c r="O23" s="33" t="s">
        <v>154</v>
      </c>
      <c r="P23" s="36" t="s">
        <v>84</v>
      </c>
      <c r="Q23" s="30"/>
      <c r="R23" s="31"/>
      <c r="S23" s="30" t="s">
        <v>162</v>
      </c>
      <c r="T23" s="31"/>
      <c r="V23" s="37">
        <v>45569</v>
      </c>
      <c r="W23" s="38" t="s">
        <v>315</v>
      </c>
      <c r="X23" s="52" t="s">
        <v>327</v>
      </c>
      <c r="Y23" s="38"/>
      <c r="Z23" s="39"/>
      <c r="AA23" s="40"/>
      <c r="AB23" s="30"/>
      <c r="AC23" s="31"/>
    </row>
    <row r="24" spans="1:29" ht="97.2" x14ac:dyDescent="0.4">
      <c r="A24" s="5" t="s">
        <v>79</v>
      </c>
      <c r="B24" s="30">
        <f t="shared" si="0"/>
        <v>20</v>
      </c>
      <c r="C24" s="30" t="s">
        <v>4</v>
      </c>
      <c r="D24" s="30" t="s">
        <v>46</v>
      </c>
      <c r="E24" s="30" t="s">
        <v>65</v>
      </c>
      <c r="F24" s="30" t="s">
        <v>48</v>
      </c>
      <c r="G24" s="32" t="s">
        <v>156</v>
      </c>
      <c r="H24" s="33" t="s">
        <v>78</v>
      </c>
      <c r="I24" s="32" t="s">
        <v>157</v>
      </c>
      <c r="J24" s="31" t="s">
        <v>44</v>
      </c>
      <c r="K24" s="31" t="s">
        <v>44</v>
      </c>
      <c r="L24" s="33" t="s">
        <v>83</v>
      </c>
      <c r="M24" s="32" t="s">
        <v>158</v>
      </c>
      <c r="N24" s="35">
        <v>1</v>
      </c>
      <c r="O24" s="33" t="s">
        <v>154</v>
      </c>
      <c r="P24" s="36" t="s">
        <v>86</v>
      </c>
      <c r="Q24" s="30"/>
      <c r="R24" s="31"/>
      <c r="S24" s="30" t="s">
        <v>162</v>
      </c>
      <c r="T24" s="31"/>
      <c r="V24" s="37">
        <v>45569</v>
      </c>
      <c r="W24" s="38" t="s">
        <v>315</v>
      </c>
      <c r="X24" s="52" t="s">
        <v>328</v>
      </c>
      <c r="Y24" s="39"/>
      <c r="Z24" s="38"/>
      <c r="AA24" s="40"/>
      <c r="AB24" s="30"/>
      <c r="AC24" s="31"/>
    </row>
    <row r="25" spans="1:29" ht="81" x14ac:dyDescent="0.4">
      <c r="A25" s="5" t="s">
        <v>80</v>
      </c>
      <c r="B25" s="30">
        <f t="shared" si="0"/>
        <v>21</v>
      </c>
      <c r="C25" s="30" t="s">
        <v>4</v>
      </c>
      <c r="D25" s="30" t="s">
        <v>46</v>
      </c>
      <c r="E25" s="30" t="s">
        <v>44</v>
      </c>
      <c r="F25" s="30" t="s">
        <v>48</v>
      </c>
      <c r="G25" s="32" t="s">
        <v>87</v>
      </c>
      <c r="H25" s="33" t="s">
        <v>88</v>
      </c>
      <c r="I25" s="32" t="s">
        <v>89</v>
      </c>
      <c r="J25" s="31" t="s">
        <v>44</v>
      </c>
      <c r="K25" s="31" t="s">
        <v>44</v>
      </c>
      <c r="L25" s="31" t="s">
        <v>44</v>
      </c>
      <c r="M25" s="32" t="s">
        <v>297</v>
      </c>
      <c r="N25" s="35">
        <v>1</v>
      </c>
      <c r="O25" s="33" t="s">
        <v>154</v>
      </c>
      <c r="P25" s="36" t="s">
        <v>90</v>
      </c>
      <c r="Q25" s="30"/>
      <c r="R25" s="31"/>
      <c r="S25" s="30" t="s">
        <v>165</v>
      </c>
      <c r="T25" s="31" t="s">
        <v>166</v>
      </c>
      <c r="U25" s="11"/>
      <c r="V25" s="37"/>
      <c r="W25" s="38"/>
      <c r="X25" s="38"/>
      <c r="Y25" s="38"/>
      <c r="Z25" s="39"/>
      <c r="AA25" s="40"/>
      <c r="AB25" s="30"/>
      <c r="AC25" s="31"/>
    </row>
    <row r="26" spans="1:29" ht="81" x14ac:dyDescent="0.4">
      <c r="B26" s="30">
        <f t="shared" si="0"/>
        <v>22</v>
      </c>
      <c r="C26" s="30" t="s">
        <v>4</v>
      </c>
      <c r="D26" s="30" t="s">
        <v>46</v>
      </c>
      <c r="E26" s="30" t="s">
        <v>65</v>
      </c>
      <c r="F26" s="30" t="s">
        <v>45</v>
      </c>
      <c r="G26" s="32" t="s">
        <v>159</v>
      </c>
      <c r="H26" s="33" t="s">
        <v>78</v>
      </c>
      <c r="I26" s="32" t="s">
        <v>160</v>
      </c>
      <c r="J26" s="31" t="s">
        <v>44</v>
      </c>
      <c r="K26" s="31" t="s">
        <v>44</v>
      </c>
      <c r="L26" s="31" t="s">
        <v>44</v>
      </c>
      <c r="M26" s="32" t="s">
        <v>91</v>
      </c>
      <c r="N26" s="35">
        <v>1</v>
      </c>
      <c r="O26" s="33" t="s">
        <v>154</v>
      </c>
      <c r="P26" s="36" t="s">
        <v>92</v>
      </c>
      <c r="Q26" s="30"/>
      <c r="R26" s="31"/>
      <c r="S26" s="30" t="s">
        <v>167</v>
      </c>
      <c r="T26" s="31" t="s">
        <v>298</v>
      </c>
      <c r="V26" s="37">
        <v>45569</v>
      </c>
      <c r="W26" s="38" t="s">
        <v>315</v>
      </c>
      <c r="X26" s="52" t="s">
        <v>329</v>
      </c>
      <c r="Y26" s="39"/>
      <c r="Z26" s="38"/>
      <c r="AA26" s="40"/>
      <c r="AB26" s="30"/>
      <c r="AC26" s="31"/>
    </row>
    <row r="27" spans="1:29" ht="32.4" x14ac:dyDescent="0.4">
      <c r="B27" s="30">
        <f t="shared" si="0"/>
        <v>23</v>
      </c>
      <c r="C27" s="30" t="s">
        <v>4</v>
      </c>
      <c r="D27" s="30" t="s">
        <v>168</v>
      </c>
      <c r="E27" s="30" t="s">
        <v>169</v>
      </c>
      <c r="F27" s="30" t="s">
        <v>48</v>
      </c>
      <c r="G27" s="32" t="s">
        <v>172</v>
      </c>
      <c r="H27" s="33" t="s">
        <v>171</v>
      </c>
      <c r="I27" s="32" t="s">
        <v>176</v>
      </c>
      <c r="J27" s="31" t="s">
        <v>44</v>
      </c>
      <c r="K27" s="31" t="s">
        <v>44</v>
      </c>
      <c r="L27" s="31" t="s">
        <v>44</v>
      </c>
      <c r="M27" s="32"/>
      <c r="N27" s="35"/>
      <c r="O27" s="33"/>
      <c r="P27" s="43"/>
      <c r="Q27" s="30"/>
      <c r="R27" s="31"/>
      <c r="S27" s="30" t="s">
        <v>167</v>
      </c>
      <c r="T27" s="31" t="s">
        <v>299</v>
      </c>
      <c r="V27" s="37">
        <v>45569</v>
      </c>
      <c r="W27" s="38" t="s">
        <v>315</v>
      </c>
      <c r="X27" s="38" t="s">
        <v>330</v>
      </c>
      <c r="Y27" s="39"/>
      <c r="Z27" s="39"/>
      <c r="AA27" s="41"/>
      <c r="AB27" s="30"/>
      <c r="AC27" s="31"/>
    </row>
    <row r="28" spans="1:29" ht="113.4" x14ac:dyDescent="0.4">
      <c r="B28" s="30">
        <f t="shared" si="0"/>
        <v>24</v>
      </c>
      <c r="C28" s="30" t="s">
        <v>4</v>
      </c>
      <c r="D28" s="30" t="s">
        <v>168</v>
      </c>
      <c r="E28" s="30" t="s">
        <v>169</v>
      </c>
      <c r="F28" s="30" t="s">
        <v>48</v>
      </c>
      <c r="G28" s="32" t="s">
        <v>174</v>
      </c>
      <c r="H28" s="33" t="s">
        <v>173</v>
      </c>
      <c r="I28" s="32" t="s">
        <v>175</v>
      </c>
      <c r="J28" s="31" t="s">
        <v>44</v>
      </c>
      <c r="K28" s="31" t="s">
        <v>44</v>
      </c>
      <c r="L28" s="31" t="s">
        <v>44</v>
      </c>
      <c r="M28" s="32"/>
      <c r="N28" s="35"/>
      <c r="O28" s="33"/>
      <c r="P28" s="43"/>
      <c r="Q28" s="30"/>
      <c r="R28" s="31"/>
      <c r="S28" s="30" t="s">
        <v>167</v>
      </c>
      <c r="T28" s="31" t="s">
        <v>332</v>
      </c>
      <c r="V28" s="37">
        <v>45569</v>
      </c>
      <c r="W28" s="38" t="s">
        <v>315</v>
      </c>
      <c r="X28" s="38" t="s">
        <v>330</v>
      </c>
      <c r="Y28" s="38"/>
      <c r="Z28" s="39"/>
      <c r="AA28" s="40"/>
      <c r="AB28" s="30"/>
      <c r="AC28" s="31"/>
    </row>
    <row r="29" spans="1:29" ht="48.6" x14ac:dyDescent="0.4">
      <c r="B29" s="30">
        <f t="shared" si="0"/>
        <v>25</v>
      </c>
      <c r="C29" s="30" t="s">
        <v>4</v>
      </c>
      <c r="D29" s="30" t="s">
        <v>168</v>
      </c>
      <c r="E29" s="30" t="s">
        <v>169</v>
      </c>
      <c r="F29" s="30" t="s">
        <v>48</v>
      </c>
      <c r="G29" s="32" t="s">
        <v>174</v>
      </c>
      <c r="H29" s="33" t="s">
        <v>173</v>
      </c>
      <c r="I29" s="32" t="s">
        <v>177</v>
      </c>
      <c r="J29" s="31" t="s">
        <v>44</v>
      </c>
      <c r="K29" s="31" t="s">
        <v>44</v>
      </c>
      <c r="L29" s="31" t="s">
        <v>44</v>
      </c>
      <c r="M29" s="32"/>
      <c r="N29" s="35"/>
      <c r="O29" s="33"/>
      <c r="P29" s="43"/>
      <c r="Q29" s="30"/>
      <c r="R29" s="31"/>
      <c r="S29" s="30" t="s">
        <v>167</v>
      </c>
      <c r="T29" s="31" t="s">
        <v>299</v>
      </c>
      <c r="V29" s="37">
        <v>45569</v>
      </c>
      <c r="W29" s="38" t="s">
        <v>315</v>
      </c>
      <c r="X29" s="52" t="s">
        <v>333</v>
      </c>
      <c r="Y29" s="39"/>
      <c r="Z29" s="39"/>
      <c r="AA29" s="41"/>
      <c r="AB29" s="30"/>
      <c r="AC29" s="31"/>
    </row>
    <row r="30" spans="1:29" ht="81" x14ac:dyDescent="0.4">
      <c r="B30" s="30">
        <f t="shared" si="0"/>
        <v>26</v>
      </c>
      <c r="C30" s="30" t="s">
        <v>100</v>
      </c>
      <c r="D30" s="30" t="s">
        <v>46</v>
      </c>
      <c r="E30" s="30" t="s">
        <v>169</v>
      </c>
      <c r="F30" s="30" t="s">
        <v>48</v>
      </c>
      <c r="G30" s="32" t="s">
        <v>179</v>
      </c>
      <c r="H30" s="33" t="s">
        <v>178</v>
      </c>
      <c r="I30" s="32" t="s">
        <v>180</v>
      </c>
      <c r="J30" s="31" t="s">
        <v>44</v>
      </c>
      <c r="K30" s="31" t="s">
        <v>44</v>
      </c>
      <c r="L30" s="31" t="s">
        <v>44</v>
      </c>
      <c r="M30" s="32" t="s">
        <v>300</v>
      </c>
      <c r="N30" s="35">
        <v>1</v>
      </c>
      <c r="O30" s="33" t="s">
        <v>181</v>
      </c>
      <c r="P30" s="36" t="s">
        <v>182</v>
      </c>
      <c r="Q30" s="30"/>
      <c r="R30" s="31"/>
      <c r="S30" s="30" t="s">
        <v>94</v>
      </c>
      <c r="T30" s="31"/>
      <c r="U30" s="11"/>
      <c r="V30" s="37">
        <v>45570</v>
      </c>
      <c r="W30" s="38" t="s">
        <v>315</v>
      </c>
      <c r="X30" s="52" t="s">
        <v>337</v>
      </c>
      <c r="Y30" s="38"/>
      <c r="Z30" s="39"/>
      <c r="AA30" s="40"/>
      <c r="AB30" s="30"/>
      <c r="AC30" s="31"/>
    </row>
    <row r="31" spans="1:29" ht="48.6" x14ac:dyDescent="0.4">
      <c r="B31" s="30">
        <f t="shared" si="0"/>
        <v>27</v>
      </c>
      <c r="C31" s="30" t="s">
        <v>100</v>
      </c>
      <c r="D31" s="30" t="s">
        <v>46</v>
      </c>
      <c r="E31" s="30" t="s">
        <v>169</v>
      </c>
      <c r="F31" s="30" t="s">
        <v>48</v>
      </c>
      <c r="G31" s="32" t="s">
        <v>192</v>
      </c>
      <c r="H31" s="33" t="s">
        <v>193</v>
      </c>
      <c r="I31" s="32" t="s">
        <v>194</v>
      </c>
      <c r="J31" s="31" t="s">
        <v>44</v>
      </c>
      <c r="K31" s="31" t="s">
        <v>44</v>
      </c>
      <c r="L31" s="31" t="s">
        <v>44</v>
      </c>
      <c r="M31" s="32" t="s">
        <v>195</v>
      </c>
      <c r="N31" s="35">
        <v>1</v>
      </c>
      <c r="O31" s="33" t="s">
        <v>196</v>
      </c>
      <c r="P31" s="43"/>
      <c r="Q31" s="30"/>
      <c r="R31" s="31"/>
      <c r="S31" s="30" t="s">
        <v>94</v>
      </c>
      <c r="T31" s="31"/>
      <c r="V31" s="37">
        <v>45570</v>
      </c>
      <c r="W31" s="38" t="s">
        <v>315</v>
      </c>
      <c r="X31" s="52" t="s">
        <v>337</v>
      </c>
      <c r="Y31" s="39"/>
      <c r="Z31" s="38"/>
      <c r="AA31" s="40"/>
      <c r="AB31" s="30"/>
      <c r="AC31" s="31"/>
    </row>
    <row r="32" spans="1:29" ht="48.6" x14ac:dyDescent="0.4">
      <c r="B32" s="30">
        <f t="shared" si="0"/>
        <v>28</v>
      </c>
      <c r="C32" s="30" t="s">
        <v>4</v>
      </c>
      <c r="D32" s="30" t="s">
        <v>168</v>
      </c>
      <c r="E32" s="30" t="s">
        <v>169</v>
      </c>
      <c r="F32" s="30" t="s">
        <v>48</v>
      </c>
      <c r="G32" s="32" t="s">
        <v>183</v>
      </c>
      <c r="H32" s="33" t="s">
        <v>184</v>
      </c>
      <c r="I32" s="32" t="s">
        <v>185</v>
      </c>
      <c r="J32" s="31" t="s">
        <v>44</v>
      </c>
      <c r="K32" s="31" t="s">
        <v>44</v>
      </c>
      <c r="L32" s="31" t="s">
        <v>44</v>
      </c>
      <c r="M32" s="32" t="s">
        <v>186</v>
      </c>
      <c r="N32" s="35"/>
      <c r="O32" s="33"/>
      <c r="P32" s="43"/>
      <c r="Q32" s="30"/>
      <c r="R32" s="31"/>
      <c r="S32" s="30" t="s">
        <v>94</v>
      </c>
      <c r="T32" s="31"/>
      <c r="V32" s="37">
        <v>45570</v>
      </c>
      <c r="W32" s="38" t="s">
        <v>315</v>
      </c>
      <c r="X32" s="52" t="s">
        <v>336</v>
      </c>
      <c r="Y32" s="39"/>
      <c r="Z32" s="39"/>
      <c r="AA32" s="40"/>
      <c r="AB32" s="30"/>
      <c r="AC32" s="31"/>
    </row>
    <row r="33" spans="2:29" ht="162" x14ac:dyDescent="0.4">
      <c r="B33" s="30">
        <f t="shared" si="0"/>
        <v>29</v>
      </c>
      <c r="C33" s="30" t="s">
        <v>4</v>
      </c>
      <c r="D33" s="30" t="s">
        <v>168</v>
      </c>
      <c r="E33" s="30" t="s">
        <v>65</v>
      </c>
      <c r="F33" s="30" t="s">
        <v>45</v>
      </c>
      <c r="G33" s="32" t="s">
        <v>189</v>
      </c>
      <c r="H33" s="33" t="s">
        <v>187</v>
      </c>
      <c r="I33" s="32" t="s">
        <v>188</v>
      </c>
      <c r="J33" s="31" t="s">
        <v>44</v>
      </c>
      <c r="K33" s="31" t="s">
        <v>44</v>
      </c>
      <c r="L33" s="31" t="s">
        <v>44</v>
      </c>
      <c r="M33" s="32" t="s">
        <v>191</v>
      </c>
      <c r="N33" s="35"/>
      <c r="O33" s="33"/>
      <c r="P33" s="43">
        <v>45553</v>
      </c>
      <c r="Q33" s="30"/>
      <c r="R33" s="31"/>
      <c r="S33" s="30" t="s">
        <v>190</v>
      </c>
      <c r="T33" s="31" t="s">
        <v>299</v>
      </c>
      <c r="V33" s="37">
        <v>45570</v>
      </c>
      <c r="W33" s="38" t="s">
        <v>315</v>
      </c>
      <c r="X33" s="52" t="s">
        <v>338</v>
      </c>
      <c r="Y33" s="39"/>
      <c r="Z33" s="39"/>
      <c r="AA33" s="40"/>
      <c r="AB33" s="30"/>
      <c r="AC33" s="31"/>
    </row>
    <row r="34" spans="2:29" ht="97.2" x14ac:dyDescent="0.4">
      <c r="B34" s="30">
        <f t="shared" si="0"/>
        <v>30</v>
      </c>
      <c r="C34" s="30" t="s">
        <v>4</v>
      </c>
      <c r="D34" s="30" t="s">
        <v>46</v>
      </c>
      <c r="E34" s="30" t="s">
        <v>65</v>
      </c>
      <c r="F34" s="30" t="s">
        <v>45</v>
      </c>
      <c r="G34" s="32" t="s">
        <v>197</v>
      </c>
      <c r="H34" s="33" t="s">
        <v>198</v>
      </c>
      <c r="I34" s="32" t="s">
        <v>197</v>
      </c>
      <c r="J34" s="31" t="s">
        <v>44</v>
      </c>
      <c r="K34" s="31" t="s">
        <v>44</v>
      </c>
      <c r="L34" s="31" t="s">
        <v>44</v>
      </c>
      <c r="M34" s="32"/>
      <c r="N34" s="33"/>
      <c r="O34" s="33"/>
      <c r="P34" s="43"/>
      <c r="Q34" s="30"/>
      <c r="R34" s="31"/>
      <c r="S34" s="30" t="s">
        <v>162</v>
      </c>
      <c r="T34" s="31"/>
      <c r="V34" s="37">
        <v>45570</v>
      </c>
      <c r="W34" s="38" t="s">
        <v>315</v>
      </c>
      <c r="X34" s="52" t="s">
        <v>339</v>
      </c>
      <c r="Y34" s="39"/>
      <c r="Z34" s="39"/>
      <c r="AA34" s="40"/>
      <c r="AB34" s="30"/>
      <c r="AC34" s="31"/>
    </row>
    <row r="35" spans="2:29" ht="48.6" x14ac:dyDescent="0.4">
      <c r="B35" s="30">
        <f t="shared" si="0"/>
        <v>31</v>
      </c>
      <c r="C35" s="30" t="s">
        <v>4</v>
      </c>
      <c r="D35" s="30" t="s">
        <v>168</v>
      </c>
      <c r="E35" s="30" t="s">
        <v>65</v>
      </c>
      <c r="F35" s="30" t="s">
        <v>45</v>
      </c>
      <c r="G35" s="32" t="s">
        <v>200</v>
      </c>
      <c r="H35" s="33" t="s">
        <v>199</v>
      </c>
      <c r="I35" s="32" t="s">
        <v>201</v>
      </c>
      <c r="J35" s="31" t="s">
        <v>44</v>
      </c>
      <c r="K35" s="31" t="s">
        <v>44</v>
      </c>
      <c r="L35" s="31" t="s">
        <v>44</v>
      </c>
      <c r="M35" s="32" t="s">
        <v>202</v>
      </c>
      <c r="N35" s="35"/>
      <c r="O35" s="33"/>
      <c r="P35" s="43">
        <v>45553</v>
      </c>
      <c r="Q35" s="30"/>
      <c r="R35" s="31"/>
      <c r="S35" s="30" t="s">
        <v>94</v>
      </c>
      <c r="T35" s="31"/>
      <c r="V35" s="37">
        <v>45570</v>
      </c>
      <c r="W35" s="38" t="s">
        <v>315</v>
      </c>
      <c r="X35" s="52" t="s">
        <v>340</v>
      </c>
      <c r="Y35" s="39"/>
      <c r="Z35" s="38"/>
      <c r="AA35" s="40"/>
      <c r="AB35" s="30"/>
      <c r="AC35" s="31"/>
    </row>
    <row r="36" spans="2:29" ht="97.2" x14ac:dyDescent="0.4">
      <c r="B36" s="30">
        <f t="shared" si="0"/>
        <v>32</v>
      </c>
      <c r="C36" s="30" t="s">
        <v>4</v>
      </c>
      <c r="D36" s="30" t="s">
        <v>168</v>
      </c>
      <c r="E36" s="30" t="s">
        <v>65</v>
      </c>
      <c r="F36" s="30" t="s">
        <v>45</v>
      </c>
      <c r="G36" s="32" t="s">
        <v>205</v>
      </c>
      <c r="H36" s="33" t="s">
        <v>193</v>
      </c>
      <c r="I36" s="32" t="s">
        <v>206</v>
      </c>
      <c r="J36" s="31" t="s">
        <v>44</v>
      </c>
      <c r="K36" s="31" t="s">
        <v>44</v>
      </c>
      <c r="L36" s="31" t="s">
        <v>44</v>
      </c>
      <c r="M36" s="32" t="s">
        <v>207</v>
      </c>
      <c r="N36" s="35"/>
      <c r="O36" s="33"/>
      <c r="P36" s="43">
        <v>45553</v>
      </c>
      <c r="Q36" s="30"/>
      <c r="R36" s="31"/>
      <c r="S36" s="30" t="s">
        <v>94</v>
      </c>
      <c r="T36" s="31"/>
      <c r="V36" s="37">
        <v>45570</v>
      </c>
      <c r="W36" s="38" t="s">
        <v>315</v>
      </c>
      <c r="X36" s="52" t="s">
        <v>342</v>
      </c>
      <c r="Y36" s="38"/>
      <c r="Z36" s="39"/>
      <c r="AA36" s="40"/>
      <c r="AB36" s="30"/>
      <c r="AC36" s="31"/>
    </row>
    <row r="37" spans="2:29" ht="48.6" x14ac:dyDescent="0.4">
      <c r="B37" s="30">
        <f t="shared" si="0"/>
        <v>33</v>
      </c>
      <c r="C37" s="30" t="s">
        <v>4</v>
      </c>
      <c r="D37" s="30" t="s">
        <v>168</v>
      </c>
      <c r="E37" s="30" t="s">
        <v>65</v>
      </c>
      <c r="F37" s="30" t="s">
        <v>45</v>
      </c>
      <c r="G37" s="32" t="s">
        <v>210</v>
      </c>
      <c r="H37" s="33" t="s">
        <v>209</v>
      </c>
      <c r="I37" s="32" t="s">
        <v>211</v>
      </c>
      <c r="J37" s="31" t="s">
        <v>44</v>
      </c>
      <c r="K37" s="31" t="s">
        <v>44</v>
      </c>
      <c r="L37" s="31" t="s">
        <v>44</v>
      </c>
      <c r="M37" s="32" t="s">
        <v>212</v>
      </c>
      <c r="N37" s="35"/>
      <c r="O37" s="33"/>
      <c r="P37" s="43">
        <v>45553</v>
      </c>
      <c r="Q37" s="30"/>
      <c r="R37" s="31"/>
      <c r="S37" s="30" t="s">
        <v>94</v>
      </c>
      <c r="T37" s="31"/>
      <c r="V37" s="37">
        <v>45570</v>
      </c>
      <c r="W37" s="38" t="s">
        <v>315</v>
      </c>
      <c r="X37" s="52" t="s">
        <v>341</v>
      </c>
      <c r="Y37" s="39"/>
      <c r="Z37" s="39"/>
      <c r="AA37" s="41"/>
      <c r="AB37" s="30"/>
      <c r="AC37" s="31"/>
    </row>
    <row r="38" spans="2:29" ht="113.4" x14ac:dyDescent="0.4">
      <c r="B38" s="30">
        <f t="shared" si="0"/>
        <v>34</v>
      </c>
      <c r="C38" s="30" t="s">
        <v>4</v>
      </c>
      <c r="D38" s="30" t="s">
        <v>168</v>
      </c>
      <c r="E38" s="30" t="s">
        <v>65</v>
      </c>
      <c r="F38" s="30" t="s">
        <v>45</v>
      </c>
      <c r="G38" s="32" t="s">
        <v>204</v>
      </c>
      <c r="H38" s="33" t="s">
        <v>203</v>
      </c>
      <c r="I38" s="32" t="s">
        <v>208</v>
      </c>
      <c r="J38" s="31" t="s">
        <v>44</v>
      </c>
      <c r="K38" s="31" t="s">
        <v>44</v>
      </c>
      <c r="L38" s="31" t="s">
        <v>44</v>
      </c>
      <c r="M38" s="32" t="s">
        <v>301</v>
      </c>
      <c r="N38" s="35"/>
      <c r="O38" s="33"/>
      <c r="P38" s="43">
        <v>45553</v>
      </c>
      <c r="Q38" s="30"/>
      <c r="R38" s="31"/>
      <c r="S38" s="30" t="s">
        <v>162</v>
      </c>
      <c r="T38" s="31"/>
      <c r="U38" s="11"/>
      <c r="V38" s="37">
        <v>45570</v>
      </c>
      <c r="W38" s="38" t="s">
        <v>315</v>
      </c>
      <c r="X38" s="52" t="s">
        <v>343</v>
      </c>
      <c r="Y38" s="39"/>
      <c r="Z38" s="39"/>
      <c r="AA38" s="40"/>
      <c r="AB38" s="30"/>
      <c r="AC38" s="31"/>
    </row>
    <row r="39" spans="2:29" ht="48.6" x14ac:dyDescent="0.4">
      <c r="B39" s="30">
        <f t="shared" si="0"/>
        <v>35</v>
      </c>
      <c r="C39" s="30" t="s">
        <v>4</v>
      </c>
      <c r="D39" s="30" t="s">
        <v>46</v>
      </c>
      <c r="E39" s="30" t="s">
        <v>169</v>
      </c>
      <c r="F39" s="30" t="s">
        <v>45</v>
      </c>
      <c r="G39" s="32" t="s">
        <v>214</v>
      </c>
      <c r="H39" s="33" t="s">
        <v>215</v>
      </c>
      <c r="I39" s="32" t="s">
        <v>216</v>
      </c>
      <c r="J39" s="31" t="s">
        <v>44</v>
      </c>
      <c r="K39" s="31" t="s">
        <v>44</v>
      </c>
      <c r="L39" s="31" t="s">
        <v>44</v>
      </c>
      <c r="M39" s="32" t="s">
        <v>302</v>
      </c>
      <c r="N39" s="44"/>
      <c r="O39" s="33" t="s">
        <v>196</v>
      </c>
      <c r="P39" s="43">
        <v>45553</v>
      </c>
      <c r="Q39" s="30"/>
      <c r="R39" s="31"/>
      <c r="S39" s="30" t="s">
        <v>94</v>
      </c>
      <c r="T39" s="31"/>
      <c r="V39" s="37">
        <v>45571</v>
      </c>
      <c r="W39" s="38" t="s">
        <v>315</v>
      </c>
      <c r="X39" s="52" t="s">
        <v>344</v>
      </c>
      <c r="Y39" s="39"/>
      <c r="Z39" s="39"/>
      <c r="AA39" s="40"/>
      <c r="AB39" s="30"/>
      <c r="AC39" s="31"/>
    </row>
    <row r="40" spans="2:29" ht="81" x14ac:dyDescent="0.4">
      <c r="B40" s="30">
        <f t="shared" si="0"/>
        <v>36</v>
      </c>
      <c r="C40" s="30" t="s">
        <v>4</v>
      </c>
      <c r="D40" s="30" t="s">
        <v>46</v>
      </c>
      <c r="E40" s="30" t="s">
        <v>169</v>
      </c>
      <c r="F40" s="30" t="s">
        <v>48</v>
      </c>
      <c r="G40" s="32" t="s">
        <v>304</v>
      </c>
      <c r="H40" s="33" t="s">
        <v>303</v>
      </c>
      <c r="I40" s="32" t="s">
        <v>217</v>
      </c>
      <c r="J40" s="31" t="s">
        <v>44</v>
      </c>
      <c r="K40" s="31" t="s">
        <v>44</v>
      </c>
      <c r="L40" s="31" t="s">
        <v>44</v>
      </c>
      <c r="M40" s="32" t="s">
        <v>305</v>
      </c>
      <c r="N40" s="35"/>
      <c r="O40" s="33" t="s">
        <v>227</v>
      </c>
      <c r="P40" s="43">
        <v>45553</v>
      </c>
      <c r="Q40" s="30"/>
      <c r="R40" s="31"/>
      <c r="S40" s="30" t="s">
        <v>94</v>
      </c>
      <c r="T40" s="31"/>
      <c r="V40" s="37">
        <v>45571</v>
      </c>
      <c r="W40" s="38" t="s">
        <v>315</v>
      </c>
      <c r="X40" s="52" t="s">
        <v>348</v>
      </c>
      <c r="Y40" s="39"/>
      <c r="Z40" s="39"/>
      <c r="AA40" s="40"/>
      <c r="AB40" s="30"/>
      <c r="AC40" s="31"/>
    </row>
    <row r="41" spans="2:29" ht="129.6" x14ac:dyDescent="0.4">
      <c r="B41" s="30">
        <f t="shared" si="0"/>
        <v>37</v>
      </c>
      <c r="C41" s="30" t="s">
        <v>4</v>
      </c>
      <c r="D41" s="30" t="s">
        <v>46</v>
      </c>
      <c r="E41" s="30" t="s">
        <v>169</v>
      </c>
      <c r="F41" s="30" t="s">
        <v>48</v>
      </c>
      <c r="G41" s="32" t="s">
        <v>219</v>
      </c>
      <c r="H41" s="33" t="s">
        <v>223</v>
      </c>
      <c r="I41" s="32" t="s">
        <v>218</v>
      </c>
      <c r="J41" s="31" t="s">
        <v>44</v>
      </c>
      <c r="K41" s="31" t="s">
        <v>44</v>
      </c>
      <c r="L41" s="31" t="s">
        <v>44</v>
      </c>
      <c r="M41" s="32" t="s">
        <v>306</v>
      </c>
      <c r="N41" s="35">
        <v>1</v>
      </c>
      <c r="O41" s="33" t="s">
        <v>196</v>
      </c>
      <c r="P41" s="43">
        <v>45553</v>
      </c>
      <c r="Q41" s="30"/>
      <c r="R41" s="31"/>
      <c r="S41" s="30" t="s">
        <v>94</v>
      </c>
      <c r="T41" s="31" t="s">
        <v>309</v>
      </c>
      <c r="V41" s="37">
        <v>45571</v>
      </c>
      <c r="W41" s="38" t="s">
        <v>315</v>
      </c>
      <c r="X41" s="52" t="s">
        <v>345</v>
      </c>
      <c r="Y41" s="39"/>
      <c r="Z41" s="39"/>
      <c r="AA41" s="40"/>
      <c r="AB41" s="30"/>
      <c r="AC41" s="31"/>
    </row>
    <row r="42" spans="2:29" ht="97.2" x14ac:dyDescent="0.4">
      <c r="B42" s="30">
        <f t="shared" si="0"/>
        <v>38</v>
      </c>
      <c r="C42" s="30" t="s">
        <v>4</v>
      </c>
      <c r="D42" s="30" t="s">
        <v>46</v>
      </c>
      <c r="E42" s="30" t="s">
        <v>169</v>
      </c>
      <c r="F42" s="30" t="s">
        <v>48</v>
      </c>
      <c r="G42" s="32" t="s">
        <v>221</v>
      </c>
      <c r="H42" s="33" t="s">
        <v>222</v>
      </c>
      <c r="I42" s="32" t="s">
        <v>220</v>
      </c>
      <c r="J42" s="31" t="s">
        <v>44</v>
      </c>
      <c r="K42" s="31" t="s">
        <v>44</v>
      </c>
      <c r="L42" s="31" t="s">
        <v>44</v>
      </c>
      <c r="M42" s="32" t="s">
        <v>307</v>
      </c>
      <c r="N42" s="35">
        <v>1</v>
      </c>
      <c r="O42" s="33" t="s">
        <v>196</v>
      </c>
      <c r="P42" s="43">
        <v>45553</v>
      </c>
      <c r="Q42" s="30"/>
      <c r="R42" s="31"/>
      <c r="S42" s="30" t="s">
        <v>94</v>
      </c>
      <c r="T42" s="31"/>
      <c r="V42" s="37">
        <v>45571</v>
      </c>
      <c r="W42" s="38" t="s">
        <v>315</v>
      </c>
      <c r="X42" s="52" t="s">
        <v>346</v>
      </c>
      <c r="Y42" s="39"/>
      <c r="Z42" s="39"/>
      <c r="AA42" s="40"/>
      <c r="AB42" s="30"/>
      <c r="AC42" s="31"/>
    </row>
    <row r="43" spans="2:29" ht="64.8" x14ac:dyDescent="0.4">
      <c r="B43" s="30">
        <f t="shared" si="0"/>
        <v>39</v>
      </c>
      <c r="C43" s="30" t="s">
        <v>8</v>
      </c>
      <c r="D43" s="30" t="s">
        <v>46</v>
      </c>
      <c r="E43" s="30" t="s">
        <v>169</v>
      </c>
      <c r="F43" s="30" t="s">
        <v>48</v>
      </c>
      <c r="G43" s="32" t="s">
        <v>224</v>
      </c>
      <c r="H43" s="33" t="s">
        <v>225</v>
      </c>
      <c r="I43" s="32" t="s">
        <v>226</v>
      </c>
      <c r="J43" s="31" t="s">
        <v>44</v>
      </c>
      <c r="K43" s="31" t="s">
        <v>44</v>
      </c>
      <c r="L43" s="31" t="s">
        <v>44</v>
      </c>
      <c r="M43" s="32" t="s">
        <v>308</v>
      </c>
      <c r="N43" s="35">
        <v>1</v>
      </c>
      <c r="O43" s="33" t="s">
        <v>196</v>
      </c>
      <c r="P43" s="43">
        <v>45553</v>
      </c>
      <c r="Q43" s="30"/>
      <c r="R43" s="31"/>
      <c r="S43" s="30" t="s">
        <v>94</v>
      </c>
      <c r="T43" s="31"/>
      <c r="V43" s="37"/>
      <c r="W43" s="38"/>
      <c r="X43" s="38"/>
      <c r="Y43" s="39"/>
      <c r="Z43" s="39"/>
      <c r="AA43" s="40"/>
      <c r="AB43" s="30"/>
      <c r="AC43" s="31"/>
    </row>
    <row r="44" spans="2:29" ht="64.8" x14ac:dyDescent="0.4">
      <c r="B44" s="30">
        <f t="shared" si="0"/>
        <v>40</v>
      </c>
      <c r="C44" s="30" t="s">
        <v>4</v>
      </c>
      <c r="D44" s="30" t="s">
        <v>46</v>
      </c>
      <c r="E44" s="30" t="s">
        <v>169</v>
      </c>
      <c r="F44" s="30" t="s">
        <v>48</v>
      </c>
      <c r="G44" s="32" t="s">
        <v>228</v>
      </c>
      <c r="H44" s="33" t="s">
        <v>171</v>
      </c>
      <c r="I44" s="32" t="s">
        <v>229</v>
      </c>
      <c r="J44" s="31" t="s">
        <v>44</v>
      </c>
      <c r="K44" s="31" t="s">
        <v>44</v>
      </c>
      <c r="L44" s="31" t="s">
        <v>44</v>
      </c>
      <c r="M44" s="32" t="s">
        <v>310</v>
      </c>
      <c r="N44" s="35">
        <v>1</v>
      </c>
      <c r="O44" s="33" t="s">
        <v>196</v>
      </c>
      <c r="P44" s="43">
        <v>45553</v>
      </c>
      <c r="Q44" s="30"/>
      <c r="R44" s="31"/>
      <c r="S44" s="30" t="s">
        <v>94</v>
      </c>
      <c r="T44" s="31" t="s">
        <v>314</v>
      </c>
      <c r="V44" s="37">
        <v>45571</v>
      </c>
      <c r="W44" s="38" t="s">
        <v>315</v>
      </c>
      <c r="X44" s="52" t="s">
        <v>347</v>
      </c>
      <c r="Y44" s="38"/>
      <c r="Z44" s="39"/>
      <c r="AA44" s="41"/>
      <c r="AB44" s="30"/>
      <c r="AC44" s="31"/>
    </row>
    <row r="45" spans="2:29" ht="162" x14ac:dyDescent="0.4">
      <c r="B45" s="30">
        <f t="shared" si="0"/>
        <v>41</v>
      </c>
      <c r="C45" s="30" t="s">
        <v>4</v>
      </c>
      <c r="D45" s="30" t="s">
        <v>46</v>
      </c>
      <c r="E45" s="30" t="s">
        <v>169</v>
      </c>
      <c r="F45" s="30" t="s">
        <v>48</v>
      </c>
      <c r="G45" s="32" t="s">
        <v>228</v>
      </c>
      <c r="H45" s="33" t="s">
        <v>171</v>
      </c>
      <c r="I45" s="32" t="s">
        <v>245</v>
      </c>
      <c r="J45" s="31" t="s">
        <v>44</v>
      </c>
      <c r="K45" s="31" t="s">
        <v>44</v>
      </c>
      <c r="L45" s="31" t="s">
        <v>246</v>
      </c>
      <c r="M45" s="32" t="s">
        <v>311</v>
      </c>
      <c r="N45" s="35">
        <v>1</v>
      </c>
      <c r="O45" s="33" t="s">
        <v>196</v>
      </c>
      <c r="P45" s="43">
        <v>45553</v>
      </c>
      <c r="Q45" s="30"/>
      <c r="R45" s="31"/>
      <c r="S45" s="30" t="s">
        <v>94</v>
      </c>
      <c r="T45" s="31" t="s">
        <v>312</v>
      </c>
      <c r="V45" s="37">
        <v>45571</v>
      </c>
      <c r="W45" s="38" t="s">
        <v>315</v>
      </c>
      <c r="X45" s="52" t="s">
        <v>349</v>
      </c>
      <c r="Y45" s="39"/>
      <c r="Z45" s="39"/>
      <c r="AA45" s="40"/>
      <c r="AB45" s="30"/>
      <c r="AC45" s="31"/>
    </row>
    <row r="46" spans="2:29" ht="48.6" x14ac:dyDescent="0.4">
      <c r="B46" s="30">
        <f t="shared" si="0"/>
        <v>42</v>
      </c>
      <c r="C46" s="30" t="s">
        <v>4</v>
      </c>
      <c r="D46" s="30" t="s">
        <v>46</v>
      </c>
      <c r="E46" s="30" t="s">
        <v>169</v>
      </c>
      <c r="F46" s="30" t="s">
        <v>48</v>
      </c>
      <c r="G46" s="32" t="s">
        <v>230</v>
      </c>
      <c r="H46" s="33" t="s">
        <v>178</v>
      </c>
      <c r="I46" s="32" t="s">
        <v>230</v>
      </c>
      <c r="J46" s="31" t="s">
        <v>44</v>
      </c>
      <c r="K46" s="31" t="s">
        <v>44</v>
      </c>
      <c r="L46" s="31" t="s">
        <v>44</v>
      </c>
      <c r="M46" s="32" t="s">
        <v>231</v>
      </c>
      <c r="N46" s="35">
        <v>1</v>
      </c>
      <c r="O46" s="33" t="s">
        <v>196</v>
      </c>
      <c r="P46" s="43">
        <v>45553</v>
      </c>
      <c r="Q46" s="30"/>
      <c r="R46" s="31"/>
      <c r="S46" s="30" t="s">
        <v>94</v>
      </c>
      <c r="T46" s="31"/>
      <c r="V46" s="37">
        <v>45571</v>
      </c>
      <c r="W46" s="38" t="s">
        <v>315</v>
      </c>
      <c r="X46" s="52" t="s">
        <v>350</v>
      </c>
      <c r="Y46" s="38"/>
      <c r="Z46" s="39"/>
      <c r="AA46" s="40"/>
      <c r="AB46" s="30"/>
      <c r="AC46" s="31"/>
    </row>
    <row r="47" spans="2:29" ht="145.80000000000001" x14ac:dyDescent="0.4">
      <c r="B47" s="30">
        <f t="shared" si="0"/>
        <v>43</v>
      </c>
      <c r="C47" s="30" t="s">
        <v>4</v>
      </c>
      <c r="D47" s="30" t="s">
        <v>46</v>
      </c>
      <c r="E47" s="30" t="s">
        <v>169</v>
      </c>
      <c r="F47" s="30" t="s">
        <v>48</v>
      </c>
      <c r="G47" s="32" t="s">
        <v>240</v>
      </c>
      <c r="H47" s="33" t="s">
        <v>171</v>
      </c>
      <c r="I47" s="32" t="s">
        <v>233</v>
      </c>
      <c r="J47" s="31" t="s">
        <v>44</v>
      </c>
      <c r="K47" s="31" t="s">
        <v>44</v>
      </c>
      <c r="L47" s="31" t="s">
        <v>232</v>
      </c>
      <c r="M47" s="32" t="s">
        <v>234</v>
      </c>
      <c r="N47" s="35">
        <v>1</v>
      </c>
      <c r="O47" s="33" t="s">
        <v>227</v>
      </c>
      <c r="P47" s="43">
        <v>45553</v>
      </c>
      <c r="Q47" s="30"/>
      <c r="R47" s="31"/>
      <c r="S47" s="30" t="s">
        <v>94</v>
      </c>
      <c r="T47" s="31"/>
      <c r="V47" s="37">
        <v>45571</v>
      </c>
      <c r="W47" s="38" t="s">
        <v>315</v>
      </c>
      <c r="X47" s="52" t="s">
        <v>362</v>
      </c>
      <c r="Y47" s="38"/>
      <c r="Z47" s="39"/>
      <c r="AA47" s="40"/>
      <c r="AB47" s="30"/>
      <c r="AC47" s="31"/>
    </row>
    <row r="48" spans="2:29" ht="97.2" x14ac:dyDescent="0.4">
      <c r="B48" s="30">
        <f t="shared" si="0"/>
        <v>44</v>
      </c>
      <c r="C48" s="30" t="s">
        <v>4</v>
      </c>
      <c r="D48" s="30" t="s">
        <v>46</v>
      </c>
      <c r="E48" s="30" t="s">
        <v>169</v>
      </c>
      <c r="F48" s="30" t="s">
        <v>48</v>
      </c>
      <c r="G48" s="32" t="s">
        <v>235</v>
      </c>
      <c r="H48" s="33" t="s">
        <v>241</v>
      </c>
      <c r="I48" s="32" t="s">
        <v>235</v>
      </c>
      <c r="J48" s="31" t="s">
        <v>44</v>
      </c>
      <c r="K48" s="31" t="s">
        <v>44</v>
      </c>
      <c r="L48" s="33" t="s">
        <v>236</v>
      </c>
      <c r="M48" s="32" t="s">
        <v>313</v>
      </c>
      <c r="N48" s="35">
        <v>1</v>
      </c>
      <c r="O48" s="33" t="s">
        <v>227</v>
      </c>
      <c r="P48" s="43">
        <v>45553</v>
      </c>
      <c r="Q48" s="30"/>
      <c r="R48" s="31"/>
      <c r="S48" s="30" t="s">
        <v>94</v>
      </c>
      <c r="T48" s="31"/>
      <c r="V48" s="37">
        <v>45571</v>
      </c>
      <c r="W48" s="38" t="s">
        <v>315</v>
      </c>
      <c r="X48" s="52" t="s">
        <v>351</v>
      </c>
      <c r="Y48" s="39"/>
      <c r="Z48" s="39"/>
      <c r="AA48" s="40"/>
      <c r="AB48" s="30"/>
      <c r="AC48" s="31"/>
    </row>
    <row r="49" spans="2:29" ht="81" x14ac:dyDescent="0.4">
      <c r="B49" s="30">
        <f t="shared" si="0"/>
        <v>45</v>
      </c>
      <c r="C49" s="30" t="s">
        <v>4</v>
      </c>
      <c r="D49" s="30" t="s">
        <v>46</v>
      </c>
      <c r="E49" s="30" t="s">
        <v>170</v>
      </c>
      <c r="F49" s="30" t="s">
        <v>45</v>
      </c>
      <c r="G49" s="32" t="s">
        <v>237</v>
      </c>
      <c r="H49" s="33" t="s">
        <v>178</v>
      </c>
      <c r="I49" s="32" t="s">
        <v>237</v>
      </c>
      <c r="J49" s="31" t="s">
        <v>44</v>
      </c>
      <c r="K49" s="31" t="s">
        <v>44</v>
      </c>
      <c r="L49" s="33" t="s">
        <v>238</v>
      </c>
      <c r="M49" s="32" t="s">
        <v>239</v>
      </c>
      <c r="N49" s="35">
        <v>1</v>
      </c>
      <c r="O49" s="33" t="s">
        <v>227</v>
      </c>
      <c r="P49" s="43">
        <v>45553</v>
      </c>
      <c r="Q49" s="30"/>
      <c r="R49" s="31"/>
      <c r="S49" s="30" t="s">
        <v>94</v>
      </c>
      <c r="T49" s="31"/>
      <c r="V49" s="37">
        <v>45571</v>
      </c>
      <c r="W49" s="38" t="s">
        <v>315</v>
      </c>
      <c r="X49" s="52" t="s">
        <v>352</v>
      </c>
      <c r="Y49" s="38"/>
      <c r="Z49" s="39"/>
      <c r="AA49" s="40"/>
      <c r="AB49" s="30"/>
      <c r="AC49" s="31"/>
    </row>
    <row r="50" spans="2:29" ht="81" x14ac:dyDescent="0.4">
      <c r="B50" s="30">
        <f t="shared" si="0"/>
        <v>46</v>
      </c>
      <c r="C50" s="30" t="s">
        <v>4</v>
      </c>
      <c r="D50" s="30" t="s">
        <v>46</v>
      </c>
      <c r="E50" s="30" t="s">
        <v>170</v>
      </c>
      <c r="F50" s="30" t="s">
        <v>45</v>
      </c>
      <c r="G50" s="32" t="s">
        <v>242</v>
      </c>
      <c r="H50" s="33" t="s">
        <v>178</v>
      </c>
      <c r="I50" s="32" t="s">
        <v>243</v>
      </c>
      <c r="J50" s="31" t="s">
        <v>44</v>
      </c>
      <c r="K50" s="31" t="s">
        <v>44</v>
      </c>
      <c r="L50" s="32" t="s">
        <v>44</v>
      </c>
      <c r="M50" s="32" t="s">
        <v>244</v>
      </c>
      <c r="N50" s="35">
        <v>1</v>
      </c>
      <c r="O50" s="33" t="s">
        <v>227</v>
      </c>
      <c r="P50" s="43">
        <v>45553</v>
      </c>
      <c r="Q50" s="30"/>
      <c r="R50" s="31"/>
      <c r="S50" s="30" t="s">
        <v>94</v>
      </c>
      <c r="T50" s="31"/>
      <c r="V50" s="37">
        <v>45571</v>
      </c>
      <c r="W50" s="38" t="s">
        <v>315</v>
      </c>
      <c r="X50" s="52" t="s">
        <v>362</v>
      </c>
      <c r="Y50" s="39"/>
      <c r="Z50" s="39"/>
      <c r="AA50" s="40"/>
      <c r="AB50" s="30"/>
      <c r="AC50" s="31"/>
    </row>
    <row r="51" spans="2:29" ht="113.4" x14ac:dyDescent="0.4">
      <c r="B51" s="30">
        <f t="shared" si="0"/>
        <v>47</v>
      </c>
      <c r="C51" s="30" t="s">
        <v>4</v>
      </c>
      <c r="D51" s="30" t="s">
        <v>46</v>
      </c>
      <c r="E51" s="30" t="s">
        <v>169</v>
      </c>
      <c r="F51" s="30" t="s">
        <v>48</v>
      </c>
      <c r="G51" s="32" t="s">
        <v>247</v>
      </c>
      <c r="H51" s="33"/>
      <c r="I51" s="32" t="s">
        <v>250</v>
      </c>
      <c r="J51" s="31" t="s">
        <v>44</v>
      </c>
      <c r="K51" s="31" t="s">
        <v>44</v>
      </c>
      <c r="L51" s="32" t="s">
        <v>249</v>
      </c>
      <c r="M51" s="32" t="s">
        <v>248</v>
      </c>
      <c r="N51" s="35">
        <v>1</v>
      </c>
      <c r="O51" s="33" t="s">
        <v>227</v>
      </c>
      <c r="P51" s="43"/>
      <c r="Q51" s="30"/>
      <c r="R51" s="31"/>
      <c r="S51" s="30" t="s">
        <v>94</v>
      </c>
      <c r="T51" s="31"/>
      <c r="V51" s="37">
        <v>45571</v>
      </c>
      <c r="W51" s="38" t="s">
        <v>315</v>
      </c>
      <c r="X51" s="52" t="s">
        <v>362</v>
      </c>
      <c r="Y51" s="39"/>
      <c r="Z51" s="39"/>
      <c r="AA51" s="40"/>
      <c r="AB51" s="30"/>
      <c r="AC51" s="31"/>
    </row>
    <row r="52" spans="2:29" ht="48.6" x14ac:dyDescent="0.4">
      <c r="B52" s="30">
        <f t="shared" si="0"/>
        <v>48</v>
      </c>
      <c r="C52" s="30" t="s">
        <v>4</v>
      </c>
      <c r="D52" s="30" t="s">
        <v>46</v>
      </c>
      <c r="E52" s="30" t="s">
        <v>65</v>
      </c>
      <c r="F52" s="30" t="s">
        <v>45</v>
      </c>
      <c r="G52" s="32" t="s">
        <v>252</v>
      </c>
      <c r="H52" s="33"/>
      <c r="I52" s="32" t="s">
        <v>251</v>
      </c>
      <c r="J52" s="31" t="s">
        <v>44</v>
      </c>
      <c r="K52" s="31" t="s">
        <v>44</v>
      </c>
      <c r="L52" s="31" t="s">
        <v>44</v>
      </c>
      <c r="M52" s="31" t="s">
        <v>44</v>
      </c>
      <c r="N52" s="31" t="s">
        <v>44</v>
      </c>
      <c r="O52" s="31" t="s">
        <v>44</v>
      </c>
      <c r="P52" s="31" t="s">
        <v>44</v>
      </c>
      <c r="Q52" s="31" t="s">
        <v>44</v>
      </c>
      <c r="R52" s="31" t="s">
        <v>44</v>
      </c>
      <c r="S52" s="30" t="s">
        <v>94</v>
      </c>
      <c r="T52" s="31" t="s">
        <v>44</v>
      </c>
      <c r="V52" s="37">
        <v>45571</v>
      </c>
      <c r="W52" s="38" t="s">
        <v>315</v>
      </c>
      <c r="X52" s="53" t="s">
        <v>353</v>
      </c>
      <c r="Y52" s="39"/>
      <c r="Z52" s="39"/>
      <c r="AA52" s="40"/>
      <c r="AB52" s="30"/>
      <c r="AC52" s="31"/>
    </row>
    <row r="53" spans="2:29" ht="48.6" x14ac:dyDescent="0.4">
      <c r="B53" s="30">
        <f t="shared" si="0"/>
        <v>49</v>
      </c>
      <c r="C53" s="30" t="s">
        <v>4</v>
      </c>
      <c r="D53" s="30" t="s">
        <v>46</v>
      </c>
      <c r="E53" s="30" t="s">
        <v>65</v>
      </c>
      <c r="F53" s="30" t="s">
        <v>45</v>
      </c>
      <c r="G53" s="32" t="s">
        <v>253</v>
      </c>
      <c r="H53" s="33" t="str">
        <f>G53</f>
        <v>得意先商品マスタ</v>
      </c>
      <c r="I53" s="32" t="s">
        <v>285</v>
      </c>
      <c r="J53" s="31" t="s">
        <v>44</v>
      </c>
      <c r="K53" s="31" t="s">
        <v>44</v>
      </c>
      <c r="L53" s="31" t="s">
        <v>44</v>
      </c>
      <c r="M53" s="31" t="s">
        <v>44</v>
      </c>
      <c r="N53" s="31" t="s">
        <v>44</v>
      </c>
      <c r="O53" s="31" t="s">
        <v>44</v>
      </c>
      <c r="P53" s="31" t="s">
        <v>44</v>
      </c>
      <c r="Q53" s="31" t="s">
        <v>44</v>
      </c>
      <c r="R53" s="31" t="s">
        <v>44</v>
      </c>
      <c r="S53" s="30" t="s">
        <v>94</v>
      </c>
      <c r="T53" s="31" t="s">
        <v>44</v>
      </c>
      <c r="V53" s="37">
        <v>45571</v>
      </c>
      <c r="W53" s="38" t="s">
        <v>315</v>
      </c>
      <c r="X53" s="53" t="s">
        <v>354</v>
      </c>
      <c r="Y53" s="39"/>
      <c r="Z53" s="39"/>
      <c r="AA53" s="40"/>
      <c r="AB53" s="30"/>
      <c r="AC53" s="31"/>
    </row>
    <row r="54" spans="2:29" ht="48.6" x14ac:dyDescent="0.4">
      <c r="B54" s="30">
        <f t="shared" si="0"/>
        <v>50</v>
      </c>
      <c r="C54" s="30" t="s">
        <v>4</v>
      </c>
      <c r="D54" s="30" t="s">
        <v>46</v>
      </c>
      <c r="E54" s="30" t="s">
        <v>65</v>
      </c>
      <c r="F54" s="30" t="s">
        <v>45</v>
      </c>
      <c r="G54" s="32" t="s">
        <v>254</v>
      </c>
      <c r="H54" s="33" t="str">
        <f t="shared" ref="H54:H85" si="1">G54</f>
        <v>仕入先別商品マスタ</v>
      </c>
      <c r="I54" s="32" t="s">
        <v>286</v>
      </c>
      <c r="J54" s="31" t="s">
        <v>44</v>
      </c>
      <c r="K54" s="31" t="s">
        <v>44</v>
      </c>
      <c r="L54" s="31" t="s">
        <v>44</v>
      </c>
      <c r="M54" s="31" t="s">
        <v>44</v>
      </c>
      <c r="N54" s="31" t="s">
        <v>44</v>
      </c>
      <c r="O54" s="31" t="s">
        <v>44</v>
      </c>
      <c r="P54" s="31" t="s">
        <v>44</v>
      </c>
      <c r="Q54" s="31" t="s">
        <v>44</v>
      </c>
      <c r="R54" s="31" t="s">
        <v>44</v>
      </c>
      <c r="S54" s="30" t="s">
        <v>94</v>
      </c>
      <c r="T54" s="31" t="s">
        <v>44</v>
      </c>
      <c r="V54" s="37">
        <v>45571</v>
      </c>
      <c r="W54" s="38" t="s">
        <v>315</v>
      </c>
      <c r="X54" s="53" t="s">
        <v>355</v>
      </c>
      <c r="Y54" s="38"/>
      <c r="Z54" s="39"/>
      <c r="AA54" s="40"/>
      <c r="AB54" s="30"/>
      <c r="AC54" s="31"/>
    </row>
    <row r="55" spans="2:29" ht="48.6" x14ac:dyDescent="0.4">
      <c r="B55" s="30">
        <f t="shared" si="0"/>
        <v>51</v>
      </c>
      <c r="C55" s="30" t="s">
        <v>4</v>
      </c>
      <c r="D55" s="30" t="s">
        <v>46</v>
      </c>
      <c r="E55" s="30" t="s">
        <v>65</v>
      </c>
      <c r="F55" s="30" t="s">
        <v>45</v>
      </c>
      <c r="G55" s="32" t="s">
        <v>255</v>
      </c>
      <c r="H55" s="33" t="str">
        <f t="shared" si="1"/>
        <v>得意先納入先別</v>
      </c>
      <c r="I55" s="32" t="str">
        <f>G55&amp;"が無い"</f>
        <v>得意先納入先別が無い</v>
      </c>
      <c r="J55" s="31" t="s">
        <v>44</v>
      </c>
      <c r="K55" s="31" t="s">
        <v>44</v>
      </c>
      <c r="L55" s="31" t="s">
        <v>44</v>
      </c>
      <c r="M55" s="31" t="s">
        <v>44</v>
      </c>
      <c r="N55" s="31" t="s">
        <v>44</v>
      </c>
      <c r="O55" s="31" t="s">
        <v>44</v>
      </c>
      <c r="P55" s="31" t="s">
        <v>44</v>
      </c>
      <c r="Q55" s="31" t="s">
        <v>44</v>
      </c>
      <c r="R55" s="31" t="s">
        <v>44</v>
      </c>
      <c r="S55" s="30" t="s">
        <v>94</v>
      </c>
      <c r="T55" s="31" t="s">
        <v>44</v>
      </c>
      <c r="V55" s="37">
        <v>45571</v>
      </c>
      <c r="W55" s="38" t="s">
        <v>315</v>
      </c>
      <c r="X55" s="53" t="s">
        <v>356</v>
      </c>
      <c r="Y55" s="39"/>
      <c r="Z55" s="39"/>
      <c r="AA55" s="40"/>
      <c r="AB55" s="30"/>
      <c r="AC55" s="31"/>
    </row>
    <row r="56" spans="2:29" ht="48.6" x14ac:dyDescent="0.4">
      <c r="B56" s="30">
        <f t="shared" si="0"/>
        <v>52</v>
      </c>
      <c r="C56" s="30" t="s">
        <v>4</v>
      </c>
      <c r="D56" s="30" t="s">
        <v>46</v>
      </c>
      <c r="E56" s="30" t="s">
        <v>65</v>
      </c>
      <c r="F56" s="30" t="s">
        <v>45</v>
      </c>
      <c r="G56" s="32" t="s">
        <v>256</v>
      </c>
      <c r="H56" s="33" t="str">
        <f t="shared" si="1"/>
        <v>得意先納入先別商品単価マスタ</v>
      </c>
      <c r="I56" s="32" t="str">
        <f t="shared" ref="I56:I84" si="2">G56&amp;"が無い"</f>
        <v>得意先納入先別商品単価マスタが無い</v>
      </c>
      <c r="J56" s="31" t="s">
        <v>44</v>
      </c>
      <c r="K56" s="31" t="s">
        <v>44</v>
      </c>
      <c r="L56" s="31" t="s">
        <v>44</v>
      </c>
      <c r="M56" s="31" t="s">
        <v>44</v>
      </c>
      <c r="N56" s="31" t="s">
        <v>44</v>
      </c>
      <c r="O56" s="31" t="s">
        <v>44</v>
      </c>
      <c r="P56" s="31" t="s">
        <v>44</v>
      </c>
      <c r="Q56" s="31" t="s">
        <v>44</v>
      </c>
      <c r="R56" s="31" t="s">
        <v>44</v>
      </c>
      <c r="S56" s="30" t="s">
        <v>94</v>
      </c>
      <c r="T56" s="31" t="s">
        <v>44</v>
      </c>
      <c r="V56" s="37">
        <v>45571</v>
      </c>
      <c r="W56" s="38" t="s">
        <v>315</v>
      </c>
      <c r="X56" s="53" t="s">
        <v>357</v>
      </c>
      <c r="Y56" s="38"/>
      <c r="Z56" s="39"/>
      <c r="AA56" s="40"/>
      <c r="AB56" s="30"/>
      <c r="AC56" s="31"/>
    </row>
    <row r="57" spans="2:29" ht="48.6" x14ac:dyDescent="0.4">
      <c r="B57" s="30">
        <f t="shared" si="0"/>
        <v>53</v>
      </c>
      <c r="C57" s="30" t="s">
        <v>4</v>
      </c>
      <c r="D57" s="30" t="s">
        <v>46</v>
      </c>
      <c r="E57" s="30" t="s">
        <v>65</v>
      </c>
      <c r="F57" s="30" t="s">
        <v>45</v>
      </c>
      <c r="G57" s="32" t="s">
        <v>257</v>
      </c>
      <c r="H57" s="33" t="str">
        <f t="shared" si="1"/>
        <v>仕入先商品単価マスタ</v>
      </c>
      <c r="I57" s="32" t="str">
        <f t="shared" si="2"/>
        <v>仕入先商品単価マスタが無い</v>
      </c>
      <c r="J57" s="31" t="s">
        <v>44</v>
      </c>
      <c r="K57" s="31" t="s">
        <v>44</v>
      </c>
      <c r="L57" s="31" t="s">
        <v>44</v>
      </c>
      <c r="M57" s="31" t="s">
        <v>44</v>
      </c>
      <c r="N57" s="31" t="s">
        <v>44</v>
      </c>
      <c r="O57" s="31" t="s">
        <v>44</v>
      </c>
      <c r="P57" s="31" t="s">
        <v>44</v>
      </c>
      <c r="Q57" s="31" t="s">
        <v>44</v>
      </c>
      <c r="R57" s="31" t="s">
        <v>44</v>
      </c>
      <c r="S57" s="30" t="s">
        <v>94</v>
      </c>
      <c r="T57" s="31" t="s">
        <v>44</v>
      </c>
      <c r="V57" s="37">
        <v>45571</v>
      </c>
      <c r="W57" s="38" t="s">
        <v>315</v>
      </c>
      <c r="X57" s="53" t="s">
        <v>358</v>
      </c>
      <c r="Y57" s="39"/>
      <c r="Z57" s="39"/>
      <c r="AA57" s="40"/>
      <c r="AB57" s="30"/>
      <c r="AC57" s="31"/>
    </row>
    <row r="58" spans="2:29" ht="48.6" x14ac:dyDescent="0.4">
      <c r="B58" s="30">
        <f t="shared" si="0"/>
        <v>54</v>
      </c>
      <c r="C58" s="30" t="s">
        <v>4</v>
      </c>
      <c r="D58" s="30" t="s">
        <v>46</v>
      </c>
      <c r="E58" s="30" t="s">
        <v>65</v>
      </c>
      <c r="F58" s="30" t="s">
        <v>45</v>
      </c>
      <c r="G58" s="32" t="s">
        <v>258</v>
      </c>
      <c r="H58" s="33" t="str">
        <f t="shared" si="1"/>
        <v>商品荷姿マスタ</v>
      </c>
      <c r="I58" s="32" t="str">
        <f t="shared" si="2"/>
        <v>商品荷姿マスタが無い</v>
      </c>
      <c r="J58" s="31" t="s">
        <v>44</v>
      </c>
      <c r="K58" s="31" t="s">
        <v>44</v>
      </c>
      <c r="L58" s="31" t="s">
        <v>44</v>
      </c>
      <c r="M58" s="31" t="s">
        <v>44</v>
      </c>
      <c r="N58" s="31" t="s">
        <v>44</v>
      </c>
      <c r="O58" s="31" t="s">
        <v>44</v>
      </c>
      <c r="P58" s="31" t="s">
        <v>44</v>
      </c>
      <c r="Q58" s="31" t="s">
        <v>44</v>
      </c>
      <c r="R58" s="31" t="s">
        <v>44</v>
      </c>
      <c r="S58" s="30" t="s">
        <v>94</v>
      </c>
      <c r="T58" s="31" t="s">
        <v>44</v>
      </c>
      <c r="V58" s="37">
        <v>45571</v>
      </c>
      <c r="W58" s="38" t="s">
        <v>315</v>
      </c>
      <c r="X58" s="53" t="s">
        <v>359</v>
      </c>
      <c r="Y58" s="39"/>
      <c r="Z58" s="39"/>
      <c r="AA58" s="40"/>
      <c r="AB58" s="30"/>
      <c r="AC58" s="31"/>
    </row>
    <row r="59" spans="2:29" ht="48.6" x14ac:dyDescent="0.4">
      <c r="B59" s="30">
        <f t="shared" si="0"/>
        <v>55</v>
      </c>
      <c r="C59" s="30" t="s">
        <v>4</v>
      </c>
      <c r="D59" s="30" t="s">
        <v>46</v>
      </c>
      <c r="E59" s="30" t="s">
        <v>65</v>
      </c>
      <c r="F59" s="30" t="s">
        <v>45</v>
      </c>
      <c r="G59" s="32" t="s">
        <v>259</v>
      </c>
      <c r="H59" s="33" t="str">
        <f t="shared" si="1"/>
        <v>商品構成マスタ</v>
      </c>
      <c r="I59" s="32" t="str">
        <f t="shared" si="2"/>
        <v>商品構成マスタが無い</v>
      </c>
      <c r="J59" s="31" t="s">
        <v>44</v>
      </c>
      <c r="K59" s="31" t="s">
        <v>44</v>
      </c>
      <c r="L59" s="31" t="s">
        <v>44</v>
      </c>
      <c r="M59" s="31" t="s">
        <v>44</v>
      </c>
      <c r="N59" s="31" t="s">
        <v>44</v>
      </c>
      <c r="O59" s="31" t="s">
        <v>44</v>
      </c>
      <c r="P59" s="31" t="s">
        <v>44</v>
      </c>
      <c r="Q59" s="31" t="s">
        <v>44</v>
      </c>
      <c r="R59" s="31" t="s">
        <v>44</v>
      </c>
      <c r="S59" s="30" t="s">
        <v>94</v>
      </c>
      <c r="T59" s="31" t="s">
        <v>44</v>
      </c>
      <c r="V59" s="37">
        <v>45571</v>
      </c>
      <c r="W59" s="38" t="s">
        <v>315</v>
      </c>
      <c r="X59" s="53" t="s">
        <v>360</v>
      </c>
      <c r="Y59" s="38"/>
      <c r="Z59" s="39"/>
      <c r="AA59" s="40"/>
      <c r="AB59" s="30"/>
      <c r="AC59" s="31"/>
    </row>
    <row r="60" spans="2:29" ht="48.6" x14ac:dyDescent="0.4">
      <c r="B60" s="30">
        <f t="shared" si="0"/>
        <v>56</v>
      </c>
      <c r="C60" s="30" t="s">
        <v>4</v>
      </c>
      <c r="D60" s="30" t="s">
        <v>46</v>
      </c>
      <c r="E60" s="30" t="s">
        <v>65</v>
      </c>
      <c r="F60" s="30" t="s">
        <v>45</v>
      </c>
      <c r="G60" s="32" t="s">
        <v>260</v>
      </c>
      <c r="H60" s="33" t="str">
        <f t="shared" si="1"/>
        <v>セット出荷マスタ</v>
      </c>
      <c r="I60" s="32" t="str">
        <f t="shared" si="2"/>
        <v>セット出荷マスタが無い</v>
      </c>
      <c r="J60" s="31" t="s">
        <v>44</v>
      </c>
      <c r="K60" s="31" t="s">
        <v>44</v>
      </c>
      <c r="L60" s="31" t="s">
        <v>44</v>
      </c>
      <c r="M60" s="31" t="s">
        <v>44</v>
      </c>
      <c r="N60" s="31" t="s">
        <v>44</v>
      </c>
      <c r="O60" s="31" t="s">
        <v>44</v>
      </c>
      <c r="P60" s="31" t="s">
        <v>44</v>
      </c>
      <c r="Q60" s="31" t="s">
        <v>44</v>
      </c>
      <c r="R60" s="31" t="s">
        <v>44</v>
      </c>
      <c r="S60" s="30" t="s">
        <v>94</v>
      </c>
      <c r="T60" s="31" t="s">
        <v>44</v>
      </c>
      <c r="V60" s="37">
        <v>45571</v>
      </c>
      <c r="W60" s="38" t="s">
        <v>315</v>
      </c>
      <c r="X60" s="53" t="s">
        <v>361</v>
      </c>
      <c r="Y60" s="39"/>
      <c r="Z60" s="39"/>
      <c r="AA60" s="40"/>
      <c r="AB60" s="30"/>
      <c r="AC60" s="31"/>
    </row>
    <row r="61" spans="2:29" ht="32.4" x14ac:dyDescent="0.4">
      <c r="B61" s="30">
        <f t="shared" si="0"/>
        <v>57</v>
      </c>
      <c r="C61" s="30" t="s">
        <v>4</v>
      </c>
      <c r="D61" s="30" t="s">
        <v>46</v>
      </c>
      <c r="E61" s="30" t="s">
        <v>65</v>
      </c>
      <c r="F61" s="30" t="s">
        <v>45</v>
      </c>
      <c r="G61" s="32" t="s">
        <v>261</v>
      </c>
      <c r="H61" s="33" t="str">
        <f t="shared" si="1"/>
        <v>在庫情報マスタ</v>
      </c>
      <c r="I61" s="32" t="str">
        <f t="shared" si="2"/>
        <v>在庫情報マスタが無い</v>
      </c>
      <c r="J61" s="31" t="s">
        <v>44</v>
      </c>
      <c r="K61" s="31" t="s">
        <v>44</v>
      </c>
      <c r="L61" s="31" t="s">
        <v>44</v>
      </c>
      <c r="M61" s="31" t="s">
        <v>44</v>
      </c>
      <c r="N61" s="31" t="s">
        <v>44</v>
      </c>
      <c r="O61" s="31" t="s">
        <v>44</v>
      </c>
      <c r="P61" s="31" t="s">
        <v>44</v>
      </c>
      <c r="Q61" s="31" t="s">
        <v>44</v>
      </c>
      <c r="R61" s="31" t="s">
        <v>44</v>
      </c>
      <c r="S61" s="30" t="s">
        <v>94</v>
      </c>
      <c r="T61" s="31" t="s">
        <v>44</v>
      </c>
      <c r="V61" s="37">
        <v>45571</v>
      </c>
      <c r="W61" s="38" t="s">
        <v>315</v>
      </c>
      <c r="X61" s="52" t="s">
        <v>362</v>
      </c>
      <c r="Y61" s="39"/>
      <c r="Z61" s="39"/>
      <c r="AA61" s="40"/>
      <c r="AB61" s="30"/>
      <c r="AC61" s="31"/>
    </row>
    <row r="62" spans="2:29" ht="81" x14ac:dyDescent="0.4">
      <c r="B62" s="30">
        <f t="shared" si="0"/>
        <v>58</v>
      </c>
      <c r="C62" s="30" t="s">
        <v>4</v>
      </c>
      <c r="D62" s="30" t="s">
        <v>46</v>
      </c>
      <c r="E62" s="30" t="s">
        <v>65</v>
      </c>
      <c r="F62" s="30" t="s">
        <v>45</v>
      </c>
      <c r="G62" s="32" t="s">
        <v>262</v>
      </c>
      <c r="H62" s="33" t="str">
        <f t="shared" si="1"/>
        <v>メッセージマスタ</v>
      </c>
      <c r="I62" s="32" t="str">
        <f t="shared" si="2"/>
        <v>メッセージマスタが無い</v>
      </c>
      <c r="J62" s="31" t="s">
        <v>44</v>
      </c>
      <c r="K62" s="31" t="s">
        <v>44</v>
      </c>
      <c r="L62" s="31" t="s">
        <v>44</v>
      </c>
      <c r="M62" s="31" t="s">
        <v>44</v>
      </c>
      <c r="N62" s="31" t="s">
        <v>44</v>
      </c>
      <c r="O62" s="31" t="s">
        <v>44</v>
      </c>
      <c r="P62" s="31" t="s">
        <v>44</v>
      </c>
      <c r="Q62" s="31" t="s">
        <v>44</v>
      </c>
      <c r="R62" s="31" t="s">
        <v>44</v>
      </c>
      <c r="S62" s="30" t="s">
        <v>94</v>
      </c>
      <c r="T62" s="31" t="s">
        <v>44</v>
      </c>
      <c r="V62" s="37">
        <v>45571</v>
      </c>
      <c r="W62" s="38" t="s">
        <v>315</v>
      </c>
      <c r="X62" s="52" t="s">
        <v>365</v>
      </c>
      <c r="Y62" s="38"/>
      <c r="Z62" s="39"/>
      <c r="AA62" s="41"/>
      <c r="AB62" s="30"/>
      <c r="AC62" s="31"/>
    </row>
    <row r="63" spans="2:29" ht="32.4" x14ac:dyDescent="0.4">
      <c r="B63" s="30">
        <f t="shared" si="0"/>
        <v>59</v>
      </c>
      <c r="C63" s="30" t="s">
        <v>4</v>
      </c>
      <c r="D63" s="30" t="s">
        <v>46</v>
      </c>
      <c r="E63" s="30" t="s">
        <v>65</v>
      </c>
      <c r="F63" s="30" t="s">
        <v>45</v>
      </c>
      <c r="G63" s="49" t="s">
        <v>263</v>
      </c>
      <c r="H63" s="33" t="str">
        <f t="shared" si="1"/>
        <v>リポジトリ</v>
      </c>
      <c r="I63" s="32" t="str">
        <f t="shared" si="2"/>
        <v>リポジトリが無い</v>
      </c>
      <c r="J63" s="31" t="s">
        <v>44</v>
      </c>
      <c r="K63" s="31" t="s">
        <v>44</v>
      </c>
      <c r="L63" s="31" t="s">
        <v>44</v>
      </c>
      <c r="M63" s="31" t="s">
        <v>44</v>
      </c>
      <c r="N63" s="31" t="s">
        <v>44</v>
      </c>
      <c r="O63" s="31" t="s">
        <v>44</v>
      </c>
      <c r="P63" s="31" t="s">
        <v>44</v>
      </c>
      <c r="Q63" s="31" t="s">
        <v>44</v>
      </c>
      <c r="R63" s="31" t="s">
        <v>44</v>
      </c>
      <c r="S63" s="30" t="s">
        <v>94</v>
      </c>
      <c r="T63" s="31" t="s">
        <v>44</v>
      </c>
      <c r="V63" s="37">
        <v>45571</v>
      </c>
      <c r="W63" s="38" t="s">
        <v>315</v>
      </c>
      <c r="X63" s="52" t="s">
        <v>362</v>
      </c>
      <c r="Y63" s="39"/>
      <c r="Z63" s="39"/>
      <c r="AA63" s="40"/>
      <c r="AB63" s="30"/>
      <c r="AC63" s="31"/>
    </row>
    <row r="64" spans="2:29" ht="48.6" x14ac:dyDescent="0.4">
      <c r="B64" s="30">
        <f t="shared" si="0"/>
        <v>60</v>
      </c>
      <c r="C64" s="30" t="s">
        <v>4</v>
      </c>
      <c r="D64" s="30" t="s">
        <v>46</v>
      </c>
      <c r="E64" s="30" t="s">
        <v>65</v>
      </c>
      <c r="F64" s="30" t="s">
        <v>45</v>
      </c>
      <c r="G64" s="32" t="s">
        <v>264</v>
      </c>
      <c r="H64" s="33" t="str">
        <f t="shared" si="1"/>
        <v>汎用分類マスタ</v>
      </c>
      <c r="I64" s="32" t="str">
        <f t="shared" si="2"/>
        <v>汎用分類マスタが無い</v>
      </c>
      <c r="J64" s="31" t="s">
        <v>44</v>
      </c>
      <c r="K64" s="31" t="s">
        <v>44</v>
      </c>
      <c r="L64" s="31" t="s">
        <v>44</v>
      </c>
      <c r="M64" s="31" t="s">
        <v>44</v>
      </c>
      <c r="N64" s="31" t="s">
        <v>44</v>
      </c>
      <c r="O64" s="31" t="s">
        <v>44</v>
      </c>
      <c r="P64" s="31" t="s">
        <v>44</v>
      </c>
      <c r="Q64" s="31" t="s">
        <v>44</v>
      </c>
      <c r="R64" s="31" t="s">
        <v>44</v>
      </c>
      <c r="S64" s="30" t="s">
        <v>94</v>
      </c>
      <c r="T64" s="31" t="s">
        <v>44</v>
      </c>
      <c r="V64" s="37">
        <v>45571</v>
      </c>
      <c r="W64" s="38" t="s">
        <v>315</v>
      </c>
      <c r="X64" s="52" t="s">
        <v>364</v>
      </c>
      <c r="Y64" s="39"/>
      <c r="Z64" s="39"/>
      <c r="AA64" s="40"/>
      <c r="AB64" s="30"/>
      <c r="AC64" s="31"/>
    </row>
    <row r="65" spans="2:29" ht="48.6" x14ac:dyDescent="0.4">
      <c r="B65" s="30">
        <f t="shared" si="0"/>
        <v>61</v>
      </c>
      <c r="C65" s="30" t="s">
        <v>4</v>
      </c>
      <c r="D65" s="30" t="s">
        <v>46</v>
      </c>
      <c r="E65" s="30" t="s">
        <v>65</v>
      </c>
      <c r="F65" s="30" t="s">
        <v>45</v>
      </c>
      <c r="G65" s="32" t="s">
        <v>265</v>
      </c>
      <c r="H65" s="33" t="str">
        <f t="shared" si="1"/>
        <v>汎用詳細マスタ</v>
      </c>
      <c r="I65" s="32" t="str">
        <f t="shared" si="2"/>
        <v>汎用詳細マスタが無い</v>
      </c>
      <c r="J65" s="31" t="s">
        <v>44</v>
      </c>
      <c r="K65" s="31" t="s">
        <v>44</v>
      </c>
      <c r="L65" s="31" t="s">
        <v>44</v>
      </c>
      <c r="M65" s="31" t="s">
        <v>44</v>
      </c>
      <c r="N65" s="31" t="s">
        <v>44</v>
      </c>
      <c r="O65" s="31" t="s">
        <v>44</v>
      </c>
      <c r="P65" s="31" t="s">
        <v>44</v>
      </c>
      <c r="Q65" s="31" t="s">
        <v>44</v>
      </c>
      <c r="R65" s="31" t="s">
        <v>44</v>
      </c>
      <c r="S65" s="30" t="s">
        <v>94</v>
      </c>
      <c r="T65" s="31" t="s">
        <v>44</v>
      </c>
      <c r="V65" s="37">
        <v>45571</v>
      </c>
      <c r="W65" s="38" t="s">
        <v>315</v>
      </c>
      <c r="X65" s="52" t="s">
        <v>364</v>
      </c>
      <c r="Y65" s="38"/>
      <c r="Z65" s="39"/>
      <c r="AA65" s="40"/>
      <c r="AB65" s="30"/>
      <c r="AC65" s="31"/>
    </row>
    <row r="66" spans="2:29" ht="99.6" customHeight="1" x14ac:dyDescent="0.4">
      <c r="B66" s="30">
        <f t="shared" si="0"/>
        <v>62</v>
      </c>
      <c r="C66" s="30" t="s">
        <v>4</v>
      </c>
      <c r="D66" s="30" t="s">
        <v>46</v>
      </c>
      <c r="E66" s="30" t="s">
        <v>65</v>
      </c>
      <c r="F66" s="30" t="s">
        <v>45</v>
      </c>
      <c r="G66" s="32" t="s">
        <v>266</v>
      </c>
      <c r="H66" s="33" t="str">
        <f t="shared" si="1"/>
        <v>採番マスタ</v>
      </c>
      <c r="I66" s="32" t="str">
        <f t="shared" si="2"/>
        <v>採番マスタが無い</v>
      </c>
      <c r="J66" s="31" t="s">
        <v>44</v>
      </c>
      <c r="K66" s="31" t="s">
        <v>44</v>
      </c>
      <c r="L66" s="31" t="s">
        <v>44</v>
      </c>
      <c r="M66" s="31" t="s">
        <v>44</v>
      </c>
      <c r="N66" s="31" t="s">
        <v>44</v>
      </c>
      <c r="O66" s="31" t="s">
        <v>44</v>
      </c>
      <c r="P66" s="31" t="s">
        <v>44</v>
      </c>
      <c r="Q66" s="31" t="s">
        <v>44</v>
      </c>
      <c r="R66" s="31" t="s">
        <v>44</v>
      </c>
      <c r="S66" s="30" t="s">
        <v>94</v>
      </c>
      <c r="T66" s="31" t="s">
        <v>44</v>
      </c>
      <c r="V66" s="37">
        <v>45571</v>
      </c>
      <c r="W66" s="38" t="s">
        <v>315</v>
      </c>
      <c r="X66" s="52" t="s">
        <v>366</v>
      </c>
      <c r="Y66" s="39"/>
      <c r="Z66" s="39"/>
      <c r="AA66" s="40"/>
      <c r="AB66" s="30"/>
      <c r="AC66" s="31"/>
    </row>
    <row r="67" spans="2:29" ht="48.6" x14ac:dyDescent="0.4">
      <c r="B67" s="30">
        <f t="shared" si="0"/>
        <v>63</v>
      </c>
      <c r="C67" s="30" t="s">
        <v>4</v>
      </c>
      <c r="D67" s="30" t="s">
        <v>46</v>
      </c>
      <c r="E67" s="30" t="s">
        <v>65</v>
      </c>
      <c r="F67" s="30" t="s">
        <v>45</v>
      </c>
      <c r="G67" s="32" t="s">
        <v>267</v>
      </c>
      <c r="H67" s="33" t="str">
        <f t="shared" si="1"/>
        <v>システムマスタ</v>
      </c>
      <c r="I67" s="32" t="str">
        <f t="shared" si="2"/>
        <v>システムマスタが無い</v>
      </c>
      <c r="J67" s="31" t="s">
        <v>44</v>
      </c>
      <c r="K67" s="31" t="s">
        <v>44</v>
      </c>
      <c r="L67" s="31" t="s">
        <v>44</v>
      </c>
      <c r="M67" s="31" t="s">
        <v>44</v>
      </c>
      <c r="N67" s="31" t="s">
        <v>44</v>
      </c>
      <c r="O67" s="31" t="s">
        <v>44</v>
      </c>
      <c r="P67" s="31" t="s">
        <v>44</v>
      </c>
      <c r="Q67" s="31" t="s">
        <v>44</v>
      </c>
      <c r="R67" s="31" t="s">
        <v>44</v>
      </c>
      <c r="S67" s="30" t="s">
        <v>94</v>
      </c>
      <c r="T67" s="31" t="s">
        <v>44</v>
      </c>
      <c r="V67" s="37">
        <v>45571</v>
      </c>
      <c r="W67" s="38" t="s">
        <v>315</v>
      </c>
      <c r="X67" s="52" t="s">
        <v>364</v>
      </c>
      <c r="Y67" s="39"/>
      <c r="Z67" s="39"/>
      <c r="AA67" s="41"/>
      <c r="AB67" s="30"/>
      <c r="AC67" s="31"/>
    </row>
    <row r="68" spans="2:29" ht="48.6" x14ac:dyDescent="0.4">
      <c r="B68" s="30">
        <f t="shared" si="0"/>
        <v>64</v>
      </c>
      <c r="C68" s="30" t="s">
        <v>4</v>
      </c>
      <c r="D68" s="30" t="s">
        <v>46</v>
      </c>
      <c r="E68" s="30" t="s">
        <v>65</v>
      </c>
      <c r="F68" s="30" t="s">
        <v>45</v>
      </c>
      <c r="G68" s="32" t="s">
        <v>268</v>
      </c>
      <c r="H68" s="33" t="str">
        <f t="shared" si="1"/>
        <v>月次締処理</v>
      </c>
      <c r="I68" s="32" t="str">
        <f t="shared" si="2"/>
        <v>月次締処理が無い</v>
      </c>
      <c r="J68" s="31" t="s">
        <v>44</v>
      </c>
      <c r="K68" s="31" t="s">
        <v>44</v>
      </c>
      <c r="L68" s="31" t="s">
        <v>44</v>
      </c>
      <c r="M68" s="31" t="s">
        <v>44</v>
      </c>
      <c r="N68" s="31" t="s">
        <v>44</v>
      </c>
      <c r="O68" s="31" t="s">
        <v>44</v>
      </c>
      <c r="P68" s="31" t="s">
        <v>44</v>
      </c>
      <c r="Q68" s="31" t="s">
        <v>44</v>
      </c>
      <c r="R68" s="31" t="s">
        <v>44</v>
      </c>
      <c r="S68" s="30" t="s">
        <v>94</v>
      </c>
      <c r="T68" s="31" t="s">
        <v>44</v>
      </c>
      <c r="V68" s="37">
        <v>45571</v>
      </c>
      <c r="W68" s="38" t="s">
        <v>315</v>
      </c>
      <c r="X68" s="52" t="s">
        <v>364</v>
      </c>
      <c r="Y68" s="38"/>
      <c r="Z68" s="39"/>
      <c r="AA68" s="40"/>
      <c r="AB68" s="30"/>
      <c r="AC68" s="31"/>
    </row>
    <row r="69" spans="2:29" ht="48.6" x14ac:dyDescent="0.4">
      <c r="B69" s="30">
        <f t="shared" si="0"/>
        <v>65</v>
      </c>
      <c r="C69" s="30" t="s">
        <v>4</v>
      </c>
      <c r="D69" s="30" t="s">
        <v>46</v>
      </c>
      <c r="E69" s="30" t="s">
        <v>65</v>
      </c>
      <c r="F69" s="30" t="s">
        <v>45</v>
      </c>
      <c r="G69" s="32" t="s">
        <v>269</v>
      </c>
      <c r="H69" s="33" t="str">
        <f t="shared" si="1"/>
        <v>データ繰越処理</v>
      </c>
      <c r="I69" s="32" t="str">
        <f t="shared" si="2"/>
        <v>データ繰越処理が無い</v>
      </c>
      <c r="J69" s="31" t="s">
        <v>44</v>
      </c>
      <c r="K69" s="31" t="s">
        <v>44</v>
      </c>
      <c r="L69" s="31" t="s">
        <v>44</v>
      </c>
      <c r="M69" s="31" t="s">
        <v>44</v>
      </c>
      <c r="N69" s="31" t="s">
        <v>44</v>
      </c>
      <c r="O69" s="31" t="s">
        <v>44</v>
      </c>
      <c r="P69" s="31" t="s">
        <v>44</v>
      </c>
      <c r="Q69" s="31" t="s">
        <v>44</v>
      </c>
      <c r="R69" s="31" t="s">
        <v>44</v>
      </c>
      <c r="S69" s="30" t="s">
        <v>94</v>
      </c>
      <c r="T69" s="31" t="s">
        <v>44</v>
      </c>
      <c r="V69" s="37">
        <v>45571</v>
      </c>
      <c r="W69" s="38" t="s">
        <v>315</v>
      </c>
      <c r="X69" s="52" t="s">
        <v>364</v>
      </c>
      <c r="Y69" s="39"/>
      <c r="Z69" s="39"/>
      <c r="AA69" s="40"/>
      <c r="AB69" s="30"/>
      <c r="AC69" s="31"/>
    </row>
    <row r="70" spans="2:29" ht="48.6" x14ac:dyDescent="0.4">
      <c r="B70" s="30">
        <f t="shared" si="0"/>
        <v>66</v>
      </c>
      <c r="C70" s="30" t="s">
        <v>4</v>
      </c>
      <c r="D70" s="30" t="s">
        <v>46</v>
      </c>
      <c r="E70" s="30" t="s">
        <v>65</v>
      </c>
      <c r="F70" s="30" t="s">
        <v>45</v>
      </c>
      <c r="G70" s="32" t="s">
        <v>277</v>
      </c>
      <c r="H70" s="33" t="str">
        <f t="shared" si="1"/>
        <v>バックアップ</v>
      </c>
      <c r="I70" s="32" t="str">
        <f t="shared" si="2"/>
        <v>バックアップが無い</v>
      </c>
      <c r="J70" s="31" t="s">
        <v>44</v>
      </c>
      <c r="K70" s="31" t="s">
        <v>44</v>
      </c>
      <c r="L70" s="31" t="s">
        <v>44</v>
      </c>
      <c r="M70" s="31" t="s">
        <v>44</v>
      </c>
      <c r="N70" s="31" t="s">
        <v>44</v>
      </c>
      <c r="O70" s="31" t="s">
        <v>44</v>
      </c>
      <c r="P70" s="31" t="s">
        <v>44</v>
      </c>
      <c r="Q70" s="31" t="s">
        <v>44</v>
      </c>
      <c r="R70" s="31" t="s">
        <v>44</v>
      </c>
      <c r="S70" s="30" t="s">
        <v>94</v>
      </c>
      <c r="T70" s="31" t="s">
        <v>44</v>
      </c>
      <c r="V70" s="37">
        <v>45571</v>
      </c>
      <c r="W70" s="38" t="s">
        <v>315</v>
      </c>
      <c r="X70" s="52" t="s">
        <v>364</v>
      </c>
      <c r="Y70" s="39"/>
      <c r="Z70" s="39"/>
      <c r="AA70" s="40"/>
      <c r="AB70" s="30"/>
      <c r="AC70" s="31"/>
    </row>
    <row r="71" spans="2:29" ht="48.6" x14ac:dyDescent="0.4">
      <c r="B71" s="30">
        <f t="shared" si="0"/>
        <v>67</v>
      </c>
      <c r="C71" s="30" t="s">
        <v>4</v>
      </c>
      <c r="D71" s="30" t="s">
        <v>46</v>
      </c>
      <c r="E71" s="30" t="s">
        <v>65</v>
      </c>
      <c r="F71" s="30" t="s">
        <v>45</v>
      </c>
      <c r="G71" s="32" t="s">
        <v>278</v>
      </c>
      <c r="H71" s="33" t="str">
        <f t="shared" si="1"/>
        <v>リストア</v>
      </c>
      <c r="I71" s="32" t="str">
        <f t="shared" si="2"/>
        <v>リストアが無い</v>
      </c>
      <c r="J71" s="31" t="s">
        <v>44</v>
      </c>
      <c r="K71" s="31" t="s">
        <v>44</v>
      </c>
      <c r="L71" s="31" t="s">
        <v>44</v>
      </c>
      <c r="M71" s="31" t="s">
        <v>44</v>
      </c>
      <c r="N71" s="31" t="s">
        <v>44</v>
      </c>
      <c r="O71" s="31" t="s">
        <v>44</v>
      </c>
      <c r="P71" s="31" t="s">
        <v>44</v>
      </c>
      <c r="Q71" s="31" t="s">
        <v>44</v>
      </c>
      <c r="R71" s="31" t="s">
        <v>44</v>
      </c>
      <c r="S71" s="30" t="s">
        <v>94</v>
      </c>
      <c r="T71" s="31" t="s">
        <v>44</v>
      </c>
      <c r="V71" s="37">
        <v>45571</v>
      </c>
      <c r="W71" s="38" t="s">
        <v>315</v>
      </c>
      <c r="X71" s="52" t="s">
        <v>364</v>
      </c>
      <c r="Y71" s="39"/>
      <c r="Z71" s="39"/>
      <c r="AA71" s="40"/>
      <c r="AB71" s="30"/>
      <c r="AC71" s="31"/>
    </row>
    <row r="72" spans="2:29" ht="48.6" x14ac:dyDescent="0.4">
      <c r="B72" s="30">
        <f t="shared" si="0"/>
        <v>68</v>
      </c>
      <c r="C72" s="30" t="s">
        <v>4</v>
      </c>
      <c r="D72" s="30" t="s">
        <v>46</v>
      </c>
      <c r="E72" s="30" t="s">
        <v>65</v>
      </c>
      <c r="F72" s="30" t="s">
        <v>45</v>
      </c>
      <c r="G72" s="32" t="s">
        <v>270</v>
      </c>
      <c r="H72" s="33" t="str">
        <f t="shared" si="1"/>
        <v>月次評価単価</v>
      </c>
      <c r="I72" s="32" t="str">
        <f t="shared" si="2"/>
        <v>月次評価単価が無い</v>
      </c>
      <c r="J72" s="31" t="s">
        <v>44</v>
      </c>
      <c r="K72" s="31" t="s">
        <v>44</v>
      </c>
      <c r="L72" s="31" t="s">
        <v>44</v>
      </c>
      <c r="M72" s="31" t="s">
        <v>44</v>
      </c>
      <c r="N72" s="31" t="s">
        <v>44</v>
      </c>
      <c r="O72" s="31" t="s">
        <v>44</v>
      </c>
      <c r="P72" s="31" t="s">
        <v>44</v>
      </c>
      <c r="Q72" s="31" t="s">
        <v>44</v>
      </c>
      <c r="R72" s="31" t="s">
        <v>44</v>
      </c>
      <c r="S72" s="30" t="s">
        <v>94</v>
      </c>
      <c r="T72" s="31" t="s">
        <v>44</v>
      </c>
      <c r="V72" s="37">
        <v>45571</v>
      </c>
      <c r="W72" s="38" t="s">
        <v>315</v>
      </c>
      <c r="X72" s="53" t="s">
        <v>363</v>
      </c>
      <c r="Y72" s="39"/>
      <c r="Z72" s="39"/>
      <c r="AA72" s="40"/>
      <c r="AB72" s="30"/>
      <c r="AC72" s="31"/>
    </row>
    <row r="73" spans="2:29" ht="48.6" x14ac:dyDescent="0.4">
      <c r="B73" s="30">
        <f t="shared" si="0"/>
        <v>69</v>
      </c>
      <c r="C73" s="30" t="s">
        <v>4</v>
      </c>
      <c r="D73" s="30" t="s">
        <v>46</v>
      </c>
      <c r="E73" s="30" t="s">
        <v>65</v>
      </c>
      <c r="F73" s="30" t="s">
        <v>45</v>
      </c>
      <c r="G73" s="32" t="s">
        <v>271</v>
      </c>
      <c r="H73" s="33" t="str">
        <f t="shared" si="1"/>
        <v>帳票紐付け</v>
      </c>
      <c r="I73" s="32" t="str">
        <f t="shared" si="2"/>
        <v>帳票紐付けが無い</v>
      </c>
      <c r="J73" s="31" t="s">
        <v>44</v>
      </c>
      <c r="K73" s="31" t="s">
        <v>44</v>
      </c>
      <c r="L73" s="31" t="s">
        <v>44</v>
      </c>
      <c r="M73" s="31" t="s">
        <v>44</v>
      </c>
      <c r="N73" s="31" t="s">
        <v>44</v>
      </c>
      <c r="O73" s="31" t="s">
        <v>44</v>
      </c>
      <c r="P73" s="31" t="s">
        <v>44</v>
      </c>
      <c r="Q73" s="31" t="s">
        <v>44</v>
      </c>
      <c r="R73" s="31" t="s">
        <v>44</v>
      </c>
      <c r="S73" s="30" t="s">
        <v>94</v>
      </c>
      <c r="T73" s="31" t="s">
        <v>44</v>
      </c>
      <c r="V73" s="37">
        <v>45571</v>
      </c>
      <c r="W73" s="38" t="s">
        <v>315</v>
      </c>
      <c r="X73" s="52" t="s">
        <v>364</v>
      </c>
      <c r="Y73" s="39"/>
      <c r="Z73" s="39"/>
      <c r="AA73" s="40"/>
      <c r="AB73" s="30"/>
      <c r="AC73" s="31"/>
    </row>
    <row r="74" spans="2:29" ht="48.6" x14ac:dyDescent="0.4">
      <c r="B74" s="30">
        <f t="shared" si="0"/>
        <v>70</v>
      </c>
      <c r="C74" s="30" t="s">
        <v>4</v>
      </c>
      <c r="D74" s="30" t="s">
        <v>46</v>
      </c>
      <c r="E74" s="30" t="s">
        <v>65</v>
      </c>
      <c r="F74" s="30" t="s">
        <v>45</v>
      </c>
      <c r="G74" s="32" t="s">
        <v>279</v>
      </c>
      <c r="H74" s="33" t="str">
        <f t="shared" si="1"/>
        <v>メニューマスタ</v>
      </c>
      <c r="I74" s="32" t="str">
        <f t="shared" si="2"/>
        <v>メニューマスタが無い</v>
      </c>
      <c r="J74" s="31" t="s">
        <v>44</v>
      </c>
      <c r="K74" s="31" t="s">
        <v>44</v>
      </c>
      <c r="L74" s="31" t="s">
        <v>44</v>
      </c>
      <c r="M74" s="31" t="s">
        <v>44</v>
      </c>
      <c r="N74" s="31" t="s">
        <v>44</v>
      </c>
      <c r="O74" s="31" t="s">
        <v>44</v>
      </c>
      <c r="P74" s="31" t="s">
        <v>44</v>
      </c>
      <c r="Q74" s="31" t="s">
        <v>44</v>
      </c>
      <c r="R74" s="31" t="s">
        <v>44</v>
      </c>
      <c r="S74" s="30" t="s">
        <v>94</v>
      </c>
      <c r="T74" s="31" t="s">
        <v>44</v>
      </c>
      <c r="V74" s="37">
        <v>45571</v>
      </c>
      <c r="W74" s="38" t="s">
        <v>315</v>
      </c>
      <c r="X74" s="52" t="s">
        <v>364</v>
      </c>
      <c r="Y74" s="39"/>
      <c r="Z74" s="39"/>
      <c r="AA74" s="40"/>
      <c r="AB74" s="30"/>
      <c r="AC74" s="31"/>
    </row>
    <row r="75" spans="2:29" ht="48.6" x14ac:dyDescent="0.4">
      <c r="B75" s="30">
        <f t="shared" si="0"/>
        <v>71</v>
      </c>
      <c r="C75" s="30" t="s">
        <v>4</v>
      </c>
      <c r="D75" s="30" t="s">
        <v>46</v>
      </c>
      <c r="E75" s="30" t="s">
        <v>65</v>
      </c>
      <c r="F75" s="30" t="s">
        <v>45</v>
      </c>
      <c r="G75" s="32" t="s">
        <v>272</v>
      </c>
      <c r="H75" s="33" t="str">
        <f t="shared" si="1"/>
        <v>多言語マスタ</v>
      </c>
      <c r="I75" s="32" t="str">
        <f t="shared" si="2"/>
        <v>多言語マスタが無い</v>
      </c>
      <c r="J75" s="31" t="s">
        <v>44</v>
      </c>
      <c r="K75" s="31" t="s">
        <v>44</v>
      </c>
      <c r="L75" s="31" t="s">
        <v>44</v>
      </c>
      <c r="M75" s="31" t="s">
        <v>44</v>
      </c>
      <c r="N75" s="31" t="s">
        <v>44</v>
      </c>
      <c r="O75" s="31" t="s">
        <v>44</v>
      </c>
      <c r="P75" s="31" t="s">
        <v>44</v>
      </c>
      <c r="Q75" s="31" t="s">
        <v>44</v>
      </c>
      <c r="R75" s="31" t="s">
        <v>44</v>
      </c>
      <c r="S75" s="30" t="s">
        <v>94</v>
      </c>
      <c r="T75" s="31" t="s">
        <v>44</v>
      </c>
      <c r="V75" s="37">
        <v>45571</v>
      </c>
      <c r="W75" s="38" t="s">
        <v>315</v>
      </c>
      <c r="X75" s="52" t="s">
        <v>367</v>
      </c>
      <c r="Y75" s="39"/>
      <c r="Z75" s="39"/>
      <c r="AA75" s="40"/>
      <c r="AB75" s="30"/>
      <c r="AC75" s="31"/>
    </row>
    <row r="76" spans="2:29" ht="48.6" x14ac:dyDescent="0.4">
      <c r="B76" s="30">
        <f t="shared" si="0"/>
        <v>72</v>
      </c>
      <c r="C76" s="30" t="s">
        <v>4</v>
      </c>
      <c r="D76" s="30" t="s">
        <v>46</v>
      </c>
      <c r="E76" s="30" t="s">
        <v>65</v>
      </c>
      <c r="F76" s="30" t="s">
        <v>45</v>
      </c>
      <c r="G76" s="32" t="s">
        <v>273</v>
      </c>
      <c r="H76" s="33" t="str">
        <f t="shared" si="1"/>
        <v>マスタ編集</v>
      </c>
      <c r="I76" s="32" t="str">
        <f t="shared" si="2"/>
        <v>マスタ編集が無い</v>
      </c>
      <c r="J76" s="31" t="s">
        <v>44</v>
      </c>
      <c r="K76" s="31" t="s">
        <v>44</v>
      </c>
      <c r="L76" s="31" t="s">
        <v>44</v>
      </c>
      <c r="M76" s="31" t="s">
        <v>44</v>
      </c>
      <c r="N76" s="31" t="s">
        <v>44</v>
      </c>
      <c r="O76" s="31" t="s">
        <v>44</v>
      </c>
      <c r="P76" s="31" t="s">
        <v>44</v>
      </c>
      <c r="Q76" s="31" t="s">
        <v>44</v>
      </c>
      <c r="R76" s="31" t="s">
        <v>44</v>
      </c>
      <c r="S76" s="30" t="s">
        <v>94</v>
      </c>
      <c r="T76" s="31" t="s">
        <v>44</v>
      </c>
      <c r="V76" s="37">
        <v>45571</v>
      </c>
      <c r="W76" s="38" t="s">
        <v>315</v>
      </c>
      <c r="X76" s="53" t="s">
        <v>368</v>
      </c>
      <c r="Y76" s="39"/>
      <c r="Z76" s="39"/>
      <c r="AA76" s="40"/>
      <c r="AB76" s="30"/>
      <c r="AC76" s="31"/>
    </row>
    <row r="77" spans="2:29" ht="48.6" x14ac:dyDescent="0.4">
      <c r="B77" s="30">
        <f t="shared" si="0"/>
        <v>73</v>
      </c>
      <c r="C77" s="30" t="s">
        <v>4</v>
      </c>
      <c r="D77" s="30" t="s">
        <v>46</v>
      </c>
      <c r="E77" s="30" t="s">
        <v>65</v>
      </c>
      <c r="F77" s="30" t="s">
        <v>45</v>
      </c>
      <c r="G77" s="32" t="s">
        <v>274</v>
      </c>
      <c r="H77" s="33" t="str">
        <f t="shared" si="1"/>
        <v>帳票編集</v>
      </c>
      <c r="I77" s="32" t="str">
        <f t="shared" si="2"/>
        <v>帳票編集が無い</v>
      </c>
      <c r="J77" s="31" t="s">
        <v>44</v>
      </c>
      <c r="K77" s="31" t="s">
        <v>44</v>
      </c>
      <c r="L77" s="31" t="s">
        <v>44</v>
      </c>
      <c r="M77" s="31" t="s">
        <v>44</v>
      </c>
      <c r="N77" s="31" t="s">
        <v>44</v>
      </c>
      <c r="O77" s="31" t="s">
        <v>44</v>
      </c>
      <c r="P77" s="31" t="s">
        <v>44</v>
      </c>
      <c r="Q77" s="31" t="s">
        <v>44</v>
      </c>
      <c r="R77" s="31" t="s">
        <v>44</v>
      </c>
      <c r="S77" s="30" t="s">
        <v>94</v>
      </c>
      <c r="T77" s="31" t="s">
        <v>44</v>
      </c>
      <c r="V77" s="37">
        <v>45571</v>
      </c>
      <c r="W77" s="38" t="s">
        <v>315</v>
      </c>
      <c r="X77" s="52" t="s">
        <v>369</v>
      </c>
      <c r="Y77" s="39"/>
      <c r="Z77" s="39"/>
      <c r="AA77" s="40"/>
      <c r="AB77" s="30"/>
      <c r="AC77" s="31"/>
    </row>
    <row r="78" spans="2:29" ht="48.6" x14ac:dyDescent="0.4">
      <c r="B78" s="30">
        <f t="shared" si="0"/>
        <v>74</v>
      </c>
      <c r="C78" s="30" t="s">
        <v>4</v>
      </c>
      <c r="D78" s="30" t="s">
        <v>46</v>
      </c>
      <c r="E78" s="30" t="s">
        <v>65</v>
      </c>
      <c r="F78" s="30" t="s">
        <v>45</v>
      </c>
      <c r="G78" s="32" t="s">
        <v>275</v>
      </c>
      <c r="H78" s="33" t="str">
        <f t="shared" si="1"/>
        <v>画面編集</v>
      </c>
      <c r="I78" s="32" t="str">
        <f t="shared" si="2"/>
        <v>画面編集が無い</v>
      </c>
      <c r="J78" s="31" t="s">
        <v>44</v>
      </c>
      <c r="K78" s="31" t="s">
        <v>44</v>
      </c>
      <c r="L78" s="31" t="s">
        <v>44</v>
      </c>
      <c r="M78" s="31" t="s">
        <v>44</v>
      </c>
      <c r="N78" s="31" t="s">
        <v>44</v>
      </c>
      <c r="O78" s="31" t="s">
        <v>44</v>
      </c>
      <c r="P78" s="31" t="s">
        <v>44</v>
      </c>
      <c r="Q78" s="31" t="s">
        <v>44</v>
      </c>
      <c r="R78" s="31" t="s">
        <v>44</v>
      </c>
      <c r="S78" s="30" t="s">
        <v>94</v>
      </c>
      <c r="T78" s="31" t="s">
        <v>44</v>
      </c>
      <c r="V78" s="37">
        <v>45571</v>
      </c>
      <c r="W78" s="38" t="s">
        <v>315</v>
      </c>
      <c r="X78" s="53" t="s">
        <v>370</v>
      </c>
      <c r="Y78" s="38"/>
      <c r="Z78" s="39"/>
      <c r="AA78" s="40"/>
      <c r="AB78" s="30"/>
      <c r="AC78" s="31"/>
    </row>
    <row r="79" spans="2:29" ht="48.6" x14ac:dyDescent="0.4">
      <c r="B79" s="30">
        <f t="shared" si="0"/>
        <v>75</v>
      </c>
      <c r="C79" s="30" t="s">
        <v>4</v>
      </c>
      <c r="D79" s="30" t="s">
        <v>46</v>
      </c>
      <c r="E79" s="30" t="s">
        <v>65</v>
      </c>
      <c r="F79" s="30" t="s">
        <v>45</v>
      </c>
      <c r="G79" s="32" t="s">
        <v>276</v>
      </c>
      <c r="H79" s="33" t="str">
        <f t="shared" si="1"/>
        <v>アイコン編集</v>
      </c>
      <c r="I79" s="32" t="str">
        <f t="shared" si="2"/>
        <v>アイコン編集が無い</v>
      </c>
      <c r="J79" s="31" t="s">
        <v>44</v>
      </c>
      <c r="K79" s="31" t="s">
        <v>44</v>
      </c>
      <c r="L79" s="31" t="s">
        <v>44</v>
      </c>
      <c r="M79" s="31" t="s">
        <v>44</v>
      </c>
      <c r="N79" s="31" t="s">
        <v>44</v>
      </c>
      <c r="O79" s="31" t="s">
        <v>44</v>
      </c>
      <c r="P79" s="31" t="s">
        <v>44</v>
      </c>
      <c r="Q79" s="31" t="s">
        <v>44</v>
      </c>
      <c r="R79" s="31" t="s">
        <v>44</v>
      </c>
      <c r="S79" s="30" t="s">
        <v>94</v>
      </c>
      <c r="T79" s="31" t="s">
        <v>44</v>
      </c>
      <c r="V79" s="37">
        <v>45571</v>
      </c>
      <c r="W79" s="38" t="s">
        <v>315</v>
      </c>
      <c r="X79" s="53" t="s">
        <v>371</v>
      </c>
      <c r="Y79" s="39"/>
      <c r="Z79" s="39"/>
      <c r="AA79" s="40"/>
      <c r="AB79" s="30"/>
      <c r="AC79" s="31"/>
    </row>
    <row r="80" spans="2:29" x14ac:dyDescent="0.4">
      <c r="B80" s="30">
        <f t="shared" si="0"/>
        <v>76</v>
      </c>
      <c r="C80" s="30" t="s">
        <v>4</v>
      </c>
      <c r="D80" s="30" t="s">
        <v>46</v>
      </c>
      <c r="E80" s="30" t="s">
        <v>65</v>
      </c>
      <c r="F80" s="30" t="s">
        <v>45</v>
      </c>
      <c r="G80" s="32" t="s">
        <v>280</v>
      </c>
      <c r="H80" s="33" t="str">
        <f t="shared" si="1"/>
        <v>法人管理</v>
      </c>
      <c r="I80" s="32" t="str">
        <f t="shared" si="2"/>
        <v>法人管理が無い</v>
      </c>
      <c r="J80" s="31" t="s">
        <v>44</v>
      </c>
      <c r="K80" s="31" t="s">
        <v>44</v>
      </c>
      <c r="L80" s="31" t="s">
        <v>44</v>
      </c>
      <c r="M80" s="31" t="s">
        <v>44</v>
      </c>
      <c r="N80" s="31" t="s">
        <v>44</v>
      </c>
      <c r="O80" s="31" t="s">
        <v>44</v>
      </c>
      <c r="P80" s="31" t="s">
        <v>44</v>
      </c>
      <c r="Q80" s="31" t="s">
        <v>44</v>
      </c>
      <c r="R80" s="31" t="s">
        <v>44</v>
      </c>
      <c r="S80" s="30" t="s">
        <v>94</v>
      </c>
      <c r="T80" s="31" t="s">
        <v>44</v>
      </c>
      <c r="V80" s="37">
        <v>45571</v>
      </c>
      <c r="W80" s="38" t="s">
        <v>315</v>
      </c>
      <c r="X80" s="57" t="s">
        <v>372</v>
      </c>
      <c r="Y80" s="38"/>
      <c r="Z80" s="39"/>
      <c r="AA80" s="41"/>
      <c r="AB80" s="30"/>
      <c r="AC80" s="31"/>
    </row>
    <row r="81" spans="2:29" x14ac:dyDescent="0.4">
      <c r="B81" s="30">
        <f t="shared" si="0"/>
        <v>77</v>
      </c>
      <c r="C81" s="30" t="s">
        <v>4</v>
      </c>
      <c r="D81" s="30" t="s">
        <v>46</v>
      </c>
      <c r="E81" s="30" t="s">
        <v>65</v>
      </c>
      <c r="F81" s="30" t="s">
        <v>45</v>
      </c>
      <c r="G81" s="32" t="s">
        <v>281</v>
      </c>
      <c r="H81" s="33" t="str">
        <f t="shared" si="1"/>
        <v>ライセンス管理</v>
      </c>
      <c r="I81" s="32" t="str">
        <f t="shared" si="2"/>
        <v>ライセンス管理が無い</v>
      </c>
      <c r="J81" s="31" t="s">
        <v>44</v>
      </c>
      <c r="K81" s="31" t="s">
        <v>44</v>
      </c>
      <c r="L81" s="31" t="s">
        <v>44</v>
      </c>
      <c r="M81" s="31" t="s">
        <v>44</v>
      </c>
      <c r="N81" s="31" t="s">
        <v>44</v>
      </c>
      <c r="O81" s="31" t="s">
        <v>44</v>
      </c>
      <c r="P81" s="31" t="s">
        <v>44</v>
      </c>
      <c r="Q81" s="31" t="s">
        <v>44</v>
      </c>
      <c r="R81" s="31" t="s">
        <v>44</v>
      </c>
      <c r="S81" s="30" t="s">
        <v>94</v>
      </c>
      <c r="T81" s="31" t="s">
        <v>44</v>
      </c>
      <c r="V81" s="37">
        <v>45571</v>
      </c>
      <c r="W81" s="38" t="s">
        <v>315</v>
      </c>
      <c r="X81" s="58"/>
      <c r="Y81" s="38"/>
      <c r="Z81" s="39"/>
      <c r="AA81" s="41"/>
      <c r="AB81" s="30"/>
      <c r="AC81" s="31"/>
    </row>
    <row r="82" spans="2:29" x14ac:dyDescent="0.4">
      <c r="B82" s="30">
        <f t="shared" si="0"/>
        <v>78</v>
      </c>
      <c r="C82" s="30" t="s">
        <v>4</v>
      </c>
      <c r="D82" s="30" t="s">
        <v>46</v>
      </c>
      <c r="E82" s="30" t="s">
        <v>65</v>
      </c>
      <c r="F82" s="30" t="s">
        <v>45</v>
      </c>
      <c r="G82" s="32" t="s">
        <v>282</v>
      </c>
      <c r="H82" s="33" t="str">
        <f t="shared" si="1"/>
        <v>メッセージ管理</v>
      </c>
      <c r="I82" s="32" t="str">
        <f t="shared" si="2"/>
        <v>メッセージ管理が無い</v>
      </c>
      <c r="J82" s="31" t="s">
        <v>44</v>
      </c>
      <c r="K82" s="31" t="s">
        <v>44</v>
      </c>
      <c r="L82" s="31" t="s">
        <v>44</v>
      </c>
      <c r="M82" s="31" t="s">
        <v>44</v>
      </c>
      <c r="N82" s="31" t="s">
        <v>44</v>
      </c>
      <c r="O82" s="31" t="s">
        <v>44</v>
      </c>
      <c r="P82" s="31" t="s">
        <v>44</v>
      </c>
      <c r="Q82" s="31" t="s">
        <v>44</v>
      </c>
      <c r="R82" s="31" t="s">
        <v>44</v>
      </c>
      <c r="S82" s="30" t="s">
        <v>94</v>
      </c>
      <c r="T82" s="31" t="s">
        <v>44</v>
      </c>
      <c r="V82" s="37">
        <v>45571</v>
      </c>
      <c r="W82" s="38" t="s">
        <v>315</v>
      </c>
      <c r="X82" s="58"/>
      <c r="Y82" s="38"/>
      <c r="Z82" s="39"/>
      <c r="AA82" s="41"/>
      <c r="AB82" s="30"/>
      <c r="AC82" s="31"/>
    </row>
    <row r="83" spans="2:29" x14ac:dyDescent="0.4">
      <c r="B83" s="30">
        <f t="shared" si="0"/>
        <v>79</v>
      </c>
      <c r="C83" s="30" t="s">
        <v>4</v>
      </c>
      <c r="D83" s="30" t="s">
        <v>46</v>
      </c>
      <c r="E83" s="30" t="s">
        <v>65</v>
      </c>
      <c r="F83" s="30" t="s">
        <v>45</v>
      </c>
      <c r="G83" s="32" t="s">
        <v>283</v>
      </c>
      <c r="H83" s="33" t="str">
        <f t="shared" si="1"/>
        <v>申込機能</v>
      </c>
      <c r="I83" s="32" t="str">
        <f t="shared" si="2"/>
        <v>申込機能が無い</v>
      </c>
      <c r="J83" s="31" t="s">
        <v>44</v>
      </c>
      <c r="K83" s="31" t="s">
        <v>44</v>
      </c>
      <c r="L83" s="31" t="s">
        <v>44</v>
      </c>
      <c r="M83" s="31" t="s">
        <v>44</v>
      </c>
      <c r="N83" s="31" t="s">
        <v>44</v>
      </c>
      <c r="O83" s="31" t="s">
        <v>44</v>
      </c>
      <c r="P83" s="31" t="s">
        <v>44</v>
      </c>
      <c r="Q83" s="31" t="s">
        <v>44</v>
      </c>
      <c r="R83" s="31" t="s">
        <v>44</v>
      </c>
      <c r="S83" s="30" t="s">
        <v>94</v>
      </c>
      <c r="T83" s="31" t="s">
        <v>44</v>
      </c>
      <c r="V83" s="37">
        <v>45571</v>
      </c>
      <c r="W83" s="38" t="s">
        <v>315</v>
      </c>
      <c r="X83" s="58"/>
      <c r="Y83" s="39"/>
      <c r="Z83" s="39"/>
      <c r="AA83" s="40"/>
      <c r="AB83" s="30"/>
      <c r="AC83" s="31"/>
    </row>
    <row r="84" spans="2:29" x14ac:dyDescent="0.4">
      <c r="B84" s="30">
        <f t="shared" si="0"/>
        <v>80</v>
      </c>
      <c r="C84" s="30" t="s">
        <v>4</v>
      </c>
      <c r="D84" s="30" t="s">
        <v>46</v>
      </c>
      <c r="E84" s="30" t="s">
        <v>65</v>
      </c>
      <c r="F84" s="30" t="s">
        <v>45</v>
      </c>
      <c r="G84" s="32" t="s">
        <v>284</v>
      </c>
      <c r="H84" s="33" t="str">
        <f t="shared" si="1"/>
        <v>解約機能</v>
      </c>
      <c r="I84" s="32" t="str">
        <f t="shared" si="2"/>
        <v>解約機能が無い</v>
      </c>
      <c r="J84" s="31" t="s">
        <v>44</v>
      </c>
      <c r="K84" s="31" t="s">
        <v>44</v>
      </c>
      <c r="L84" s="31" t="s">
        <v>44</v>
      </c>
      <c r="M84" s="31" t="s">
        <v>44</v>
      </c>
      <c r="N84" s="31" t="s">
        <v>44</v>
      </c>
      <c r="O84" s="31" t="s">
        <v>44</v>
      </c>
      <c r="P84" s="31" t="s">
        <v>44</v>
      </c>
      <c r="Q84" s="31" t="s">
        <v>44</v>
      </c>
      <c r="R84" s="31" t="s">
        <v>44</v>
      </c>
      <c r="S84" s="30" t="s">
        <v>94</v>
      </c>
      <c r="T84" s="31" t="s">
        <v>44</v>
      </c>
      <c r="V84" s="37">
        <v>45571</v>
      </c>
      <c r="W84" s="38" t="s">
        <v>315</v>
      </c>
      <c r="X84" s="59"/>
      <c r="Y84" s="39"/>
      <c r="Z84" s="39"/>
      <c r="AA84" s="41"/>
      <c r="AB84" s="30"/>
      <c r="AC84" s="31"/>
    </row>
    <row r="85" spans="2:29" ht="32.4" x14ac:dyDescent="0.4">
      <c r="B85" s="30">
        <f t="shared" si="0"/>
        <v>81</v>
      </c>
      <c r="C85" s="30" t="s">
        <v>4</v>
      </c>
      <c r="D85" s="30" t="s">
        <v>46</v>
      </c>
      <c r="E85" s="30" t="s">
        <v>65</v>
      </c>
      <c r="F85" s="30" t="s">
        <v>45</v>
      </c>
      <c r="G85" s="32" t="s">
        <v>290</v>
      </c>
      <c r="H85" s="33" t="str">
        <f t="shared" si="1"/>
        <v>帳票</v>
      </c>
      <c r="I85" s="32" t="s">
        <v>287</v>
      </c>
      <c r="J85" s="31" t="s">
        <v>44</v>
      </c>
      <c r="K85" s="31" t="s">
        <v>44</v>
      </c>
      <c r="L85" s="31" t="s">
        <v>44</v>
      </c>
      <c r="M85" s="31" t="s">
        <v>289</v>
      </c>
      <c r="N85" s="35">
        <v>1</v>
      </c>
      <c r="O85" s="31" t="s">
        <v>44</v>
      </c>
      <c r="P85" s="43"/>
      <c r="Q85" s="30"/>
      <c r="R85" s="31"/>
      <c r="S85" s="30" t="s">
        <v>94</v>
      </c>
      <c r="T85" s="31"/>
      <c r="V85" s="37">
        <v>45571</v>
      </c>
      <c r="W85" s="38" t="s">
        <v>315</v>
      </c>
      <c r="X85" s="52" t="s">
        <v>362</v>
      </c>
      <c r="Y85" s="38"/>
      <c r="Z85" s="39"/>
      <c r="AA85" s="40"/>
      <c r="AB85" s="30"/>
      <c r="AC85" s="31"/>
    </row>
    <row r="86" spans="2:29" ht="48.6" x14ac:dyDescent="0.4">
      <c r="B86" s="30">
        <f t="shared" si="0"/>
        <v>82</v>
      </c>
      <c r="C86" s="30" t="s">
        <v>4</v>
      </c>
      <c r="D86" s="30" t="s">
        <v>46</v>
      </c>
      <c r="E86" s="30" t="s">
        <v>65</v>
      </c>
      <c r="F86" s="30" t="s">
        <v>45</v>
      </c>
      <c r="G86" s="32" t="s">
        <v>288</v>
      </c>
      <c r="H86" s="33" t="s">
        <v>171</v>
      </c>
      <c r="I86" s="32" t="s">
        <v>288</v>
      </c>
      <c r="J86" s="31" t="s">
        <v>44</v>
      </c>
      <c r="K86" s="31" t="s">
        <v>44</v>
      </c>
      <c r="L86" s="31" t="s">
        <v>44</v>
      </c>
      <c r="M86" s="31" t="s">
        <v>44</v>
      </c>
      <c r="N86" s="31" t="s">
        <v>44</v>
      </c>
      <c r="O86" s="31" t="s">
        <v>44</v>
      </c>
      <c r="P86" s="31" t="s">
        <v>44</v>
      </c>
      <c r="Q86" s="31" t="s">
        <v>44</v>
      </c>
      <c r="R86" s="31" t="s">
        <v>44</v>
      </c>
      <c r="S86" s="30" t="s">
        <v>94</v>
      </c>
      <c r="T86" s="31"/>
      <c r="V86" s="37">
        <v>45571</v>
      </c>
      <c r="W86" s="38" t="s">
        <v>315</v>
      </c>
      <c r="X86" s="52" t="s">
        <v>373</v>
      </c>
      <c r="Y86" s="39"/>
      <c r="Z86" s="39"/>
      <c r="AA86" s="40"/>
      <c r="AB86" s="30"/>
      <c r="AC86" s="31"/>
    </row>
    <row r="87" spans="2:29" ht="48.6" x14ac:dyDescent="0.4">
      <c r="B87" s="30">
        <f t="shared" si="0"/>
        <v>83</v>
      </c>
      <c r="C87" s="30" t="s">
        <v>4</v>
      </c>
      <c r="D87" s="30" t="s">
        <v>168</v>
      </c>
      <c r="E87" s="30" t="s">
        <v>169</v>
      </c>
      <c r="F87" s="30" t="s">
        <v>45</v>
      </c>
      <c r="G87" s="6" t="s">
        <v>293</v>
      </c>
      <c r="H87" s="33" t="s">
        <v>178</v>
      </c>
      <c r="I87" s="32" t="s">
        <v>295</v>
      </c>
      <c r="J87" s="31" t="s">
        <v>44</v>
      </c>
      <c r="K87" s="31" t="s">
        <v>44</v>
      </c>
      <c r="L87" s="31" t="s">
        <v>44</v>
      </c>
      <c r="M87" s="32" t="s">
        <v>294</v>
      </c>
      <c r="N87" s="31" t="s">
        <v>44</v>
      </c>
      <c r="O87" s="31" t="s">
        <v>44</v>
      </c>
      <c r="P87" s="31" t="s">
        <v>44</v>
      </c>
      <c r="Q87" s="31" t="s">
        <v>44</v>
      </c>
      <c r="R87" s="31" t="s">
        <v>44</v>
      </c>
      <c r="S87" s="30" t="s">
        <v>296</v>
      </c>
      <c r="T87" s="31"/>
      <c r="V87" s="37">
        <v>45571</v>
      </c>
      <c r="W87" s="38" t="s">
        <v>315</v>
      </c>
      <c r="X87" s="60" t="s">
        <v>374</v>
      </c>
      <c r="Y87" s="39"/>
      <c r="Z87" s="39"/>
      <c r="AA87" s="40"/>
      <c r="AB87" s="30"/>
      <c r="AC87" s="31"/>
    </row>
    <row r="88" spans="2:29" x14ac:dyDescent="0.4">
      <c r="B88" s="30">
        <f t="shared" si="0"/>
        <v>84</v>
      </c>
      <c r="C88" s="30"/>
      <c r="D88" s="30"/>
      <c r="E88" s="30"/>
      <c r="F88" s="30"/>
      <c r="G88" s="32"/>
      <c r="H88" s="33"/>
      <c r="I88" s="32"/>
      <c r="J88" s="31"/>
      <c r="K88" s="34"/>
      <c r="L88" s="33"/>
      <c r="M88" s="32"/>
      <c r="N88" s="35"/>
      <c r="O88" s="33"/>
      <c r="P88" s="43"/>
      <c r="Q88" s="30"/>
      <c r="R88" s="31"/>
      <c r="S88" s="30"/>
      <c r="T88" s="31"/>
      <c r="V88" s="37"/>
      <c r="W88" s="38"/>
      <c r="X88" s="38"/>
      <c r="Y88" s="39"/>
      <c r="Z88" s="39"/>
      <c r="AA88" s="40"/>
      <c r="AB88" s="30"/>
      <c r="AC88" s="31"/>
    </row>
    <row r="89" spans="2:29" x14ac:dyDescent="0.4">
      <c r="B89" s="30">
        <f t="shared" si="0"/>
        <v>85</v>
      </c>
      <c r="C89" s="30"/>
      <c r="D89" s="30"/>
      <c r="E89" s="30"/>
      <c r="F89" s="30"/>
      <c r="G89" s="32"/>
      <c r="H89" s="33"/>
      <c r="I89" s="32"/>
      <c r="J89" s="30"/>
      <c r="K89" s="34"/>
      <c r="L89" s="33"/>
      <c r="M89" s="32"/>
      <c r="N89" s="35"/>
      <c r="P89" s="43"/>
      <c r="Q89" s="30"/>
      <c r="R89" s="31"/>
      <c r="S89" s="30"/>
      <c r="T89" s="31"/>
      <c r="V89" s="37"/>
      <c r="W89" s="38"/>
      <c r="X89" s="38"/>
      <c r="Y89" s="39"/>
      <c r="Z89" s="39"/>
      <c r="AA89" s="40"/>
      <c r="AB89" s="30"/>
      <c r="AC89" s="31"/>
    </row>
    <row r="90" spans="2:29" x14ac:dyDescent="0.4">
      <c r="B90" s="30">
        <f t="shared" si="0"/>
        <v>86</v>
      </c>
      <c r="C90" s="30"/>
      <c r="D90" s="30"/>
      <c r="E90" s="30"/>
      <c r="F90" s="30"/>
      <c r="G90" s="32"/>
      <c r="H90" s="33"/>
      <c r="I90" s="32"/>
      <c r="J90" s="30"/>
      <c r="K90" s="34"/>
      <c r="L90" s="33"/>
      <c r="M90" s="32"/>
      <c r="N90" s="35"/>
      <c r="O90" s="33"/>
      <c r="P90" s="43"/>
      <c r="Q90" s="30"/>
      <c r="R90" s="31"/>
      <c r="S90" s="30"/>
      <c r="T90" s="31"/>
      <c r="V90" s="37"/>
      <c r="W90" s="38"/>
      <c r="X90" s="38"/>
      <c r="Y90" s="39"/>
      <c r="Z90" s="39"/>
      <c r="AA90" s="40"/>
      <c r="AB90" s="30"/>
      <c r="AC90" s="31"/>
    </row>
    <row r="91" spans="2:29" x14ac:dyDescent="0.4">
      <c r="B91" s="30">
        <f t="shared" si="0"/>
        <v>87</v>
      </c>
      <c r="C91" s="30"/>
      <c r="D91" s="30"/>
      <c r="E91" s="30"/>
      <c r="F91" s="30"/>
      <c r="G91" s="46"/>
      <c r="H91" s="33"/>
      <c r="I91" s="32"/>
      <c r="J91" s="30"/>
      <c r="K91" s="34"/>
      <c r="L91" s="33"/>
      <c r="M91" s="32"/>
      <c r="N91" s="35"/>
      <c r="O91" s="33"/>
      <c r="P91" s="43"/>
      <c r="Q91" s="30"/>
      <c r="R91" s="31"/>
      <c r="S91" s="30"/>
      <c r="T91" s="31"/>
      <c r="V91" s="37"/>
      <c r="W91" s="38"/>
      <c r="X91" s="38"/>
      <c r="Y91" s="39"/>
      <c r="Z91" s="39"/>
      <c r="AA91" s="41"/>
      <c r="AB91" s="30"/>
      <c r="AC91" s="31"/>
    </row>
    <row r="92" spans="2:29" x14ac:dyDescent="0.4">
      <c r="B92" s="30">
        <f t="shared" si="0"/>
        <v>88</v>
      </c>
      <c r="C92" s="30"/>
      <c r="D92" s="30"/>
      <c r="E92" s="30"/>
      <c r="F92" s="30"/>
      <c r="G92" s="32"/>
      <c r="H92" s="33"/>
      <c r="I92" s="32"/>
      <c r="J92" s="30"/>
      <c r="K92" s="34"/>
      <c r="L92" s="33"/>
      <c r="M92" s="32"/>
      <c r="N92" s="33"/>
      <c r="O92" s="33"/>
      <c r="P92" s="43"/>
      <c r="Q92" s="30"/>
      <c r="R92" s="31"/>
      <c r="S92" s="30"/>
      <c r="T92" s="31"/>
      <c r="V92" s="37"/>
      <c r="W92" s="38"/>
      <c r="X92" s="38"/>
      <c r="Y92" s="38"/>
      <c r="Z92" s="39"/>
      <c r="AA92" s="40"/>
      <c r="AB92" s="30"/>
      <c r="AC92" s="31"/>
    </row>
    <row r="93" spans="2:29" x14ac:dyDescent="0.4">
      <c r="B93" s="30">
        <f t="shared" si="0"/>
        <v>89</v>
      </c>
      <c r="C93" s="30"/>
      <c r="D93" s="30"/>
      <c r="E93" s="30"/>
      <c r="F93" s="30"/>
      <c r="G93" s="32"/>
      <c r="H93" s="33"/>
      <c r="I93" s="32"/>
      <c r="J93" s="31"/>
      <c r="K93" s="34"/>
      <c r="L93" s="33"/>
      <c r="M93" s="32"/>
      <c r="N93" s="35"/>
      <c r="O93" s="33"/>
      <c r="P93" s="43"/>
      <c r="Q93" s="30"/>
      <c r="R93" s="31"/>
      <c r="S93" s="30"/>
      <c r="T93" s="31"/>
      <c r="V93" s="37"/>
      <c r="W93" s="38"/>
      <c r="X93" s="38"/>
      <c r="Y93" s="38"/>
      <c r="Z93" s="39"/>
      <c r="AA93" s="40"/>
      <c r="AB93" s="30"/>
      <c r="AC93" s="31"/>
    </row>
    <row r="94" spans="2:29" x14ac:dyDescent="0.4">
      <c r="B94" s="30">
        <f t="shared" si="0"/>
        <v>90</v>
      </c>
      <c r="C94" s="30"/>
      <c r="D94" s="30"/>
      <c r="E94" s="30"/>
      <c r="F94" s="30"/>
      <c r="G94" s="32"/>
      <c r="H94" s="33"/>
      <c r="I94" s="32"/>
      <c r="J94" s="31"/>
      <c r="K94" s="34"/>
      <c r="L94" s="33"/>
      <c r="M94" s="32"/>
      <c r="N94" s="35"/>
      <c r="O94" s="33"/>
      <c r="P94" s="43"/>
      <c r="Q94" s="30"/>
      <c r="R94" s="31"/>
      <c r="S94" s="30"/>
      <c r="T94" s="31"/>
      <c r="V94" s="37"/>
      <c r="W94" s="38"/>
      <c r="X94" s="38"/>
      <c r="Y94" s="39"/>
      <c r="Z94" s="39"/>
      <c r="AA94" s="40"/>
      <c r="AB94" s="30"/>
      <c r="AC94" s="31"/>
    </row>
    <row r="95" spans="2:29" x14ac:dyDescent="0.4">
      <c r="B95" s="30">
        <f t="shared" si="0"/>
        <v>91</v>
      </c>
      <c r="C95" s="30"/>
      <c r="D95" s="30"/>
      <c r="E95" s="30"/>
      <c r="F95" s="30"/>
      <c r="G95" s="32"/>
      <c r="H95" s="33"/>
      <c r="I95" s="32"/>
      <c r="J95" s="31"/>
      <c r="K95" s="34"/>
      <c r="L95" s="33"/>
      <c r="M95" s="32"/>
      <c r="N95" s="35"/>
      <c r="O95" s="33"/>
      <c r="P95" s="43"/>
      <c r="Q95" s="30"/>
      <c r="R95" s="31"/>
      <c r="S95" s="30"/>
      <c r="T95" s="31"/>
      <c r="V95" s="37"/>
      <c r="W95" s="38"/>
      <c r="X95" s="38"/>
      <c r="Y95" s="39"/>
      <c r="Z95" s="39"/>
      <c r="AA95" s="40"/>
      <c r="AB95" s="30"/>
      <c r="AC95" s="31"/>
    </row>
    <row r="96" spans="2:29" x14ac:dyDescent="0.4">
      <c r="B96" s="30">
        <f t="shared" si="0"/>
        <v>92</v>
      </c>
      <c r="C96" s="30"/>
      <c r="D96" s="30"/>
      <c r="E96" s="30"/>
      <c r="F96" s="30"/>
      <c r="G96" s="32"/>
      <c r="H96" s="33"/>
      <c r="I96" s="32"/>
      <c r="J96" s="31"/>
      <c r="K96" s="34"/>
      <c r="L96" s="33"/>
      <c r="M96" s="32"/>
      <c r="N96" s="35"/>
      <c r="O96" s="33"/>
      <c r="P96" s="43"/>
      <c r="Q96" s="30"/>
      <c r="R96" s="31"/>
      <c r="S96" s="30"/>
      <c r="T96" s="31"/>
      <c r="V96" s="37"/>
      <c r="W96" s="38"/>
      <c r="X96" s="38"/>
      <c r="Y96" s="38"/>
      <c r="Z96" s="39"/>
      <c r="AA96" s="40"/>
      <c r="AB96" s="30"/>
      <c r="AC96" s="31"/>
    </row>
    <row r="97" spans="2:29" x14ac:dyDescent="0.4">
      <c r="B97" s="30">
        <f t="shared" si="0"/>
        <v>93</v>
      </c>
      <c r="C97" s="30"/>
      <c r="D97" s="30"/>
      <c r="E97" s="30"/>
      <c r="F97" s="30"/>
      <c r="G97" s="32"/>
      <c r="H97" s="33"/>
      <c r="I97" s="32"/>
      <c r="J97" s="31"/>
      <c r="K97" s="34"/>
      <c r="L97" s="33"/>
      <c r="M97" s="32"/>
      <c r="N97" s="35"/>
      <c r="O97" s="33"/>
      <c r="P97" s="43"/>
      <c r="Q97" s="30"/>
      <c r="R97" s="31"/>
      <c r="S97" s="30"/>
      <c r="T97" s="31"/>
      <c r="V97" s="37"/>
      <c r="W97" s="38"/>
      <c r="X97" s="38"/>
      <c r="Y97" s="39"/>
      <c r="Z97" s="39"/>
      <c r="AA97" s="40"/>
      <c r="AB97" s="30"/>
      <c r="AC97" s="31"/>
    </row>
    <row r="98" spans="2:29" x14ac:dyDescent="0.4">
      <c r="B98" s="30">
        <f t="shared" si="0"/>
        <v>94</v>
      </c>
      <c r="C98" s="30"/>
      <c r="D98" s="30"/>
      <c r="E98" s="30"/>
      <c r="F98" s="30"/>
      <c r="G98" s="32"/>
      <c r="H98" s="33"/>
      <c r="I98" s="32"/>
      <c r="J98" s="31"/>
      <c r="K98" s="34"/>
      <c r="L98" s="33"/>
      <c r="M98" s="32"/>
      <c r="N98" s="35"/>
      <c r="O98" s="33"/>
      <c r="P98" s="43"/>
      <c r="Q98" s="30"/>
      <c r="R98" s="31"/>
      <c r="S98" s="30"/>
      <c r="T98" s="31"/>
      <c r="V98" s="37"/>
      <c r="W98" s="38"/>
      <c r="X98" s="38"/>
      <c r="Y98" s="39"/>
      <c r="Z98" s="39"/>
      <c r="AA98" s="40"/>
      <c r="AB98" s="30"/>
      <c r="AC98" s="31"/>
    </row>
    <row r="99" spans="2:29" x14ac:dyDescent="0.4">
      <c r="B99" s="30">
        <f t="shared" si="0"/>
        <v>95</v>
      </c>
      <c r="C99" s="30"/>
      <c r="D99" s="30"/>
      <c r="E99" s="30"/>
      <c r="F99" s="30"/>
      <c r="G99" s="32"/>
      <c r="H99" s="33"/>
      <c r="I99" s="32"/>
      <c r="J99" s="31"/>
      <c r="K99" s="34"/>
      <c r="L99" s="33"/>
      <c r="M99" s="32"/>
      <c r="N99" s="35"/>
      <c r="O99" s="33"/>
      <c r="P99" s="43"/>
      <c r="Q99" s="30"/>
      <c r="R99" s="31"/>
      <c r="S99" s="30"/>
      <c r="T99" s="31"/>
      <c r="V99" s="37"/>
      <c r="W99" s="38"/>
      <c r="X99" s="38"/>
      <c r="Y99" s="38"/>
      <c r="Z99" s="39"/>
      <c r="AA99" s="40"/>
      <c r="AB99" s="30"/>
      <c r="AC99" s="31"/>
    </row>
    <row r="100" spans="2:29" x14ac:dyDescent="0.4">
      <c r="B100" s="30">
        <f t="shared" si="0"/>
        <v>96</v>
      </c>
      <c r="C100" s="30"/>
      <c r="D100" s="30"/>
      <c r="E100" s="30"/>
      <c r="F100" s="30"/>
      <c r="G100" s="32"/>
      <c r="H100" s="33"/>
      <c r="I100" s="32"/>
      <c r="J100" s="31"/>
      <c r="K100" s="34"/>
      <c r="L100" s="33"/>
      <c r="M100" s="32"/>
      <c r="N100" s="35"/>
      <c r="O100" s="33"/>
      <c r="P100" s="43"/>
      <c r="Q100" s="30"/>
      <c r="R100" s="31"/>
      <c r="S100" s="30"/>
      <c r="T100" s="31"/>
      <c r="V100" s="37"/>
      <c r="W100" s="38"/>
      <c r="X100" s="38"/>
      <c r="Y100" s="39"/>
      <c r="Z100" s="39"/>
      <c r="AA100" s="40"/>
      <c r="AB100" s="30"/>
      <c r="AC100" s="31"/>
    </row>
    <row r="101" spans="2:29" x14ac:dyDescent="0.4">
      <c r="B101" s="30">
        <f t="shared" si="0"/>
        <v>97</v>
      </c>
      <c r="C101" s="30"/>
      <c r="D101" s="30"/>
      <c r="E101" s="30"/>
      <c r="F101" s="30"/>
      <c r="G101" s="32"/>
      <c r="H101" s="33"/>
      <c r="I101" s="32"/>
      <c r="J101" s="31"/>
      <c r="K101" s="34"/>
      <c r="L101" s="33"/>
      <c r="M101" s="32"/>
      <c r="N101" s="35"/>
      <c r="O101" s="33"/>
      <c r="P101" s="43"/>
      <c r="Q101" s="30"/>
      <c r="R101" s="31"/>
      <c r="S101" s="30"/>
      <c r="T101" s="31"/>
      <c r="V101" s="37"/>
      <c r="W101" s="38"/>
      <c r="X101" s="38"/>
      <c r="Y101" s="39"/>
      <c r="Z101" s="39"/>
      <c r="AA101" s="40"/>
      <c r="AB101" s="30"/>
      <c r="AC101" s="31"/>
    </row>
    <row r="102" spans="2:29" x14ac:dyDescent="0.4">
      <c r="B102" s="30">
        <f t="shared" si="0"/>
        <v>98</v>
      </c>
      <c r="C102" s="30"/>
      <c r="D102" s="30"/>
      <c r="E102" s="30"/>
      <c r="F102" s="30"/>
      <c r="G102" s="32"/>
      <c r="H102" s="33"/>
      <c r="I102" s="32"/>
      <c r="J102" s="31"/>
      <c r="K102" s="34"/>
      <c r="L102" s="33"/>
      <c r="M102" s="32"/>
      <c r="N102" s="35"/>
      <c r="O102" s="33"/>
      <c r="P102" s="43"/>
      <c r="Q102" s="30"/>
      <c r="R102" s="31"/>
      <c r="S102" s="30"/>
      <c r="T102" s="31"/>
      <c r="V102" s="37"/>
      <c r="W102" s="38"/>
      <c r="X102" s="38"/>
      <c r="Y102" s="39"/>
      <c r="Z102" s="39"/>
      <c r="AA102" s="40"/>
      <c r="AB102" s="30"/>
      <c r="AC102" s="31"/>
    </row>
    <row r="103" spans="2:29" x14ac:dyDescent="0.4">
      <c r="B103" s="30">
        <f t="shared" si="0"/>
        <v>99</v>
      </c>
      <c r="C103" s="30"/>
      <c r="D103" s="30"/>
      <c r="E103" s="30"/>
      <c r="F103" s="30"/>
      <c r="G103" s="32"/>
      <c r="H103" s="33"/>
      <c r="I103" s="32"/>
      <c r="J103" s="31"/>
      <c r="K103" s="34"/>
      <c r="L103" s="33"/>
      <c r="M103" s="32"/>
      <c r="N103" s="35"/>
      <c r="O103" s="33"/>
      <c r="P103" s="43"/>
      <c r="Q103" s="30"/>
      <c r="R103" s="31"/>
      <c r="S103" s="30"/>
      <c r="T103" s="31"/>
      <c r="V103" s="37"/>
      <c r="W103" s="38"/>
      <c r="X103" s="47"/>
      <c r="Y103" s="38"/>
      <c r="Z103" s="39"/>
      <c r="AA103" s="40"/>
      <c r="AB103" s="30"/>
      <c r="AC103" s="31"/>
    </row>
    <row r="104" spans="2:29" x14ac:dyDescent="0.4">
      <c r="B104" s="30">
        <f t="shared" si="0"/>
        <v>100</v>
      </c>
      <c r="C104" s="30"/>
      <c r="D104" s="30"/>
      <c r="E104" s="30"/>
      <c r="F104" s="30"/>
      <c r="G104" s="32"/>
      <c r="H104" s="33"/>
      <c r="I104" s="32"/>
      <c r="J104" s="31"/>
      <c r="K104" s="34"/>
      <c r="L104" s="33"/>
      <c r="M104" s="32"/>
      <c r="N104" s="35"/>
      <c r="O104" s="33"/>
      <c r="P104" s="43"/>
      <c r="Q104" s="30"/>
      <c r="R104" s="31"/>
      <c r="S104" s="30"/>
      <c r="T104" s="31"/>
      <c r="V104" s="37"/>
      <c r="W104" s="38"/>
      <c r="X104" s="47"/>
      <c r="Y104" s="38"/>
      <c r="Z104" s="39"/>
      <c r="AA104" s="40"/>
      <c r="AB104" s="30"/>
      <c r="AC104" s="31"/>
    </row>
    <row r="105" spans="2:29" x14ac:dyDescent="0.4">
      <c r="B105" s="30">
        <f t="shared" si="0"/>
        <v>101</v>
      </c>
      <c r="C105" s="30"/>
      <c r="D105" s="30"/>
      <c r="E105" s="30"/>
      <c r="F105" s="30"/>
      <c r="G105" s="32"/>
      <c r="H105" s="33"/>
      <c r="I105" s="32"/>
      <c r="J105" s="31"/>
      <c r="K105" s="34"/>
      <c r="L105" s="33"/>
      <c r="M105" s="32"/>
      <c r="N105" s="35"/>
      <c r="O105" s="33"/>
      <c r="P105" s="43"/>
      <c r="Q105" s="30"/>
      <c r="R105" s="31"/>
      <c r="S105" s="30"/>
      <c r="T105" s="31"/>
      <c r="V105" s="37"/>
      <c r="W105" s="38"/>
      <c r="X105" s="38"/>
      <c r="Y105" s="39"/>
      <c r="Z105" s="39"/>
      <c r="AA105" s="40"/>
      <c r="AB105" s="30"/>
      <c r="AC105" s="31"/>
    </row>
    <row r="106" spans="2:29" x14ac:dyDescent="0.4">
      <c r="B106" s="30">
        <f t="shared" si="0"/>
        <v>102</v>
      </c>
      <c r="C106" s="30"/>
      <c r="D106" s="30"/>
      <c r="E106" s="30"/>
      <c r="F106" s="30"/>
      <c r="G106" s="32"/>
      <c r="H106" s="33"/>
      <c r="I106" s="32"/>
      <c r="J106" s="31"/>
      <c r="K106" s="34"/>
      <c r="L106" s="33"/>
      <c r="M106" s="32"/>
      <c r="N106" s="35"/>
      <c r="O106" s="33"/>
      <c r="P106" s="43"/>
      <c r="Q106" s="30"/>
      <c r="R106" s="31"/>
      <c r="S106" s="30"/>
      <c r="T106" s="31"/>
      <c r="V106" s="37"/>
      <c r="W106" s="38"/>
      <c r="X106" s="38"/>
      <c r="Y106" s="39"/>
      <c r="Z106" s="39"/>
      <c r="AA106" s="40"/>
      <c r="AB106" s="30"/>
      <c r="AC106" s="31"/>
    </row>
    <row r="107" spans="2:29" x14ac:dyDescent="0.4">
      <c r="B107" s="30">
        <f t="shared" si="0"/>
        <v>103</v>
      </c>
      <c r="C107" s="30"/>
      <c r="D107" s="30"/>
      <c r="E107" s="30"/>
      <c r="F107" s="30"/>
      <c r="G107" s="32"/>
      <c r="H107" s="33"/>
      <c r="I107" s="32"/>
      <c r="J107" s="31"/>
      <c r="K107" s="34"/>
      <c r="L107" s="33"/>
      <c r="M107" s="32"/>
      <c r="N107" s="35"/>
      <c r="O107" s="33"/>
      <c r="P107" s="43"/>
      <c r="Q107" s="30"/>
      <c r="R107" s="31"/>
      <c r="S107" s="30"/>
      <c r="T107" s="31"/>
      <c r="V107" s="37"/>
      <c r="W107" s="38"/>
      <c r="X107" s="38"/>
      <c r="Y107" s="39"/>
      <c r="Z107" s="39"/>
      <c r="AA107" s="41"/>
      <c r="AB107" s="30"/>
      <c r="AC107" s="31"/>
    </row>
    <row r="108" spans="2:29" x14ac:dyDescent="0.4">
      <c r="B108" s="30">
        <f t="shared" si="0"/>
        <v>104</v>
      </c>
      <c r="C108" s="30"/>
      <c r="D108" s="30"/>
      <c r="E108" s="30"/>
      <c r="F108" s="30"/>
      <c r="G108" s="32"/>
      <c r="H108" s="33"/>
      <c r="I108" s="32"/>
      <c r="J108" s="31"/>
      <c r="K108" s="34"/>
      <c r="L108" s="33"/>
      <c r="M108" s="32"/>
      <c r="N108" s="35"/>
      <c r="O108" s="33"/>
      <c r="P108" s="43"/>
      <c r="Q108" s="30"/>
      <c r="R108" s="31"/>
      <c r="S108" s="30"/>
      <c r="T108" s="31"/>
      <c r="V108" s="37"/>
      <c r="W108" s="38"/>
      <c r="X108" s="38"/>
      <c r="Y108" s="39"/>
      <c r="Z108" s="39"/>
      <c r="AA108" s="40"/>
      <c r="AB108" s="30"/>
      <c r="AC108" s="31"/>
    </row>
    <row r="109" spans="2:29" x14ac:dyDescent="0.4">
      <c r="B109" s="30">
        <f t="shared" si="0"/>
        <v>105</v>
      </c>
      <c r="C109" s="30"/>
      <c r="D109" s="30"/>
      <c r="E109" s="30"/>
      <c r="F109" s="30"/>
      <c r="G109" s="32"/>
      <c r="H109" s="33"/>
      <c r="I109" s="32"/>
      <c r="J109" s="31"/>
      <c r="K109" s="34"/>
      <c r="L109" s="33"/>
      <c r="M109" s="32"/>
      <c r="N109" s="35"/>
      <c r="O109" s="33"/>
      <c r="P109" s="43"/>
      <c r="Q109" s="30"/>
      <c r="R109" s="31"/>
      <c r="S109" s="30"/>
      <c r="T109" s="31"/>
      <c r="V109" s="37"/>
      <c r="W109" s="38"/>
      <c r="X109" s="38"/>
      <c r="Y109" s="39"/>
      <c r="Z109" s="39"/>
      <c r="AA109" s="40"/>
      <c r="AB109" s="30"/>
      <c r="AC109" s="31"/>
    </row>
    <row r="110" spans="2:29" x14ac:dyDescent="0.4">
      <c r="B110" s="30">
        <f t="shared" si="0"/>
        <v>106</v>
      </c>
      <c r="C110" s="30"/>
      <c r="D110" s="30"/>
      <c r="E110" s="30"/>
      <c r="F110" s="30"/>
      <c r="G110" s="32"/>
      <c r="H110" s="33"/>
      <c r="I110" s="32"/>
      <c r="J110" s="31"/>
      <c r="K110" s="34"/>
      <c r="L110" s="33"/>
      <c r="M110" s="32"/>
      <c r="N110" s="35"/>
      <c r="O110" s="33"/>
      <c r="P110" s="43"/>
      <c r="Q110" s="30"/>
      <c r="R110" s="31"/>
      <c r="S110" s="30"/>
      <c r="T110" s="31"/>
      <c r="V110" s="37"/>
      <c r="W110" s="38"/>
      <c r="X110" s="38"/>
      <c r="Y110" s="38"/>
      <c r="Z110" s="39"/>
      <c r="AA110" s="40"/>
      <c r="AB110" s="30"/>
      <c r="AC110" s="31"/>
    </row>
    <row r="111" spans="2:29" x14ac:dyDescent="0.4">
      <c r="B111" s="30">
        <f t="shared" si="0"/>
        <v>107</v>
      </c>
      <c r="C111" s="30"/>
      <c r="D111" s="30"/>
      <c r="E111" s="30"/>
      <c r="F111" s="30"/>
      <c r="G111" s="32"/>
      <c r="H111" s="33"/>
      <c r="I111" s="32"/>
      <c r="J111" s="31"/>
      <c r="K111" s="34"/>
      <c r="L111" s="33"/>
      <c r="M111" s="32"/>
      <c r="N111" s="35"/>
      <c r="O111" s="33"/>
      <c r="P111" s="43"/>
      <c r="Q111" s="30"/>
      <c r="R111" s="31"/>
      <c r="S111" s="30"/>
      <c r="T111" s="31"/>
      <c r="V111" s="37"/>
      <c r="W111" s="38"/>
      <c r="X111" s="38"/>
      <c r="Y111" s="38"/>
      <c r="Z111" s="39"/>
      <c r="AA111" s="40"/>
      <c r="AB111" s="30"/>
      <c r="AC111" s="31"/>
    </row>
    <row r="112" spans="2:29" x14ac:dyDescent="0.4">
      <c r="B112" s="30">
        <f t="shared" si="0"/>
        <v>108</v>
      </c>
      <c r="C112" s="30"/>
      <c r="D112" s="30"/>
      <c r="E112" s="30"/>
      <c r="F112" s="30"/>
      <c r="G112" s="32"/>
      <c r="H112" s="33"/>
      <c r="I112" s="32"/>
      <c r="J112" s="11"/>
      <c r="K112" s="34"/>
      <c r="L112" s="33"/>
      <c r="M112" s="32"/>
      <c r="N112" s="35"/>
      <c r="O112" s="33"/>
      <c r="P112" s="43"/>
      <c r="Q112" s="30"/>
      <c r="R112" s="31"/>
      <c r="S112" s="30"/>
      <c r="T112" s="31"/>
      <c r="V112" s="37"/>
      <c r="W112" s="38"/>
      <c r="X112" s="38"/>
      <c r="Y112" s="39"/>
      <c r="Z112" s="39"/>
      <c r="AA112" s="40"/>
      <c r="AB112" s="30"/>
      <c r="AC112" s="31"/>
    </row>
    <row r="113" spans="2:29" x14ac:dyDescent="0.4">
      <c r="B113" s="30">
        <f t="shared" si="0"/>
        <v>109</v>
      </c>
      <c r="C113" s="30"/>
      <c r="D113" s="30"/>
      <c r="E113" s="30"/>
      <c r="F113" s="30"/>
      <c r="G113" s="32"/>
      <c r="H113" s="33"/>
      <c r="I113" s="32"/>
      <c r="J113" s="31"/>
      <c r="K113" s="34"/>
      <c r="L113" s="33"/>
      <c r="M113" s="32"/>
      <c r="N113" s="35"/>
      <c r="O113" s="33"/>
      <c r="P113" s="43"/>
      <c r="Q113" s="30"/>
      <c r="R113" s="31"/>
      <c r="S113" s="30"/>
      <c r="T113" s="31"/>
      <c r="V113" s="37"/>
      <c r="W113" s="38"/>
      <c r="X113" s="38"/>
      <c r="Y113" s="39"/>
      <c r="Z113" s="39"/>
      <c r="AA113" s="40"/>
      <c r="AB113" s="30"/>
      <c r="AC113" s="31"/>
    </row>
    <row r="114" spans="2:29" x14ac:dyDescent="0.4">
      <c r="B114" s="30">
        <f t="shared" si="0"/>
        <v>110</v>
      </c>
      <c r="C114" s="30"/>
      <c r="D114" s="30"/>
      <c r="E114" s="30"/>
      <c r="F114" s="30"/>
      <c r="G114" s="32"/>
      <c r="H114" s="33"/>
      <c r="I114" s="32"/>
      <c r="J114" s="31"/>
      <c r="K114" s="34"/>
      <c r="L114" s="33"/>
      <c r="M114" s="32"/>
      <c r="N114" s="35"/>
      <c r="O114" s="33"/>
      <c r="P114" s="43"/>
      <c r="Q114" s="30"/>
      <c r="R114" s="31"/>
      <c r="S114" s="30"/>
      <c r="T114" s="31"/>
      <c r="V114" s="37"/>
      <c r="W114" s="38"/>
      <c r="X114" s="38"/>
      <c r="Y114" s="39"/>
      <c r="Z114" s="39"/>
      <c r="AA114" s="40"/>
      <c r="AB114" s="30"/>
      <c r="AC114" s="31"/>
    </row>
    <row r="115" spans="2:29" x14ac:dyDescent="0.4">
      <c r="B115" s="30">
        <f t="shared" si="0"/>
        <v>111</v>
      </c>
      <c r="C115" s="30"/>
      <c r="D115" s="30"/>
      <c r="E115" s="30"/>
      <c r="F115" s="30"/>
      <c r="G115" s="32"/>
      <c r="H115" s="33"/>
      <c r="I115" s="32"/>
      <c r="J115" s="31"/>
      <c r="K115" s="34"/>
      <c r="L115" s="33"/>
      <c r="M115" s="32"/>
      <c r="N115" s="35"/>
      <c r="O115" s="33"/>
      <c r="P115" s="43"/>
      <c r="Q115" s="30"/>
      <c r="R115" s="31"/>
      <c r="S115" s="30"/>
      <c r="T115" s="31"/>
      <c r="V115" s="37"/>
      <c r="W115" s="38"/>
      <c r="X115" s="38"/>
      <c r="Y115" s="39"/>
      <c r="Z115" s="39"/>
      <c r="AA115" s="41"/>
      <c r="AB115" s="30"/>
      <c r="AC115" s="31"/>
    </row>
    <row r="116" spans="2:29" x14ac:dyDescent="0.4">
      <c r="B116" s="30">
        <f t="shared" si="0"/>
        <v>112</v>
      </c>
      <c r="C116" s="30"/>
      <c r="D116" s="30"/>
      <c r="E116" s="30"/>
      <c r="F116" s="30"/>
      <c r="G116" s="32"/>
      <c r="H116" s="33"/>
      <c r="I116" s="32"/>
      <c r="J116" s="31"/>
      <c r="K116" s="34"/>
      <c r="L116" s="33"/>
      <c r="M116" s="32"/>
      <c r="N116" s="35"/>
      <c r="O116" s="33"/>
      <c r="P116" s="43"/>
      <c r="Q116" s="30"/>
      <c r="R116" s="31"/>
      <c r="S116" s="30"/>
      <c r="T116" s="31"/>
      <c r="V116" s="37"/>
      <c r="W116" s="38"/>
      <c r="X116" s="38"/>
      <c r="Y116" s="39"/>
      <c r="Z116" s="39"/>
      <c r="AA116" s="40"/>
      <c r="AB116" s="30"/>
      <c r="AC116" s="31"/>
    </row>
    <row r="117" spans="2:29" x14ac:dyDescent="0.4">
      <c r="B117" s="30">
        <f t="shared" si="0"/>
        <v>113</v>
      </c>
      <c r="C117" s="30"/>
      <c r="D117" s="30"/>
      <c r="E117" s="30"/>
      <c r="F117" s="30"/>
      <c r="G117" s="32"/>
      <c r="H117" s="33"/>
      <c r="I117" s="32"/>
      <c r="J117" s="31"/>
      <c r="K117" s="34"/>
      <c r="L117" s="33"/>
      <c r="M117" s="32"/>
      <c r="N117" s="35"/>
      <c r="O117" s="33"/>
      <c r="P117" s="43"/>
      <c r="Q117" s="30"/>
      <c r="R117" s="31"/>
      <c r="S117" s="30"/>
      <c r="T117" s="31"/>
      <c r="V117" s="37"/>
      <c r="W117" s="38"/>
      <c r="X117" s="38"/>
      <c r="Y117" s="39"/>
      <c r="Z117" s="39"/>
      <c r="AA117" s="40"/>
      <c r="AB117" s="30"/>
      <c r="AC117" s="31"/>
    </row>
    <row r="118" spans="2:29" x14ac:dyDescent="0.4">
      <c r="B118" s="30">
        <f t="shared" si="0"/>
        <v>114</v>
      </c>
      <c r="C118" s="30"/>
      <c r="D118" s="30"/>
      <c r="E118" s="30"/>
      <c r="F118" s="30"/>
      <c r="G118" s="32"/>
      <c r="H118" s="33"/>
      <c r="I118" s="32"/>
      <c r="J118" s="31"/>
      <c r="K118" s="34"/>
      <c r="L118" s="33"/>
      <c r="M118" s="32"/>
      <c r="N118" s="35"/>
      <c r="O118" s="33"/>
      <c r="P118" s="43"/>
      <c r="Q118" s="30"/>
      <c r="R118" s="31"/>
      <c r="S118" s="30"/>
      <c r="T118" s="31"/>
      <c r="V118" s="37"/>
      <c r="W118" s="38"/>
      <c r="X118" s="38"/>
      <c r="Y118" s="39"/>
      <c r="Z118" s="39"/>
      <c r="AA118" s="40"/>
      <c r="AB118" s="30"/>
      <c r="AC118" s="31"/>
    </row>
    <row r="119" spans="2:29" x14ac:dyDescent="0.4">
      <c r="B119" s="30">
        <f t="shared" si="0"/>
        <v>115</v>
      </c>
      <c r="C119" s="30"/>
      <c r="D119" s="30"/>
      <c r="E119" s="30"/>
      <c r="F119" s="30"/>
      <c r="G119" s="32"/>
      <c r="H119" s="33"/>
      <c r="I119" s="32"/>
      <c r="J119" s="31"/>
      <c r="K119" s="34"/>
      <c r="L119" s="33"/>
      <c r="M119" s="32"/>
      <c r="N119" s="35"/>
      <c r="O119" s="33"/>
      <c r="P119" s="43"/>
      <c r="Q119" s="30"/>
      <c r="R119" s="31"/>
      <c r="S119" s="30"/>
      <c r="T119" s="31"/>
      <c r="V119" s="37"/>
      <c r="W119" s="38"/>
      <c r="X119" s="38"/>
      <c r="Y119" s="39"/>
      <c r="Z119" s="39"/>
      <c r="AA119" s="40"/>
      <c r="AB119" s="30"/>
      <c r="AC119" s="31"/>
    </row>
    <row r="120" spans="2:29" x14ac:dyDescent="0.4">
      <c r="B120" s="30">
        <f t="shared" si="0"/>
        <v>116</v>
      </c>
      <c r="C120" s="30"/>
      <c r="D120" s="30"/>
      <c r="E120" s="30"/>
      <c r="F120" s="30"/>
      <c r="G120" s="32"/>
      <c r="H120" s="33"/>
      <c r="I120" s="32"/>
      <c r="J120" s="31"/>
      <c r="K120" s="34"/>
      <c r="L120" s="33"/>
      <c r="M120" s="32"/>
      <c r="N120" s="35"/>
      <c r="O120" s="33"/>
      <c r="P120" s="43"/>
      <c r="Q120" s="30"/>
      <c r="R120" s="31"/>
      <c r="S120" s="30"/>
      <c r="T120" s="31"/>
      <c r="V120" s="37"/>
      <c r="W120" s="38"/>
      <c r="X120" s="38"/>
      <c r="Y120" s="39"/>
      <c r="Z120" s="39"/>
      <c r="AA120" s="40"/>
      <c r="AB120" s="30"/>
      <c r="AC120" s="31"/>
    </row>
    <row r="121" spans="2:29" x14ac:dyDescent="0.4">
      <c r="B121" s="30">
        <f t="shared" si="0"/>
        <v>117</v>
      </c>
      <c r="C121" s="30"/>
      <c r="D121" s="30"/>
      <c r="E121" s="30"/>
      <c r="F121" s="30"/>
      <c r="G121" s="32"/>
      <c r="H121" s="33"/>
      <c r="I121" s="32"/>
      <c r="J121" s="31"/>
      <c r="K121" s="34"/>
      <c r="L121" s="33"/>
      <c r="M121" s="32"/>
      <c r="N121" s="35"/>
      <c r="O121" s="33"/>
      <c r="P121" s="43"/>
      <c r="Q121" s="30"/>
      <c r="R121" s="31"/>
      <c r="S121" s="30"/>
      <c r="T121" s="31"/>
      <c r="V121" s="37"/>
      <c r="W121" s="38"/>
      <c r="X121" s="38"/>
      <c r="Y121" s="39"/>
      <c r="Z121" s="39"/>
      <c r="AA121" s="40"/>
      <c r="AB121" s="40"/>
      <c r="AC121" s="31"/>
    </row>
    <row r="122" spans="2:29" x14ac:dyDescent="0.4">
      <c r="B122" s="30">
        <f t="shared" si="0"/>
        <v>118</v>
      </c>
      <c r="C122" s="30"/>
      <c r="D122" s="30"/>
      <c r="E122" s="30"/>
      <c r="F122" s="30"/>
      <c r="G122" s="32"/>
      <c r="H122" s="33"/>
      <c r="I122" s="32"/>
      <c r="J122" s="31"/>
      <c r="K122" s="34"/>
      <c r="L122" s="33"/>
      <c r="M122" s="32"/>
      <c r="N122" s="35"/>
      <c r="O122" s="33"/>
      <c r="P122" s="43"/>
      <c r="Q122" s="30"/>
      <c r="R122" s="31"/>
      <c r="S122" s="30"/>
      <c r="T122" s="31"/>
      <c r="V122" s="37"/>
      <c r="W122" s="38"/>
      <c r="X122" s="38"/>
      <c r="Y122" s="39"/>
      <c r="Z122" s="39"/>
      <c r="AA122" s="40"/>
      <c r="AB122" s="30"/>
      <c r="AC122" s="31"/>
    </row>
    <row r="123" spans="2:29" x14ac:dyDescent="0.4">
      <c r="B123" s="30">
        <f t="shared" si="0"/>
        <v>119</v>
      </c>
      <c r="C123" s="30"/>
      <c r="D123" s="30"/>
      <c r="E123" s="30"/>
      <c r="F123" s="30"/>
      <c r="G123" s="32"/>
      <c r="H123" s="33"/>
      <c r="I123" s="32"/>
      <c r="J123" s="31"/>
      <c r="K123" s="34"/>
      <c r="L123" s="33"/>
      <c r="M123" s="32"/>
      <c r="N123" s="35"/>
      <c r="O123" s="33"/>
      <c r="P123" s="43"/>
      <c r="Q123" s="30"/>
      <c r="R123" s="31"/>
      <c r="S123" s="30"/>
      <c r="T123" s="31"/>
      <c r="V123" s="37"/>
      <c r="W123" s="38"/>
      <c r="X123" s="38"/>
      <c r="Y123" s="39"/>
      <c r="Z123" s="39"/>
      <c r="AA123" s="40"/>
      <c r="AB123" s="30"/>
      <c r="AC123" s="31"/>
    </row>
    <row r="124" spans="2:29" x14ac:dyDescent="0.4">
      <c r="B124" s="30">
        <f t="shared" si="0"/>
        <v>120</v>
      </c>
      <c r="C124" s="30"/>
      <c r="D124" s="30"/>
      <c r="E124" s="30"/>
      <c r="F124" s="30"/>
      <c r="G124" s="32"/>
      <c r="H124" s="33"/>
      <c r="I124" s="32"/>
      <c r="J124" s="31"/>
      <c r="K124" s="34"/>
      <c r="L124" s="33"/>
      <c r="M124" s="32"/>
      <c r="N124" s="35"/>
      <c r="O124" s="33"/>
      <c r="P124" s="43"/>
      <c r="Q124" s="30"/>
      <c r="R124" s="31"/>
      <c r="S124" s="30"/>
      <c r="T124" s="31"/>
      <c r="V124" s="37"/>
      <c r="W124" s="38"/>
      <c r="X124" s="38"/>
      <c r="Y124" s="39"/>
      <c r="Z124" s="39"/>
      <c r="AA124" s="40"/>
      <c r="AB124" s="30"/>
      <c r="AC124" s="31"/>
    </row>
    <row r="125" spans="2:29" x14ac:dyDescent="0.4">
      <c r="B125" s="30">
        <f t="shared" si="0"/>
        <v>121</v>
      </c>
      <c r="C125" s="30"/>
      <c r="D125" s="30"/>
      <c r="E125" s="30"/>
      <c r="F125" s="30"/>
      <c r="G125" s="32"/>
      <c r="H125" s="33"/>
      <c r="I125" s="32"/>
      <c r="J125" s="31"/>
      <c r="K125" s="34"/>
      <c r="L125" s="33"/>
      <c r="M125" s="32"/>
      <c r="N125" s="33"/>
      <c r="O125" s="33"/>
      <c r="P125" s="43"/>
      <c r="Q125" s="30"/>
      <c r="R125" s="30"/>
      <c r="S125" s="30"/>
      <c r="T125" s="31"/>
      <c r="V125" s="37"/>
      <c r="W125" s="38"/>
      <c r="X125" s="38"/>
      <c r="Y125" s="39"/>
      <c r="Z125" s="39"/>
      <c r="AA125" s="40"/>
      <c r="AB125" s="30"/>
      <c r="AC125" s="31"/>
    </row>
    <row r="126" spans="2:29" x14ac:dyDescent="0.4">
      <c r="B126" s="30">
        <f t="shared" si="0"/>
        <v>122</v>
      </c>
      <c r="C126" s="30"/>
      <c r="D126" s="30"/>
      <c r="E126" s="30"/>
      <c r="F126" s="30"/>
      <c r="G126" s="32"/>
      <c r="H126" s="33"/>
      <c r="I126" s="32"/>
      <c r="J126" s="31"/>
      <c r="K126" s="34"/>
      <c r="L126" s="33"/>
      <c r="M126" s="32"/>
      <c r="N126" s="35"/>
      <c r="O126" s="33"/>
      <c r="P126" s="43"/>
      <c r="Q126" s="30"/>
      <c r="R126" s="30"/>
      <c r="S126" s="30"/>
      <c r="T126" s="31"/>
      <c r="V126" s="37"/>
      <c r="W126" s="38"/>
      <c r="X126" s="38"/>
      <c r="Y126" s="39"/>
      <c r="Z126" s="39"/>
      <c r="AA126" s="40"/>
      <c r="AB126" s="30"/>
      <c r="AC126" s="31"/>
    </row>
    <row r="127" spans="2:29" x14ac:dyDescent="0.4">
      <c r="B127" s="30">
        <f t="shared" si="0"/>
        <v>123</v>
      </c>
      <c r="C127" s="30"/>
      <c r="D127" s="30"/>
      <c r="E127" s="30"/>
      <c r="F127" s="30"/>
      <c r="G127" s="32"/>
      <c r="H127" s="33"/>
      <c r="I127" s="32"/>
      <c r="J127" s="31"/>
      <c r="K127" s="34"/>
      <c r="L127" s="33"/>
      <c r="M127" s="32"/>
      <c r="N127" s="35"/>
      <c r="O127" s="33"/>
      <c r="P127" s="43"/>
      <c r="Q127" s="30"/>
      <c r="R127" s="31"/>
      <c r="S127" s="30"/>
      <c r="T127" s="31"/>
      <c r="V127" s="37"/>
      <c r="W127" s="38"/>
      <c r="X127" s="38"/>
      <c r="Y127" s="39"/>
      <c r="Z127" s="39"/>
      <c r="AA127" s="40"/>
      <c r="AB127" s="30"/>
      <c r="AC127" s="31"/>
    </row>
    <row r="128" spans="2:29" x14ac:dyDescent="0.4">
      <c r="B128" s="30">
        <f t="shared" si="0"/>
        <v>124</v>
      </c>
      <c r="C128" s="30"/>
      <c r="D128" s="30"/>
      <c r="E128" s="30"/>
      <c r="F128" s="30"/>
      <c r="G128" s="32"/>
      <c r="H128" s="33"/>
      <c r="I128" s="32"/>
      <c r="J128" s="31"/>
      <c r="K128" s="34"/>
      <c r="L128" s="33"/>
      <c r="M128" s="32"/>
      <c r="N128" s="35"/>
      <c r="O128" s="33"/>
      <c r="P128" s="43"/>
      <c r="Q128" s="30"/>
      <c r="R128" s="31"/>
      <c r="S128" s="30"/>
      <c r="T128" s="31"/>
      <c r="V128" s="37"/>
      <c r="W128" s="38"/>
      <c r="X128" s="38"/>
      <c r="Y128" s="39"/>
      <c r="Z128" s="39"/>
      <c r="AA128" s="40"/>
      <c r="AB128" s="30"/>
      <c r="AC128" s="31"/>
    </row>
    <row r="129" spans="2:29" x14ac:dyDescent="0.4">
      <c r="B129" s="30">
        <f t="shared" si="0"/>
        <v>125</v>
      </c>
      <c r="C129" s="30"/>
      <c r="D129" s="30"/>
      <c r="E129" s="30"/>
      <c r="F129" s="30"/>
      <c r="G129" s="32"/>
      <c r="H129" s="33"/>
      <c r="I129" s="32"/>
      <c r="J129" s="31"/>
      <c r="K129" s="34"/>
      <c r="L129" s="33"/>
      <c r="M129" s="32"/>
      <c r="N129" s="35"/>
      <c r="O129" s="33"/>
      <c r="P129" s="43"/>
      <c r="Q129" s="30"/>
      <c r="R129" s="31"/>
      <c r="S129" s="30"/>
      <c r="T129" s="31"/>
      <c r="V129" s="37"/>
      <c r="W129" s="38"/>
      <c r="X129" s="38"/>
      <c r="Y129" s="39"/>
      <c r="Z129" s="39"/>
      <c r="AA129" s="40"/>
      <c r="AB129" s="30"/>
      <c r="AC129" s="31"/>
    </row>
    <row r="130" spans="2:29" x14ac:dyDescent="0.4">
      <c r="B130" s="30">
        <f t="shared" si="0"/>
        <v>126</v>
      </c>
      <c r="C130" s="30"/>
      <c r="D130" s="30"/>
      <c r="E130" s="30"/>
      <c r="F130" s="30"/>
      <c r="G130" s="32"/>
      <c r="H130" s="33"/>
      <c r="I130" s="32"/>
      <c r="J130" s="31"/>
      <c r="K130" s="34"/>
      <c r="L130" s="33"/>
      <c r="M130" s="32"/>
      <c r="N130" s="35"/>
      <c r="O130" s="33"/>
      <c r="P130" s="43"/>
      <c r="Q130" s="30"/>
      <c r="R130" s="31"/>
      <c r="S130" s="30"/>
      <c r="T130" s="31"/>
      <c r="V130" s="37"/>
      <c r="W130" s="38"/>
      <c r="X130" s="38"/>
      <c r="Y130" s="39"/>
      <c r="Z130" s="39"/>
      <c r="AA130" s="40"/>
      <c r="AB130" s="30"/>
      <c r="AC130" s="31"/>
    </row>
    <row r="131" spans="2:29" x14ac:dyDescent="0.4">
      <c r="B131" s="30">
        <f t="shared" si="0"/>
        <v>127</v>
      </c>
      <c r="C131" s="30"/>
      <c r="D131" s="30"/>
      <c r="E131" s="30"/>
      <c r="F131" s="30"/>
      <c r="G131" s="32"/>
      <c r="H131" s="33"/>
      <c r="I131" s="32"/>
      <c r="J131" s="31"/>
      <c r="K131" s="34"/>
      <c r="L131" s="33"/>
      <c r="M131" s="32"/>
      <c r="N131" s="35"/>
      <c r="O131" s="33"/>
      <c r="P131" s="43"/>
      <c r="Q131" s="30"/>
      <c r="R131" s="31"/>
      <c r="S131" s="30"/>
      <c r="T131" s="31"/>
      <c r="V131" s="37"/>
      <c r="W131" s="38"/>
      <c r="X131" s="38"/>
      <c r="Y131" s="39"/>
      <c r="Z131" s="39"/>
      <c r="AA131" s="40"/>
      <c r="AB131" s="30"/>
      <c r="AC131" s="31"/>
    </row>
    <row r="132" spans="2:29" x14ac:dyDescent="0.4">
      <c r="B132" s="30">
        <f t="shared" si="0"/>
        <v>128</v>
      </c>
      <c r="C132" s="30"/>
      <c r="D132" s="30"/>
      <c r="E132" s="30"/>
      <c r="F132" s="30"/>
      <c r="G132" s="32"/>
      <c r="H132" s="33"/>
      <c r="I132" s="32"/>
      <c r="J132" s="31"/>
      <c r="K132" s="34"/>
      <c r="L132" s="33"/>
      <c r="M132" s="32"/>
      <c r="N132" s="33"/>
      <c r="O132" s="33"/>
      <c r="P132" s="43"/>
      <c r="Q132" s="30"/>
      <c r="R132" s="30"/>
      <c r="S132" s="30"/>
      <c r="T132" s="31"/>
      <c r="V132" s="37"/>
      <c r="W132" s="38"/>
      <c r="X132" s="38"/>
      <c r="Y132" s="39"/>
      <c r="Z132" s="39"/>
      <c r="AA132" s="40"/>
      <c r="AB132" s="30"/>
      <c r="AC132" s="31"/>
    </row>
    <row r="133" spans="2:29" x14ac:dyDescent="0.4">
      <c r="B133" s="30">
        <f t="shared" si="0"/>
        <v>129</v>
      </c>
      <c r="C133" s="30"/>
      <c r="D133" s="30"/>
      <c r="E133" s="30"/>
      <c r="F133" s="30"/>
      <c r="G133" s="32"/>
      <c r="H133" s="33"/>
      <c r="I133" s="32"/>
      <c r="J133" s="31"/>
      <c r="K133" s="34"/>
      <c r="L133" s="33"/>
      <c r="M133" s="32"/>
      <c r="N133" s="35"/>
      <c r="O133" s="33"/>
      <c r="P133" s="43"/>
      <c r="Q133" s="30"/>
      <c r="R133" s="31"/>
      <c r="S133" s="30"/>
      <c r="T133" s="31"/>
      <c r="V133" s="37"/>
      <c r="W133" s="38"/>
      <c r="X133" s="38"/>
      <c r="Y133" s="39"/>
      <c r="Z133" s="39"/>
      <c r="AA133" s="40"/>
      <c r="AB133" s="30"/>
      <c r="AC133" s="31"/>
    </row>
    <row r="134" spans="2:29" x14ac:dyDescent="0.4">
      <c r="B134" s="30">
        <f t="shared" si="0"/>
        <v>130</v>
      </c>
      <c r="C134" s="30"/>
      <c r="D134" s="30"/>
      <c r="E134" s="30"/>
      <c r="F134" s="30"/>
      <c r="G134" s="32"/>
      <c r="H134" s="33"/>
      <c r="I134" s="32"/>
      <c r="J134" s="31"/>
      <c r="K134" s="34"/>
      <c r="L134" s="33"/>
      <c r="M134" s="32"/>
      <c r="N134" s="35"/>
      <c r="O134" s="33"/>
      <c r="P134" s="43"/>
      <c r="Q134" s="30"/>
      <c r="R134" s="31"/>
      <c r="S134" s="30"/>
      <c r="T134" s="31"/>
      <c r="V134" s="37"/>
      <c r="W134" s="38"/>
      <c r="X134" s="38"/>
      <c r="Y134" s="39"/>
      <c r="Z134" s="39"/>
      <c r="AA134" s="40"/>
      <c r="AB134" s="30"/>
      <c r="AC134" s="31"/>
    </row>
    <row r="135" spans="2:29" x14ac:dyDescent="0.4">
      <c r="B135" s="30">
        <f t="shared" si="0"/>
        <v>131</v>
      </c>
      <c r="C135" s="30"/>
      <c r="D135" s="30"/>
      <c r="E135" s="30"/>
      <c r="F135" s="30"/>
      <c r="G135" s="32"/>
      <c r="H135" s="33"/>
      <c r="I135" s="32"/>
      <c r="J135" s="31"/>
      <c r="K135" s="34"/>
      <c r="L135" s="33"/>
      <c r="M135" s="32"/>
      <c r="N135" s="35"/>
      <c r="O135" s="33"/>
      <c r="P135" s="43"/>
      <c r="Q135" s="30"/>
      <c r="R135" s="31"/>
      <c r="S135" s="30"/>
      <c r="T135" s="31"/>
      <c r="V135" s="37"/>
      <c r="W135" s="38"/>
      <c r="X135" s="38"/>
      <c r="Y135" s="39"/>
      <c r="Z135" s="39"/>
      <c r="AA135" s="40"/>
      <c r="AB135" s="30"/>
      <c r="AC135" s="31"/>
    </row>
    <row r="136" spans="2:29" x14ac:dyDescent="0.4">
      <c r="B136" s="30">
        <f t="shared" si="0"/>
        <v>132</v>
      </c>
      <c r="C136" s="30"/>
      <c r="D136" s="30"/>
      <c r="E136" s="30"/>
      <c r="F136" s="30"/>
      <c r="G136" s="32"/>
      <c r="H136" s="33"/>
      <c r="I136" s="32"/>
      <c r="J136" s="31"/>
      <c r="K136" s="34"/>
      <c r="L136" s="33"/>
      <c r="M136" s="32"/>
      <c r="N136" s="35"/>
      <c r="O136" s="33"/>
      <c r="P136" s="43"/>
      <c r="Q136" s="30"/>
      <c r="R136" s="31"/>
      <c r="S136" s="30"/>
      <c r="T136" s="31"/>
      <c r="V136" s="37"/>
      <c r="W136" s="38"/>
      <c r="X136" s="38"/>
      <c r="Y136" s="39"/>
      <c r="Z136" s="39"/>
      <c r="AA136" s="40"/>
      <c r="AB136" s="30"/>
      <c r="AC136" s="31"/>
    </row>
    <row r="137" spans="2:29" x14ac:dyDescent="0.4">
      <c r="B137" s="30">
        <f t="shared" si="0"/>
        <v>133</v>
      </c>
      <c r="C137" s="30"/>
      <c r="D137" s="30"/>
      <c r="E137" s="30"/>
      <c r="F137" s="30"/>
      <c r="G137" s="32"/>
      <c r="H137" s="33"/>
      <c r="I137" s="32"/>
      <c r="J137" s="31"/>
      <c r="K137" s="34"/>
      <c r="L137" s="33"/>
      <c r="M137" s="32"/>
      <c r="N137" s="35"/>
      <c r="O137" s="33"/>
      <c r="P137" s="43"/>
      <c r="Q137" s="30"/>
      <c r="R137" s="31"/>
      <c r="S137" s="30"/>
      <c r="T137" s="31"/>
      <c r="V137" s="37"/>
      <c r="W137" s="38"/>
      <c r="X137" s="38"/>
      <c r="Y137" s="39"/>
      <c r="Z137" s="39"/>
      <c r="AA137" s="40"/>
      <c r="AB137" s="30"/>
      <c r="AC137" s="31"/>
    </row>
    <row r="138" spans="2:29" x14ac:dyDescent="0.4">
      <c r="B138" s="30">
        <f t="shared" si="0"/>
        <v>134</v>
      </c>
      <c r="C138" s="30"/>
      <c r="D138" s="30"/>
      <c r="E138" s="30"/>
      <c r="F138" s="30"/>
      <c r="G138" s="32"/>
      <c r="H138" s="33"/>
      <c r="I138" s="32"/>
      <c r="J138" s="31"/>
      <c r="K138" s="34"/>
      <c r="L138" s="33"/>
      <c r="M138" s="32"/>
      <c r="N138" s="33"/>
      <c r="O138" s="33"/>
      <c r="P138" s="43"/>
      <c r="Q138" s="30"/>
      <c r="R138" s="31"/>
      <c r="S138" s="30"/>
      <c r="T138" s="31"/>
      <c r="V138" s="37"/>
      <c r="W138" s="38"/>
      <c r="X138" s="38"/>
      <c r="Y138" s="39"/>
      <c r="Z138" s="39"/>
      <c r="AA138" s="40"/>
      <c r="AB138" s="30"/>
      <c r="AC138" s="31"/>
    </row>
    <row r="139" spans="2:29" x14ac:dyDescent="0.4">
      <c r="B139" s="30">
        <f t="shared" si="0"/>
        <v>135</v>
      </c>
      <c r="C139" s="30"/>
      <c r="D139" s="30"/>
      <c r="E139" s="30"/>
      <c r="F139" s="30"/>
      <c r="G139" s="32"/>
      <c r="H139" s="33"/>
      <c r="I139" s="32"/>
      <c r="J139" s="31"/>
      <c r="K139" s="34"/>
      <c r="L139" s="33"/>
      <c r="M139" s="32"/>
      <c r="N139" s="33"/>
      <c r="O139" s="33"/>
      <c r="P139" s="43"/>
      <c r="Q139" s="30"/>
      <c r="R139" s="31"/>
      <c r="S139" s="30"/>
      <c r="T139" s="31"/>
      <c r="V139" s="37"/>
      <c r="W139" s="38"/>
      <c r="X139" s="38"/>
      <c r="Y139" s="39"/>
      <c r="Z139" s="39"/>
      <c r="AA139" s="40"/>
      <c r="AB139" s="30"/>
      <c r="AC139" s="31"/>
    </row>
    <row r="140" spans="2:29" x14ac:dyDescent="0.4">
      <c r="B140" s="30">
        <f t="shared" si="0"/>
        <v>136</v>
      </c>
      <c r="C140" s="30"/>
      <c r="D140" s="30"/>
      <c r="E140" s="30"/>
      <c r="F140" s="30"/>
      <c r="G140" s="32"/>
      <c r="H140" s="33"/>
      <c r="I140" s="32"/>
      <c r="J140" s="31"/>
      <c r="K140" s="34"/>
      <c r="L140" s="33"/>
      <c r="M140" s="32"/>
      <c r="N140" s="33"/>
      <c r="O140" s="33"/>
      <c r="P140" s="43"/>
      <c r="Q140" s="30"/>
      <c r="R140" s="31"/>
      <c r="S140" s="30"/>
      <c r="T140" s="31"/>
      <c r="V140" s="37"/>
      <c r="W140" s="38"/>
      <c r="X140" s="38"/>
      <c r="Y140" s="39"/>
      <c r="Z140" s="39"/>
      <c r="AA140" s="40"/>
      <c r="AB140" s="30"/>
      <c r="AC140" s="31"/>
    </row>
    <row r="141" spans="2:29" x14ac:dyDescent="0.4">
      <c r="B141" s="30">
        <f t="shared" si="0"/>
        <v>137</v>
      </c>
      <c r="C141" s="30"/>
      <c r="D141" s="30"/>
      <c r="E141" s="30"/>
      <c r="F141" s="30"/>
      <c r="G141" s="32"/>
      <c r="H141" s="33"/>
      <c r="I141" s="32"/>
      <c r="J141" s="31"/>
      <c r="K141" s="34"/>
      <c r="L141" s="33"/>
      <c r="M141" s="32"/>
      <c r="N141" s="33"/>
      <c r="O141" s="33"/>
      <c r="P141" s="43"/>
      <c r="Q141" s="30"/>
      <c r="R141" s="31"/>
      <c r="S141" s="30"/>
      <c r="T141" s="31"/>
      <c r="V141" s="37"/>
      <c r="W141" s="38"/>
      <c r="X141" s="38"/>
      <c r="Y141" s="39"/>
      <c r="Z141" s="39"/>
      <c r="AA141" s="40"/>
      <c r="AB141" s="30"/>
      <c r="AC141" s="31"/>
    </row>
    <row r="142" spans="2:29" x14ac:dyDescent="0.4">
      <c r="B142" s="30">
        <f t="shared" si="0"/>
        <v>138</v>
      </c>
      <c r="C142" s="30"/>
      <c r="D142" s="30"/>
      <c r="E142" s="30"/>
      <c r="F142" s="30"/>
      <c r="G142" s="32"/>
      <c r="H142" s="33"/>
      <c r="I142" s="32"/>
      <c r="J142" s="31"/>
      <c r="K142" s="34"/>
      <c r="L142" s="33"/>
      <c r="M142" s="32"/>
      <c r="N142" s="33"/>
      <c r="O142" s="33"/>
      <c r="P142" s="43"/>
      <c r="Q142" s="30"/>
      <c r="R142" s="31"/>
      <c r="S142" s="30"/>
      <c r="T142" s="31"/>
      <c r="V142" s="37"/>
      <c r="W142" s="38"/>
      <c r="X142" s="38"/>
      <c r="Y142" s="39"/>
      <c r="Z142" s="39"/>
      <c r="AA142" s="41"/>
      <c r="AB142" s="30"/>
      <c r="AC142" s="31"/>
    </row>
    <row r="143" spans="2:29" x14ac:dyDescent="0.4">
      <c r="B143" s="30">
        <f t="shared" si="0"/>
        <v>139</v>
      </c>
      <c r="C143" s="30"/>
      <c r="D143" s="30"/>
      <c r="E143" s="30"/>
      <c r="F143" s="30"/>
      <c r="G143" s="32"/>
      <c r="H143" s="33"/>
      <c r="I143" s="32"/>
      <c r="J143" s="31"/>
      <c r="K143" s="34"/>
      <c r="L143" s="33"/>
      <c r="M143" s="32"/>
      <c r="N143" s="33"/>
      <c r="O143" s="33"/>
      <c r="P143" s="43"/>
      <c r="Q143" s="30"/>
      <c r="R143" s="31"/>
      <c r="S143" s="30"/>
      <c r="T143" s="31"/>
      <c r="V143" s="37"/>
      <c r="W143" s="38"/>
      <c r="X143" s="38"/>
      <c r="Y143" s="39"/>
      <c r="Z143" s="39"/>
      <c r="AA143" s="40"/>
      <c r="AB143" s="30"/>
      <c r="AC143" s="31"/>
    </row>
    <row r="144" spans="2:29" x14ac:dyDescent="0.4">
      <c r="B144" s="30">
        <f t="shared" si="0"/>
        <v>140</v>
      </c>
      <c r="C144" s="30"/>
      <c r="D144" s="30"/>
      <c r="E144" s="30"/>
      <c r="F144" s="30"/>
      <c r="G144" s="32"/>
      <c r="H144" s="33"/>
      <c r="I144" s="32"/>
      <c r="J144" s="31"/>
      <c r="K144" s="34"/>
      <c r="L144" s="33"/>
      <c r="M144" s="32"/>
      <c r="N144" s="33"/>
      <c r="O144" s="33"/>
      <c r="P144" s="43"/>
      <c r="Q144" s="30"/>
      <c r="R144" s="30"/>
      <c r="S144" s="30"/>
      <c r="T144" s="31"/>
      <c r="V144" s="37"/>
      <c r="W144" s="38"/>
      <c r="X144" s="38"/>
      <c r="Y144" s="39"/>
      <c r="Z144" s="39"/>
      <c r="AA144" s="40"/>
      <c r="AB144" s="30"/>
      <c r="AC144" s="31"/>
    </row>
    <row r="145" spans="2:29" x14ac:dyDescent="0.4">
      <c r="B145" s="30">
        <f t="shared" si="0"/>
        <v>141</v>
      </c>
      <c r="C145" s="30"/>
      <c r="D145" s="30"/>
      <c r="E145" s="30"/>
      <c r="F145" s="30"/>
      <c r="G145" s="32"/>
      <c r="H145" s="33"/>
      <c r="I145" s="32"/>
      <c r="J145" s="31"/>
      <c r="K145" s="34"/>
      <c r="L145" s="33"/>
      <c r="M145" s="32"/>
      <c r="N145" s="35"/>
      <c r="O145" s="33"/>
      <c r="P145" s="43"/>
      <c r="Q145" s="30"/>
      <c r="R145" s="31"/>
      <c r="S145" s="30"/>
      <c r="T145" s="31"/>
      <c r="V145" s="37"/>
      <c r="W145" s="38"/>
      <c r="X145" s="38"/>
      <c r="Y145" s="39"/>
      <c r="Z145" s="39"/>
      <c r="AA145" s="40"/>
      <c r="AB145" s="30"/>
      <c r="AC145" s="31"/>
    </row>
    <row r="146" spans="2:29" x14ac:dyDescent="0.4">
      <c r="B146" s="30">
        <f t="shared" si="0"/>
        <v>142</v>
      </c>
      <c r="C146" s="30"/>
      <c r="D146" s="30"/>
      <c r="E146" s="30"/>
      <c r="F146" s="30"/>
      <c r="G146" s="32"/>
      <c r="H146" s="33"/>
      <c r="I146" s="32"/>
      <c r="J146" s="31"/>
      <c r="K146" s="34"/>
      <c r="L146" s="33"/>
      <c r="M146" s="32"/>
      <c r="N146" s="35"/>
      <c r="O146" s="33"/>
      <c r="P146" s="43"/>
      <c r="Q146" s="30"/>
      <c r="R146" s="31"/>
      <c r="S146" s="30"/>
      <c r="T146" s="31"/>
      <c r="V146" s="37"/>
      <c r="W146" s="38"/>
      <c r="X146" s="38"/>
      <c r="Y146" s="39"/>
      <c r="Z146" s="39"/>
      <c r="AA146" s="40"/>
      <c r="AB146" s="30"/>
      <c r="AC146" s="31"/>
    </row>
    <row r="147" spans="2:29" x14ac:dyDescent="0.4">
      <c r="B147" s="30">
        <f t="shared" si="0"/>
        <v>143</v>
      </c>
      <c r="C147" s="30"/>
      <c r="D147" s="30"/>
      <c r="E147" s="30"/>
      <c r="F147" s="30"/>
      <c r="G147" s="32"/>
      <c r="H147" s="33"/>
      <c r="I147" s="32"/>
      <c r="J147" s="31"/>
      <c r="K147" s="34"/>
      <c r="L147" s="33"/>
      <c r="M147" s="32"/>
      <c r="N147" s="35"/>
      <c r="O147" s="33"/>
      <c r="P147" s="43"/>
      <c r="Q147" s="30"/>
      <c r="R147" s="31"/>
      <c r="S147" s="30"/>
      <c r="T147" s="31"/>
      <c r="V147" s="37"/>
      <c r="W147" s="38"/>
      <c r="X147" s="38"/>
      <c r="Y147" s="39"/>
      <c r="Z147" s="39"/>
      <c r="AA147" s="40"/>
      <c r="AB147" s="30"/>
      <c r="AC147" s="31"/>
    </row>
    <row r="148" spans="2:29" x14ac:dyDescent="0.4">
      <c r="B148" s="30">
        <f t="shared" si="0"/>
        <v>144</v>
      </c>
      <c r="C148" s="30"/>
      <c r="D148" s="30"/>
      <c r="E148" s="30"/>
      <c r="F148" s="30"/>
      <c r="G148" s="32"/>
      <c r="H148" s="33"/>
      <c r="I148" s="32"/>
      <c r="J148" s="31"/>
      <c r="K148" s="34"/>
      <c r="L148" s="33"/>
      <c r="M148" s="32"/>
      <c r="N148" s="35"/>
      <c r="O148" s="33"/>
      <c r="P148" s="43"/>
      <c r="Q148" s="30"/>
      <c r="R148" s="31"/>
      <c r="S148" s="30"/>
      <c r="T148" s="31"/>
      <c r="V148" s="37"/>
      <c r="W148" s="38"/>
      <c r="X148" s="38"/>
      <c r="Y148" s="39"/>
      <c r="Z148" s="39"/>
      <c r="AA148" s="40"/>
      <c r="AB148" s="30"/>
      <c r="AC148" s="31"/>
    </row>
    <row r="149" spans="2:29" x14ac:dyDescent="0.4">
      <c r="B149" s="30">
        <f t="shared" si="0"/>
        <v>145</v>
      </c>
      <c r="C149" s="30"/>
      <c r="D149" s="30"/>
      <c r="E149" s="30"/>
      <c r="F149" s="30"/>
      <c r="G149" s="32"/>
      <c r="H149" s="33"/>
      <c r="I149" s="32"/>
      <c r="J149" s="31"/>
      <c r="K149" s="34"/>
      <c r="L149" s="33"/>
      <c r="M149" s="32"/>
      <c r="N149" s="35"/>
      <c r="O149" s="33"/>
      <c r="P149" s="43"/>
      <c r="Q149" s="30"/>
      <c r="R149" s="31"/>
      <c r="S149" s="30"/>
      <c r="T149" s="31"/>
      <c r="V149" s="37"/>
      <c r="W149" s="38"/>
      <c r="X149" s="38"/>
      <c r="Y149" s="39"/>
      <c r="Z149" s="39"/>
      <c r="AA149" s="40"/>
      <c r="AB149" s="30"/>
      <c r="AC149" s="31"/>
    </row>
    <row r="150" spans="2:29" x14ac:dyDescent="0.4">
      <c r="B150" s="30">
        <f t="shared" si="0"/>
        <v>146</v>
      </c>
      <c r="C150" s="30"/>
      <c r="D150" s="30"/>
      <c r="E150" s="30"/>
      <c r="F150" s="30"/>
      <c r="G150" s="32"/>
      <c r="H150" s="33"/>
      <c r="I150" s="32"/>
      <c r="J150" s="31"/>
      <c r="K150" s="34"/>
      <c r="L150" s="33"/>
      <c r="M150" s="32"/>
      <c r="N150" s="35"/>
      <c r="O150" s="33"/>
      <c r="P150" s="43"/>
      <c r="Q150" s="30"/>
      <c r="R150" s="31"/>
      <c r="S150" s="30"/>
      <c r="T150" s="31"/>
      <c r="V150" s="37"/>
      <c r="W150" s="38"/>
      <c r="X150" s="38"/>
      <c r="Y150" s="39"/>
      <c r="Z150" s="39"/>
      <c r="AA150" s="40"/>
      <c r="AB150" s="30"/>
      <c r="AC150" s="31"/>
    </row>
    <row r="151" spans="2:29" x14ac:dyDescent="0.4">
      <c r="B151" s="30">
        <f t="shared" si="0"/>
        <v>147</v>
      </c>
      <c r="C151" s="30"/>
      <c r="D151" s="30"/>
      <c r="E151" s="30"/>
      <c r="F151" s="30"/>
      <c r="G151" s="32"/>
      <c r="H151" s="33"/>
      <c r="I151" s="32"/>
      <c r="J151" s="31"/>
      <c r="K151" s="34"/>
      <c r="L151" s="33"/>
      <c r="M151" s="32"/>
      <c r="N151" s="35"/>
      <c r="O151" s="33"/>
      <c r="P151" s="43"/>
      <c r="Q151" s="30"/>
      <c r="R151" s="31"/>
      <c r="S151" s="30"/>
      <c r="T151" s="31"/>
      <c r="V151" s="37"/>
      <c r="W151" s="38"/>
      <c r="X151" s="38"/>
      <c r="Y151" s="39"/>
      <c r="Z151" s="39"/>
      <c r="AA151" s="40"/>
      <c r="AB151" s="30"/>
      <c r="AC151" s="31"/>
    </row>
    <row r="152" spans="2:29" x14ac:dyDescent="0.4">
      <c r="B152" s="30">
        <f t="shared" si="0"/>
        <v>148</v>
      </c>
      <c r="C152" s="30"/>
      <c r="D152" s="30"/>
      <c r="E152" s="30"/>
      <c r="F152" s="30"/>
      <c r="G152" s="32"/>
      <c r="H152" s="33"/>
      <c r="I152" s="32"/>
      <c r="J152" s="31"/>
      <c r="K152" s="34"/>
      <c r="L152" s="33"/>
      <c r="M152" s="32"/>
      <c r="N152" s="35"/>
      <c r="O152" s="33"/>
      <c r="P152" s="43"/>
      <c r="Q152" s="30"/>
      <c r="R152" s="31"/>
      <c r="S152" s="30"/>
      <c r="T152" s="31"/>
      <c r="V152" s="37"/>
      <c r="W152" s="38"/>
      <c r="X152" s="38"/>
      <c r="Y152" s="39"/>
      <c r="Z152" s="39"/>
      <c r="AA152" s="40"/>
      <c r="AB152" s="30"/>
      <c r="AC152" s="31"/>
    </row>
    <row r="153" spans="2:29" x14ac:dyDescent="0.4">
      <c r="B153" s="30">
        <f t="shared" si="0"/>
        <v>149</v>
      </c>
      <c r="C153" s="30"/>
      <c r="D153" s="30"/>
      <c r="E153" s="30"/>
      <c r="F153" s="30"/>
      <c r="G153" s="32"/>
      <c r="H153" s="33"/>
      <c r="I153" s="32"/>
      <c r="J153" s="31"/>
      <c r="K153" s="34"/>
      <c r="L153" s="33"/>
      <c r="M153" s="32"/>
      <c r="N153" s="35"/>
      <c r="O153" s="33"/>
      <c r="P153" s="43"/>
      <c r="Q153" s="30"/>
      <c r="R153" s="31"/>
      <c r="S153" s="30"/>
      <c r="T153" s="31"/>
      <c r="V153" s="37"/>
      <c r="W153" s="38"/>
      <c r="X153" s="38"/>
      <c r="Y153" s="39"/>
      <c r="Z153" s="39"/>
      <c r="AA153" s="40"/>
      <c r="AB153" s="30"/>
      <c r="AC153" s="31"/>
    </row>
    <row r="154" spans="2:29" x14ac:dyDescent="0.4">
      <c r="B154" s="30">
        <f t="shared" si="0"/>
        <v>150</v>
      </c>
      <c r="C154" s="30"/>
      <c r="D154" s="30"/>
      <c r="E154" s="30"/>
      <c r="F154" s="30"/>
      <c r="G154" s="32"/>
      <c r="H154" s="33"/>
      <c r="I154" s="32"/>
      <c r="J154" s="31"/>
      <c r="K154" s="34"/>
      <c r="L154" s="33"/>
      <c r="M154" s="32"/>
      <c r="N154" s="35"/>
      <c r="O154" s="33"/>
      <c r="P154" s="43"/>
      <c r="Q154" s="30"/>
      <c r="R154" s="30"/>
      <c r="S154" s="30"/>
      <c r="T154" s="31"/>
      <c r="V154" s="37"/>
      <c r="W154" s="38"/>
      <c r="X154" s="38"/>
      <c r="Y154" s="39"/>
      <c r="Z154" s="39"/>
      <c r="AA154" s="40"/>
      <c r="AB154" s="30"/>
      <c r="AC154" s="31"/>
    </row>
    <row r="155" spans="2:29" x14ac:dyDescent="0.4">
      <c r="B155" s="30">
        <f t="shared" si="0"/>
        <v>151</v>
      </c>
      <c r="C155" s="30"/>
      <c r="D155" s="30"/>
      <c r="E155" s="30"/>
      <c r="F155" s="30"/>
      <c r="G155" s="32"/>
      <c r="H155" s="33"/>
      <c r="I155" s="32"/>
      <c r="J155" s="31"/>
      <c r="K155" s="34"/>
      <c r="L155" s="33"/>
      <c r="M155" s="32"/>
      <c r="N155" s="35"/>
      <c r="O155" s="33"/>
      <c r="P155" s="43"/>
      <c r="Q155" s="30"/>
      <c r="R155" s="30"/>
      <c r="S155" s="30"/>
      <c r="T155" s="31"/>
      <c r="V155" s="37"/>
      <c r="W155" s="38"/>
      <c r="X155" s="38"/>
      <c r="Y155" s="39"/>
      <c r="Z155" s="39"/>
      <c r="AA155" s="40"/>
      <c r="AB155" s="30"/>
      <c r="AC155" s="31"/>
    </row>
    <row r="156" spans="2:29" x14ac:dyDescent="0.4">
      <c r="B156" s="30">
        <f t="shared" si="0"/>
        <v>152</v>
      </c>
      <c r="C156" s="30"/>
      <c r="D156" s="30"/>
      <c r="E156" s="30"/>
      <c r="F156" s="30"/>
      <c r="G156" s="32"/>
      <c r="H156" s="33"/>
      <c r="I156" s="32"/>
      <c r="J156" s="31"/>
      <c r="K156" s="34"/>
      <c r="L156" s="33"/>
      <c r="M156" s="32"/>
      <c r="N156" s="35"/>
      <c r="O156" s="33"/>
      <c r="P156" s="43"/>
      <c r="Q156" s="30"/>
      <c r="R156" s="31"/>
      <c r="S156" s="30"/>
      <c r="T156" s="31"/>
      <c r="V156" s="37"/>
      <c r="W156" s="38"/>
      <c r="X156" s="38"/>
      <c r="Y156" s="39"/>
      <c r="Z156" s="39"/>
      <c r="AA156" s="40"/>
      <c r="AB156" s="30"/>
      <c r="AC156" s="31"/>
    </row>
    <row r="157" spans="2:29" x14ac:dyDescent="0.4">
      <c r="B157" s="30">
        <f t="shared" si="0"/>
        <v>153</v>
      </c>
      <c r="C157" s="30"/>
      <c r="D157" s="30"/>
      <c r="E157" s="30"/>
      <c r="F157" s="30"/>
      <c r="G157" s="32"/>
      <c r="H157" s="33"/>
      <c r="I157" s="32"/>
      <c r="J157" s="31"/>
      <c r="K157" s="34"/>
      <c r="L157" s="33"/>
      <c r="M157" s="32"/>
      <c r="N157" s="35"/>
      <c r="O157" s="33"/>
      <c r="P157" s="43"/>
      <c r="Q157" s="30"/>
      <c r="R157" s="30"/>
      <c r="S157" s="30"/>
      <c r="T157" s="31"/>
      <c r="V157" s="37"/>
      <c r="W157" s="38"/>
      <c r="X157" s="38"/>
      <c r="Y157" s="39"/>
      <c r="Z157" s="39"/>
      <c r="AA157" s="40"/>
      <c r="AB157" s="30"/>
      <c r="AC157" s="31"/>
    </row>
    <row r="158" spans="2:29" x14ac:dyDescent="0.4">
      <c r="B158" s="30">
        <f t="shared" si="0"/>
        <v>154</v>
      </c>
      <c r="C158" s="30"/>
      <c r="D158" s="30"/>
      <c r="E158" s="30"/>
      <c r="F158" s="30"/>
      <c r="G158" s="32"/>
      <c r="H158" s="33"/>
      <c r="I158" s="32"/>
      <c r="J158" s="31"/>
      <c r="K158" s="34"/>
      <c r="L158" s="33"/>
      <c r="M158" s="32"/>
      <c r="N158" s="35"/>
      <c r="O158" s="33"/>
      <c r="P158" s="43"/>
      <c r="Q158" s="30"/>
      <c r="R158" s="30"/>
      <c r="S158" s="30"/>
      <c r="T158" s="31"/>
      <c r="V158" s="37"/>
      <c r="W158" s="38"/>
      <c r="X158" s="38"/>
      <c r="Y158" s="39"/>
      <c r="Z158" s="39"/>
      <c r="AA158" s="40"/>
      <c r="AB158" s="30"/>
      <c r="AC158" s="31"/>
    </row>
    <row r="159" spans="2:29" x14ac:dyDescent="0.4">
      <c r="B159" s="30">
        <f t="shared" si="0"/>
        <v>155</v>
      </c>
      <c r="C159" s="30"/>
      <c r="D159" s="30"/>
      <c r="E159" s="30"/>
      <c r="F159" s="30"/>
      <c r="G159" s="32"/>
      <c r="H159" s="33"/>
      <c r="I159" s="32"/>
      <c r="J159" s="31"/>
      <c r="K159" s="34"/>
      <c r="L159" s="33"/>
      <c r="M159" s="32"/>
      <c r="N159" s="35"/>
      <c r="O159" s="33"/>
      <c r="P159" s="43"/>
      <c r="Q159" s="30"/>
      <c r="R159" s="31"/>
      <c r="S159" s="30"/>
      <c r="T159" s="31"/>
      <c r="V159" s="37"/>
      <c r="W159" s="38"/>
      <c r="X159" s="38"/>
      <c r="Y159" s="39"/>
      <c r="Z159" s="39"/>
      <c r="AA159" s="40"/>
      <c r="AB159" s="30"/>
      <c r="AC159" s="31"/>
    </row>
    <row r="160" spans="2:29" x14ac:dyDescent="0.4">
      <c r="B160" s="30">
        <f t="shared" si="0"/>
        <v>156</v>
      </c>
      <c r="C160" s="30"/>
      <c r="D160" s="30"/>
      <c r="E160" s="30"/>
      <c r="F160" s="30"/>
      <c r="G160" s="32"/>
      <c r="H160" s="33"/>
      <c r="I160" s="32"/>
      <c r="J160" s="31"/>
      <c r="K160" s="31"/>
      <c r="L160" s="33"/>
      <c r="M160" s="32"/>
      <c r="N160" s="35"/>
      <c r="O160" s="33"/>
      <c r="P160" s="43"/>
      <c r="Q160" s="30"/>
      <c r="R160" s="31"/>
      <c r="S160" s="30"/>
      <c r="T160" s="31"/>
      <c r="V160" s="37"/>
      <c r="W160" s="38"/>
      <c r="X160" s="38"/>
      <c r="Y160" s="39"/>
      <c r="Z160" s="39"/>
      <c r="AA160" s="40"/>
      <c r="AB160" s="30"/>
      <c r="AC160" s="31"/>
    </row>
    <row r="161" spans="1:29" x14ac:dyDescent="0.4">
      <c r="B161" s="30">
        <f t="shared" si="0"/>
        <v>157</v>
      </c>
      <c r="C161" s="30"/>
      <c r="D161" s="30"/>
      <c r="E161" s="30"/>
      <c r="F161" s="30"/>
      <c r="G161" s="32"/>
      <c r="H161" s="33"/>
      <c r="I161" s="32"/>
      <c r="J161" s="31"/>
      <c r="K161" s="34"/>
      <c r="L161" s="33"/>
      <c r="M161" s="32"/>
      <c r="N161" s="35"/>
      <c r="O161" s="33"/>
      <c r="P161" s="43"/>
      <c r="Q161" s="30"/>
      <c r="R161" s="31"/>
      <c r="S161" s="30"/>
      <c r="T161" s="31"/>
      <c r="V161" s="37"/>
      <c r="W161" s="38"/>
      <c r="X161" s="38"/>
      <c r="Y161" s="39"/>
      <c r="Z161" s="39"/>
      <c r="AA161" s="40"/>
      <c r="AB161" s="30"/>
      <c r="AC161" s="31"/>
    </row>
    <row r="162" spans="1:29" x14ac:dyDescent="0.4">
      <c r="B162" s="30">
        <f t="shared" si="0"/>
        <v>158</v>
      </c>
      <c r="C162" s="30"/>
      <c r="D162" s="30"/>
      <c r="E162" s="30"/>
      <c r="F162" s="30"/>
      <c r="G162" s="32"/>
      <c r="H162" s="33"/>
      <c r="I162" s="32"/>
      <c r="J162" s="31"/>
      <c r="K162" s="34"/>
      <c r="L162" s="33"/>
      <c r="M162" s="32"/>
      <c r="N162" s="35"/>
      <c r="O162" s="33"/>
      <c r="P162" s="43"/>
      <c r="Q162" s="30"/>
      <c r="R162" s="31"/>
      <c r="S162" s="30"/>
      <c r="T162" s="31"/>
      <c r="V162" s="37"/>
      <c r="W162" s="38"/>
      <c r="X162" s="38"/>
      <c r="Y162" s="39"/>
      <c r="Z162" s="39"/>
      <c r="AA162" s="40"/>
      <c r="AB162" s="30"/>
      <c r="AC162" s="31"/>
    </row>
    <row r="163" spans="1:29" x14ac:dyDescent="0.4">
      <c r="B163" s="30">
        <f t="shared" si="0"/>
        <v>159</v>
      </c>
      <c r="C163" s="30"/>
      <c r="D163" s="30"/>
      <c r="E163" s="30"/>
      <c r="F163" s="30"/>
      <c r="G163" s="32"/>
      <c r="H163" s="33"/>
      <c r="I163" s="32"/>
      <c r="J163" s="31"/>
      <c r="K163" s="34"/>
      <c r="L163" s="33"/>
      <c r="M163" s="32"/>
      <c r="N163" s="35"/>
      <c r="O163" s="33"/>
      <c r="P163" s="43"/>
      <c r="Q163" s="30"/>
      <c r="R163" s="31"/>
      <c r="S163" s="30"/>
      <c r="T163" s="31"/>
      <c r="V163" s="37"/>
      <c r="W163" s="38"/>
      <c r="X163" s="38"/>
      <c r="Y163" s="39"/>
      <c r="Z163" s="39"/>
      <c r="AA163" s="40"/>
      <c r="AB163" s="30"/>
      <c r="AC163" s="31"/>
    </row>
    <row r="164" spans="1:29" x14ac:dyDescent="0.4">
      <c r="B164" s="30">
        <f t="shared" si="0"/>
        <v>160</v>
      </c>
      <c r="C164" s="30"/>
      <c r="D164" s="30"/>
      <c r="E164" s="30"/>
      <c r="F164" s="30"/>
      <c r="G164" s="32"/>
      <c r="H164" s="33"/>
      <c r="I164" s="32"/>
      <c r="J164" s="31"/>
      <c r="K164" s="34"/>
      <c r="L164" s="33"/>
      <c r="M164" s="32"/>
      <c r="N164" s="35"/>
      <c r="O164" s="33"/>
      <c r="P164" s="43"/>
      <c r="Q164" s="30"/>
      <c r="R164" s="31"/>
      <c r="S164" s="31"/>
      <c r="T164" s="31"/>
      <c r="V164" s="37"/>
      <c r="W164" s="38"/>
      <c r="X164" s="38"/>
      <c r="Y164" s="39"/>
      <c r="Z164" s="39"/>
      <c r="AA164" s="40"/>
      <c r="AB164" s="30"/>
      <c r="AC164" s="31"/>
    </row>
    <row r="165" spans="1:29" x14ac:dyDescent="0.4">
      <c r="B165" s="30">
        <f t="shared" si="0"/>
        <v>161</v>
      </c>
      <c r="C165" s="30"/>
      <c r="D165" s="30"/>
      <c r="E165" s="30"/>
      <c r="F165" s="30"/>
      <c r="G165" s="32"/>
      <c r="H165" s="33"/>
      <c r="I165" s="32"/>
      <c r="J165" s="31"/>
      <c r="K165" s="34"/>
      <c r="L165" s="33"/>
      <c r="M165" s="32"/>
      <c r="N165" s="33"/>
      <c r="O165" s="33"/>
      <c r="P165" s="43"/>
      <c r="Q165" s="30"/>
      <c r="R165" s="31"/>
      <c r="S165" s="30"/>
      <c r="T165" s="31"/>
      <c r="V165" s="37"/>
      <c r="W165" s="38"/>
      <c r="X165" s="38"/>
      <c r="Y165" s="39"/>
      <c r="Z165" s="39"/>
      <c r="AA165" s="40"/>
      <c r="AB165" s="30"/>
      <c r="AC165" s="31"/>
    </row>
    <row r="166" spans="1:29" x14ac:dyDescent="0.4">
      <c r="B166" s="30">
        <f t="shared" si="0"/>
        <v>162</v>
      </c>
      <c r="C166" s="30"/>
      <c r="D166" s="30"/>
      <c r="E166" s="30"/>
      <c r="F166" s="30"/>
      <c r="G166" s="32"/>
      <c r="H166" s="33"/>
      <c r="I166" s="32"/>
      <c r="J166" s="31"/>
      <c r="K166" s="34"/>
      <c r="L166" s="33"/>
      <c r="M166" s="32"/>
      <c r="N166" s="35"/>
      <c r="O166" s="33"/>
      <c r="P166" s="43"/>
      <c r="Q166" s="30"/>
      <c r="R166" s="31"/>
      <c r="S166" s="30"/>
      <c r="T166" s="31"/>
      <c r="V166" s="37"/>
      <c r="W166" s="38"/>
      <c r="X166" s="38"/>
      <c r="Y166" s="39"/>
      <c r="Z166" s="39"/>
      <c r="AA166" s="40"/>
      <c r="AB166" s="30"/>
      <c r="AC166" s="31"/>
    </row>
    <row r="167" spans="1:29" x14ac:dyDescent="0.4">
      <c r="B167" s="30">
        <f t="shared" si="0"/>
        <v>163</v>
      </c>
      <c r="C167" s="30"/>
      <c r="D167" s="30"/>
      <c r="E167" s="30"/>
      <c r="F167" s="30"/>
      <c r="G167" s="32"/>
      <c r="H167" s="33"/>
      <c r="I167" s="32"/>
      <c r="J167" s="31"/>
      <c r="K167" s="34"/>
      <c r="L167" s="33"/>
      <c r="M167" s="32"/>
      <c r="N167" s="35"/>
      <c r="O167" s="33"/>
      <c r="P167" s="43"/>
      <c r="Q167" s="30"/>
      <c r="R167" s="31"/>
      <c r="S167" s="30"/>
      <c r="T167" s="31"/>
      <c r="V167" s="37"/>
      <c r="W167" s="38"/>
      <c r="X167" s="38"/>
      <c r="Y167" s="39"/>
      <c r="Z167" s="39"/>
      <c r="AA167" s="40"/>
      <c r="AB167" s="30"/>
      <c r="AC167" s="31"/>
    </row>
    <row r="168" spans="1:29" x14ac:dyDescent="0.4">
      <c r="B168" s="30">
        <f t="shared" si="0"/>
        <v>164</v>
      </c>
      <c r="C168" s="30"/>
      <c r="D168" s="30"/>
      <c r="E168" s="30"/>
      <c r="F168" s="30"/>
      <c r="G168" s="32"/>
      <c r="H168" s="33"/>
      <c r="I168" s="32"/>
      <c r="J168" s="31"/>
      <c r="K168" s="34"/>
      <c r="L168" s="33"/>
      <c r="M168" s="32"/>
      <c r="N168" s="35"/>
      <c r="O168" s="33"/>
      <c r="P168" s="43"/>
      <c r="Q168" s="30"/>
      <c r="R168" s="31"/>
      <c r="S168" s="30"/>
      <c r="T168" s="31"/>
      <c r="V168" s="37"/>
      <c r="W168" s="38"/>
      <c r="X168" s="38"/>
      <c r="Y168" s="39"/>
      <c r="Z168" s="39"/>
      <c r="AA168" s="40"/>
      <c r="AB168" s="30"/>
      <c r="AC168" s="31"/>
    </row>
    <row r="169" spans="1:29" x14ac:dyDescent="0.4">
      <c r="B169" s="30">
        <f t="shared" si="0"/>
        <v>165</v>
      </c>
      <c r="C169" s="30"/>
      <c r="D169" s="30"/>
      <c r="E169" s="30"/>
      <c r="F169" s="30"/>
      <c r="G169" s="32"/>
      <c r="H169" s="33"/>
      <c r="I169" s="32"/>
      <c r="J169" s="31"/>
      <c r="K169" s="34"/>
      <c r="L169" s="33"/>
      <c r="M169" s="32"/>
      <c r="N169" s="35"/>
      <c r="O169" s="33"/>
      <c r="P169" s="43"/>
      <c r="Q169" s="30"/>
      <c r="R169" s="31"/>
      <c r="S169" s="30"/>
      <c r="T169" s="31"/>
      <c r="V169" s="37"/>
      <c r="W169" s="38"/>
      <c r="X169" s="38"/>
      <c r="Y169" s="39"/>
      <c r="Z169" s="39"/>
      <c r="AA169" s="40"/>
      <c r="AB169" s="30"/>
      <c r="AC169" s="31"/>
    </row>
    <row r="170" spans="1:29" x14ac:dyDescent="0.4">
      <c r="B170" s="30">
        <f t="shared" si="0"/>
        <v>166</v>
      </c>
      <c r="C170" s="30"/>
      <c r="D170" s="30"/>
      <c r="E170" s="30"/>
      <c r="F170" s="30"/>
      <c r="G170" s="32"/>
      <c r="H170" s="33"/>
      <c r="I170" s="32"/>
      <c r="J170" s="31"/>
      <c r="K170" s="34"/>
      <c r="L170" s="33"/>
      <c r="M170" s="32"/>
      <c r="N170" s="35"/>
      <c r="O170" s="33"/>
      <c r="P170" s="43"/>
      <c r="Q170" s="30"/>
      <c r="R170" s="31"/>
      <c r="S170" s="30"/>
      <c r="T170" s="31"/>
      <c r="V170" s="37"/>
      <c r="W170" s="38"/>
      <c r="X170" s="38"/>
      <c r="Y170" s="39"/>
      <c r="Z170" s="39"/>
      <c r="AA170" s="40"/>
      <c r="AB170" s="30"/>
      <c r="AC170" s="31"/>
    </row>
    <row r="171" spans="1:29" x14ac:dyDescent="0.4">
      <c r="A171" s="11"/>
      <c r="B171" s="30">
        <f t="shared" si="0"/>
        <v>167</v>
      </c>
      <c r="C171" s="30"/>
      <c r="D171" s="30"/>
      <c r="E171" s="30"/>
      <c r="F171" s="30"/>
      <c r="G171" s="32"/>
      <c r="H171" s="33"/>
      <c r="I171" s="32"/>
      <c r="J171" s="31"/>
      <c r="K171" s="34"/>
      <c r="L171" s="33"/>
      <c r="M171" s="32"/>
      <c r="N171" s="35"/>
      <c r="O171" s="33"/>
      <c r="P171" s="43"/>
      <c r="Q171" s="30"/>
      <c r="R171" s="30"/>
      <c r="S171" s="30"/>
      <c r="T171" s="31"/>
      <c r="V171" s="37"/>
      <c r="W171" s="38"/>
      <c r="X171" s="38"/>
      <c r="Y171" s="39"/>
      <c r="Z171" s="39"/>
      <c r="AA171" s="40"/>
      <c r="AB171" s="30"/>
      <c r="AC171" s="31"/>
    </row>
    <row r="172" spans="1:29" x14ac:dyDescent="0.4">
      <c r="A172" s="11"/>
      <c r="B172" s="30">
        <f t="shared" si="0"/>
        <v>168</v>
      </c>
      <c r="C172" s="30"/>
      <c r="D172" s="30"/>
      <c r="E172" s="30"/>
      <c r="F172" s="30"/>
      <c r="G172" s="32"/>
      <c r="H172" s="33"/>
      <c r="I172" s="32"/>
      <c r="J172" s="31"/>
      <c r="K172" s="34"/>
      <c r="L172" s="33"/>
      <c r="M172" s="32"/>
      <c r="N172" s="35"/>
      <c r="O172" s="33"/>
      <c r="P172" s="43"/>
      <c r="Q172" s="30"/>
      <c r="R172" s="31"/>
      <c r="S172" s="30"/>
      <c r="T172" s="31"/>
      <c r="V172" s="37"/>
      <c r="W172" s="38"/>
      <c r="X172" s="38"/>
      <c r="Y172" s="39"/>
      <c r="Z172" s="39"/>
      <c r="AA172" s="40"/>
      <c r="AB172" s="30"/>
      <c r="AC172" s="31"/>
    </row>
    <row r="173" spans="1:29" x14ac:dyDescent="0.4">
      <c r="A173" s="11"/>
      <c r="B173" s="30">
        <f t="shared" si="0"/>
        <v>169</v>
      </c>
      <c r="C173" s="30"/>
      <c r="D173" s="30"/>
      <c r="E173" s="30"/>
      <c r="F173" s="30"/>
      <c r="G173" s="32"/>
      <c r="H173" s="33"/>
      <c r="I173" s="32"/>
      <c r="J173" s="31"/>
      <c r="K173" s="34"/>
      <c r="L173" s="33"/>
      <c r="M173" s="32"/>
      <c r="N173" s="35"/>
      <c r="O173" s="33"/>
      <c r="P173" s="43"/>
      <c r="Q173" s="30"/>
      <c r="R173" s="31"/>
      <c r="S173" s="30"/>
      <c r="T173" s="31"/>
      <c r="V173" s="37"/>
      <c r="W173" s="38"/>
      <c r="X173" s="38"/>
      <c r="Y173" s="39"/>
      <c r="Z173" s="39"/>
      <c r="AA173" s="40"/>
      <c r="AB173" s="30"/>
      <c r="AC173" s="31"/>
    </row>
    <row r="174" spans="1:29" x14ac:dyDescent="0.4">
      <c r="A174" s="11"/>
      <c r="B174" s="30">
        <f t="shared" si="0"/>
        <v>170</v>
      </c>
      <c r="C174" s="30"/>
      <c r="D174" s="30"/>
      <c r="E174" s="30"/>
      <c r="F174" s="30"/>
      <c r="G174" s="32"/>
      <c r="H174" s="33"/>
      <c r="I174" s="32"/>
      <c r="J174" s="31"/>
      <c r="K174" s="34"/>
      <c r="L174" s="33"/>
      <c r="M174" s="32"/>
      <c r="N174" s="35"/>
      <c r="O174" s="33"/>
      <c r="P174" s="43"/>
      <c r="Q174" s="30"/>
      <c r="R174" s="30"/>
      <c r="S174" s="30"/>
      <c r="T174" s="31"/>
      <c r="V174" s="37"/>
      <c r="W174" s="38"/>
      <c r="X174" s="38"/>
      <c r="Y174" s="39"/>
      <c r="Z174" s="39"/>
      <c r="AA174" s="40"/>
      <c r="AB174" s="30"/>
      <c r="AC174" s="31"/>
    </row>
    <row r="175" spans="1:29" x14ac:dyDescent="0.4">
      <c r="A175" s="11"/>
      <c r="B175" s="30">
        <f t="shared" si="0"/>
        <v>171</v>
      </c>
      <c r="C175" s="30"/>
      <c r="D175" s="30"/>
      <c r="E175" s="30"/>
      <c r="F175" s="30"/>
      <c r="G175" s="32"/>
      <c r="H175" s="33"/>
      <c r="I175" s="32"/>
      <c r="J175" s="31"/>
      <c r="K175" s="34"/>
      <c r="L175" s="33"/>
      <c r="M175" s="32"/>
      <c r="N175" s="35"/>
      <c r="O175" s="33"/>
      <c r="P175" s="43"/>
      <c r="Q175" s="30"/>
      <c r="R175" s="30"/>
      <c r="S175" s="30"/>
      <c r="T175" s="31"/>
      <c r="V175" s="37"/>
      <c r="W175" s="38"/>
      <c r="X175" s="38"/>
      <c r="Y175" s="39"/>
      <c r="Z175" s="39"/>
      <c r="AA175" s="40"/>
      <c r="AB175" s="30"/>
      <c r="AC175" s="31"/>
    </row>
    <row r="176" spans="1:29" x14ac:dyDescent="0.4">
      <c r="A176" s="11"/>
      <c r="B176" s="30">
        <f t="shared" si="0"/>
        <v>172</v>
      </c>
      <c r="C176" s="30"/>
      <c r="D176" s="30"/>
      <c r="E176" s="30"/>
      <c r="F176" s="30"/>
      <c r="G176" s="32"/>
      <c r="H176" s="33"/>
      <c r="I176" s="32"/>
      <c r="J176" s="31"/>
      <c r="K176" s="34"/>
      <c r="L176" s="33"/>
      <c r="M176" s="32"/>
      <c r="N176" s="35"/>
      <c r="O176" s="33"/>
      <c r="P176" s="43"/>
      <c r="Q176" s="30"/>
      <c r="R176" s="31"/>
      <c r="S176" s="30"/>
      <c r="T176" s="31"/>
      <c r="V176" s="37"/>
      <c r="W176" s="38"/>
      <c r="X176" s="38"/>
      <c r="Y176" s="39"/>
      <c r="Z176" s="39"/>
      <c r="AA176" s="40"/>
      <c r="AB176" s="30"/>
      <c r="AC176" s="31"/>
    </row>
    <row r="177" spans="1:29" x14ac:dyDescent="0.4">
      <c r="A177" s="11"/>
      <c r="B177" s="30">
        <f t="shared" si="0"/>
        <v>173</v>
      </c>
      <c r="C177" s="30"/>
      <c r="D177" s="30"/>
      <c r="E177" s="30"/>
      <c r="F177" s="30"/>
      <c r="G177" s="32"/>
      <c r="H177" s="33"/>
      <c r="I177" s="32"/>
      <c r="J177" s="31"/>
      <c r="K177" s="34"/>
      <c r="L177" s="33"/>
      <c r="M177" s="32"/>
      <c r="N177" s="35"/>
      <c r="O177" s="33"/>
      <c r="P177" s="43"/>
      <c r="Q177" s="30"/>
      <c r="R177" s="31"/>
      <c r="S177" s="30"/>
      <c r="T177" s="31"/>
      <c r="V177" s="37"/>
      <c r="W177" s="38"/>
      <c r="X177" s="38"/>
      <c r="Y177" s="39"/>
      <c r="Z177" s="39"/>
      <c r="AA177" s="40"/>
      <c r="AB177" s="30"/>
      <c r="AC177" s="31"/>
    </row>
    <row r="178" spans="1:29" x14ac:dyDescent="0.4">
      <c r="A178" s="11"/>
      <c r="B178" s="30">
        <f t="shared" si="0"/>
        <v>174</v>
      </c>
      <c r="C178" s="30"/>
      <c r="D178" s="30"/>
      <c r="E178" s="30"/>
      <c r="F178" s="30"/>
      <c r="G178" s="32"/>
      <c r="H178" s="33"/>
      <c r="I178" s="32"/>
      <c r="J178" s="31"/>
      <c r="K178" s="34"/>
      <c r="L178" s="33"/>
      <c r="M178" s="32"/>
      <c r="N178" s="33"/>
      <c r="O178" s="33"/>
      <c r="P178" s="43"/>
      <c r="Q178" s="30"/>
      <c r="R178" s="31"/>
      <c r="S178" s="30"/>
      <c r="T178" s="31"/>
      <c r="V178" s="37"/>
      <c r="W178" s="38"/>
      <c r="X178" s="38"/>
      <c r="Y178" s="39"/>
      <c r="Z178" s="39"/>
      <c r="AA178" s="40"/>
      <c r="AB178" s="30"/>
      <c r="AC178" s="31"/>
    </row>
    <row r="179" spans="1:29" x14ac:dyDescent="0.4">
      <c r="A179" s="11"/>
      <c r="B179" s="30">
        <f t="shared" si="0"/>
        <v>175</v>
      </c>
      <c r="C179" s="30"/>
      <c r="D179" s="30"/>
      <c r="E179" s="30"/>
      <c r="F179" s="30"/>
      <c r="G179" s="32"/>
      <c r="H179" s="33"/>
      <c r="I179" s="32"/>
      <c r="J179" s="31"/>
      <c r="K179" s="34"/>
      <c r="L179" s="33"/>
      <c r="M179" s="32"/>
      <c r="N179" s="35"/>
      <c r="O179" s="33"/>
      <c r="P179" s="43"/>
      <c r="Q179" s="30"/>
      <c r="R179" s="31"/>
      <c r="S179" s="30"/>
      <c r="T179" s="31"/>
      <c r="V179" s="37"/>
      <c r="W179" s="38"/>
      <c r="X179" s="38"/>
      <c r="Y179" s="39"/>
      <c r="Z179" s="39"/>
      <c r="AA179" s="40"/>
      <c r="AB179" s="30"/>
      <c r="AC179" s="31"/>
    </row>
    <row r="180" spans="1:29" x14ac:dyDescent="0.4">
      <c r="A180" s="11"/>
      <c r="B180" s="30">
        <f t="shared" si="0"/>
        <v>176</v>
      </c>
      <c r="C180" s="30"/>
      <c r="D180" s="30"/>
      <c r="E180" s="30"/>
      <c r="F180" s="30"/>
      <c r="G180" s="32"/>
      <c r="H180" s="33"/>
      <c r="I180" s="32"/>
      <c r="J180" s="31"/>
      <c r="K180" s="34"/>
      <c r="L180" s="33"/>
      <c r="M180" s="32"/>
      <c r="N180" s="35"/>
      <c r="O180" s="33"/>
      <c r="P180" s="43"/>
      <c r="Q180" s="30"/>
      <c r="R180" s="31"/>
      <c r="S180" s="30"/>
      <c r="T180" s="31"/>
      <c r="V180" s="37"/>
      <c r="W180" s="38"/>
      <c r="X180" s="38"/>
      <c r="Y180" s="39"/>
      <c r="Z180" s="39"/>
      <c r="AA180" s="40"/>
      <c r="AB180" s="30"/>
      <c r="AC180" s="31"/>
    </row>
    <row r="181" spans="1:29" x14ac:dyDescent="0.4">
      <c r="A181" s="11"/>
      <c r="B181" s="30">
        <f t="shared" si="0"/>
        <v>177</v>
      </c>
      <c r="C181" s="30"/>
      <c r="D181" s="30"/>
      <c r="E181" s="30"/>
      <c r="F181" s="30"/>
      <c r="G181" s="32"/>
      <c r="H181" s="33"/>
      <c r="I181" s="32"/>
      <c r="J181" s="31"/>
      <c r="K181" s="34"/>
      <c r="L181" s="33"/>
      <c r="M181" s="32"/>
      <c r="N181" s="35"/>
      <c r="O181" s="33"/>
      <c r="P181" s="43"/>
      <c r="Q181" s="30"/>
      <c r="R181" s="31"/>
      <c r="S181" s="30"/>
      <c r="T181" s="31"/>
      <c r="V181" s="37"/>
      <c r="W181" s="38"/>
      <c r="X181" s="38"/>
      <c r="Y181" s="39"/>
      <c r="Z181" s="39"/>
      <c r="AA181" s="40"/>
      <c r="AB181" s="30"/>
      <c r="AC181" s="31"/>
    </row>
    <row r="182" spans="1:29" x14ac:dyDescent="0.4">
      <c r="B182" s="30">
        <f t="shared" si="0"/>
        <v>178</v>
      </c>
      <c r="C182" s="30"/>
      <c r="D182" s="30"/>
      <c r="E182" s="30"/>
      <c r="F182" s="30"/>
      <c r="G182" s="32"/>
      <c r="H182" s="33"/>
      <c r="I182" s="32"/>
      <c r="J182" s="31"/>
      <c r="K182" s="34"/>
      <c r="L182" s="33"/>
      <c r="M182" s="32"/>
      <c r="N182" s="35"/>
      <c r="O182" s="33"/>
      <c r="P182" s="43"/>
      <c r="Q182" s="30"/>
      <c r="R182" s="31"/>
      <c r="S182" s="30"/>
      <c r="T182" s="31"/>
      <c r="V182" s="45"/>
      <c r="W182" s="39"/>
      <c r="X182" s="39"/>
      <c r="Y182" s="39"/>
      <c r="Z182" s="39"/>
      <c r="AA182" s="40"/>
      <c r="AB182" s="30"/>
      <c r="AC182" s="31"/>
    </row>
    <row r="183" spans="1:29" x14ac:dyDescent="0.4">
      <c r="B183" s="30">
        <f t="shared" si="0"/>
        <v>179</v>
      </c>
      <c r="C183" s="30"/>
      <c r="D183" s="30"/>
      <c r="E183" s="30"/>
      <c r="F183" s="30"/>
      <c r="G183" s="32"/>
      <c r="H183" s="33"/>
      <c r="I183" s="32"/>
      <c r="J183" s="31"/>
      <c r="K183" s="34"/>
      <c r="L183" s="33"/>
      <c r="M183" s="32"/>
      <c r="N183" s="35"/>
      <c r="O183" s="33"/>
      <c r="P183" s="43"/>
      <c r="Q183" s="30"/>
      <c r="R183" s="31"/>
      <c r="S183" s="30"/>
      <c r="T183" s="31"/>
      <c r="V183" s="45"/>
      <c r="W183" s="39"/>
      <c r="X183" s="39"/>
      <c r="Y183" s="39"/>
      <c r="Z183" s="39"/>
      <c r="AA183" s="40"/>
      <c r="AB183" s="30"/>
      <c r="AC183" s="31"/>
    </row>
    <row r="184" spans="1:29" x14ac:dyDescent="0.4">
      <c r="B184" s="30">
        <f t="shared" si="0"/>
        <v>180</v>
      </c>
      <c r="C184" s="30"/>
      <c r="D184" s="30"/>
      <c r="E184" s="30"/>
      <c r="F184" s="30"/>
      <c r="G184" s="32"/>
      <c r="H184" s="33"/>
      <c r="I184" s="32"/>
      <c r="J184" s="31"/>
      <c r="K184" s="34"/>
      <c r="L184" s="33"/>
      <c r="M184" s="32"/>
      <c r="N184" s="35"/>
      <c r="O184" s="33"/>
      <c r="P184" s="43"/>
      <c r="Q184" s="30"/>
      <c r="R184" s="31"/>
      <c r="S184" s="30"/>
      <c r="T184" s="31"/>
      <c r="V184" s="45"/>
      <c r="W184" s="39"/>
      <c r="X184" s="39"/>
      <c r="Y184" s="39"/>
      <c r="Z184" s="39"/>
      <c r="AA184" s="40"/>
      <c r="AB184" s="30"/>
      <c r="AC184" s="31"/>
    </row>
    <row r="185" spans="1:29" x14ac:dyDescent="0.4">
      <c r="B185" s="30">
        <f t="shared" si="0"/>
        <v>181</v>
      </c>
      <c r="C185" s="30"/>
      <c r="D185" s="30"/>
      <c r="E185" s="30"/>
      <c r="F185" s="30"/>
      <c r="G185" s="32"/>
      <c r="H185" s="33"/>
      <c r="I185" s="32"/>
      <c r="J185" s="31"/>
      <c r="K185" s="34"/>
      <c r="L185" s="33"/>
      <c r="M185" s="32"/>
      <c r="N185" s="35"/>
      <c r="O185" s="33"/>
      <c r="P185" s="43"/>
      <c r="Q185" s="30"/>
      <c r="R185" s="31"/>
      <c r="S185" s="30"/>
      <c r="T185" s="31"/>
      <c r="V185" s="45"/>
      <c r="W185" s="39"/>
      <c r="X185" s="39"/>
      <c r="Y185" s="39"/>
      <c r="Z185" s="39"/>
      <c r="AA185" s="40"/>
      <c r="AB185" s="30"/>
      <c r="AC185" s="31"/>
    </row>
    <row r="186" spans="1:29" x14ac:dyDescent="0.4">
      <c r="B186" s="30">
        <f t="shared" si="0"/>
        <v>182</v>
      </c>
      <c r="C186" s="30"/>
      <c r="D186" s="30"/>
      <c r="E186" s="30"/>
      <c r="F186" s="30"/>
      <c r="G186" s="32"/>
      <c r="H186" s="33"/>
      <c r="I186" s="32"/>
      <c r="J186" s="31"/>
      <c r="K186" s="34"/>
      <c r="L186" s="33"/>
      <c r="M186" s="32"/>
      <c r="N186" s="35"/>
      <c r="O186" s="33"/>
      <c r="P186" s="43"/>
      <c r="Q186" s="30"/>
      <c r="R186" s="31"/>
      <c r="S186" s="30"/>
      <c r="T186" s="31"/>
      <c r="V186" s="45"/>
      <c r="W186" s="39"/>
      <c r="X186" s="39"/>
      <c r="Y186" s="39"/>
      <c r="Z186" s="39"/>
      <c r="AA186" s="40"/>
      <c r="AB186" s="30"/>
      <c r="AC186" s="31"/>
    </row>
    <row r="187" spans="1:29" x14ac:dyDescent="0.4">
      <c r="B187" s="30">
        <f t="shared" si="0"/>
        <v>183</v>
      </c>
      <c r="C187" s="30"/>
      <c r="D187" s="30"/>
      <c r="E187" s="30"/>
      <c r="F187" s="30"/>
      <c r="G187" s="32"/>
      <c r="H187" s="33"/>
      <c r="I187" s="32"/>
      <c r="J187" s="30"/>
      <c r="K187" s="34"/>
      <c r="L187" s="33"/>
      <c r="M187" s="32"/>
      <c r="N187" s="35"/>
      <c r="O187" s="33"/>
      <c r="P187" s="43"/>
      <c r="Q187" s="30"/>
      <c r="R187" s="31"/>
      <c r="S187" s="30"/>
      <c r="T187" s="31"/>
      <c r="V187" s="45"/>
      <c r="W187" s="39"/>
      <c r="X187" s="39"/>
      <c r="Y187" s="39"/>
      <c r="Z187" s="39"/>
      <c r="AA187" s="40"/>
      <c r="AB187" s="30"/>
      <c r="AC187" s="31"/>
    </row>
    <row r="188" spans="1:29" x14ac:dyDescent="0.4">
      <c r="B188" s="30">
        <f t="shared" si="0"/>
        <v>184</v>
      </c>
      <c r="C188" s="30"/>
      <c r="D188" s="30"/>
      <c r="E188" s="30"/>
      <c r="F188" s="30"/>
      <c r="G188" s="32"/>
      <c r="H188" s="33"/>
      <c r="I188" s="32"/>
      <c r="J188" s="30"/>
      <c r="K188" s="34"/>
      <c r="L188" s="33"/>
      <c r="M188" s="32"/>
      <c r="N188" s="33"/>
      <c r="O188" s="33"/>
      <c r="P188" s="43"/>
      <c r="Q188" s="30"/>
      <c r="R188" s="31"/>
      <c r="S188" s="30"/>
      <c r="T188" s="31"/>
      <c r="V188" s="45"/>
      <c r="W188" s="39"/>
      <c r="X188" s="39"/>
      <c r="Y188" s="39"/>
      <c r="Z188" s="39"/>
      <c r="AA188" s="40"/>
      <c r="AB188" s="30"/>
      <c r="AC188" s="31"/>
    </row>
    <row r="189" spans="1:29" x14ac:dyDescent="0.4">
      <c r="B189" s="30">
        <f t="shared" si="0"/>
        <v>185</v>
      </c>
      <c r="C189" s="30"/>
      <c r="D189" s="30"/>
      <c r="E189" s="30"/>
      <c r="F189" s="30"/>
      <c r="G189" s="32"/>
      <c r="H189" s="33"/>
      <c r="I189" s="32"/>
      <c r="J189" s="30"/>
      <c r="K189" s="34"/>
      <c r="L189" s="33"/>
      <c r="M189" s="32"/>
      <c r="N189" s="33"/>
      <c r="O189" s="33"/>
      <c r="P189" s="43"/>
      <c r="Q189" s="30"/>
      <c r="R189" s="31"/>
      <c r="S189" s="30"/>
      <c r="T189" s="31"/>
      <c r="V189" s="45"/>
      <c r="W189" s="39"/>
      <c r="X189" s="39"/>
      <c r="Y189" s="39"/>
      <c r="Z189" s="39"/>
      <c r="AA189" s="40"/>
      <c r="AB189" s="30"/>
      <c r="AC189" s="31"/>
    </row>
    <row r="190" spans="1:29" x14ac:dyDescent="0.4">
      <c r="B190" s="30">
        <f t="shared" si="0"/>
        <v>186</v>
      </c>
      <c r="C190" s="30"/>
      <c r="D190" s="30"/>
      <c r="E190" s="30"/>
      <c r="F190" s="30"/>
      <c r="G190" s="32"/>
      <c r="H190" s="33"/>
      <c r="I190" s="32"/>
      <c r="J190" s="31"/>
      <c r="K190" s="34"/>
      <c r="L190" s="33"/>
      <c r="M190" s="32"/>
      <c r="N190" s="35"/>
      <c r="O190" s="33"/>
      <c r="P190" s="43"/>
      <c r="Q190" s="30"/>
      <c r="R190" s="31"/>
      <c r="S190" s="30"/>
      <c r="T190" s="31"/>
      <c r="V190" s="30"/>
      <c r="W190" s="30"/>
      <c r="X190" s="31"/>
      <c r="Y190" s="30"/>
      <c r="Z190" s="30"/>
      <c r="AA190" s="40"/>
      <c r="AB190" s="30"/>
      <c r="AC190" s="31"/>
    </row>
    <row r="191" spans="1:29" x14ac:dyDescent="0.4">
      <c r="B191" s="30">
        <f t="shared" si="0"/>
        <v>187</v>
      </c>
      <c r="C191" s="30"/>
      <c r="D191" s="30"/>
      <c r="E191" s="30"/>
      <c r="F191" s="30"/>
      <c r="G191" s="32"/>
      <c r="H191" s="33"/>
      <c r="I191" s="32"/>
      <c r="J191" s="31"/>
      <c r="K191" s="34"/>
      <c r="L191" s="33"/>
      <c r="M191" s="32"/>
      <c r="N191" s="35"/>
      <c r="O191" s="33"/>
      <c r="P191" s="43"/>
      <c r="Q191" s="30"/>
      <c r="R191" s="31"/>
      <c r="S191" s="30"/>
      <c r="T191" s="31"/>
      <c r="V191" s="30"/>
      <c r="W191" s="30"/>
      <c r="X191" s="31"/>
      <c r="Y191" s="30"/>
      <c r="Z191" s="30"/>
      <c r="AA191" s="40"/>
      <c r="AB191" s="30"/>
      <c r="AC191" s="31"/>
    </row>
    <row r="192" spans="1:29" x14ac:dyDescent="0.4">
      <c r="B192" s="30">
        <f t="shared" si="0"/>
        <v>188</v>
      </c>
      <c r="C192" s="30"/>
      <c r="D192" s="30"/>
      <c r="E192" s="30"/>
      <c r="F192" s="30"/>
      <c r="G192" s="32"/>
      <c r="H192" s="33"/>
      <c r="I192" s="32"/>
      <c r="J192" s="31"/>
      <c r="K192" s="34"/>
      <c r="L192" s="33"/>
      <c r="M192" s="32"/>
      <c r="N192" s="35"/>
      <c r="O192" s="33"/>
      <c r="P192" s="43"/>
      <c r="Q192" s="30"/>
      <c r="R192" s="31"/>
      <c r="S192" s="30"/>
      <c r="T192" s="31"/>
      <c r="V192" s="30"/>
      <c r="W192" s="30"/>
      <c r="X192" s="31"/>
      <c r="Y192" s="30"/>
      <c r="Z192" s="30"/>
      <c r="AA192" s="40"/>
      <c r="AB192" s="30"/>
      <c r="AC192" s="31"/>
    </row>
    <row r="193" spans="1:29" x14ac:dyDescent="0.4">
      <c r="B193" s="30">
        <f t="shared" si="0"/>
        <v>189</v>
      </c>
      <c r="C193" s="30"/>
      <c r="D193" s="30"/>
      <c r="E193" s="30"/>
      <c r="F193" s="30"/>
      <c r="G193" s="32"/>
      <c r="H193" s="33"/>
      <c r="I193" s="32"/>
      <c r="J193" s="31"/>
      <c r="K193" s="34"/>
      <c r="L193" s="33"/>
      <c r="M193" s="32"/>
      <c r="N193" s="35"/>
      <c r="O193" s="33"/>
      <c r="P193" s="43"/>
      <c r="Q193" s="30"/>
      <c r="R193" s="31"/>
      <c r="S193" s="30"/>
      <c r="T193" s="31"/>
      <c r="V193" s="30"/>
      <c r="W193" s="30"/>
      <c r="X193" s="31"/>
      <c r="Y193" s="30"/>
      <c r="Z193" s="30"/>
      <c r="AA193" s="40"/>
      <c r="AB193" s="30"/>
      <c r="AC193" s="31"/>
    </row>
    <row r="194" spans="1:29" x14ac:dyDescent="0.4">
      <c r="B194" s="30">
        <f t="shared" si="0"/>
        <v>190</v>
      </c>
      <c r="C194" s="30"/>
      <c r="D194" s="30"/>
      <c r="E194" s="30"/>
      <c r="F194" s="30"/>
      <c r="G194" s="32"/>
      <c r="H194" s="33"/>
      <c r="I194" s="32"/>
      <c r="J194" s="31"/>
      <c r="K194" s="34"/>
      <c r="L194" s="33"/>
      <c r="M194" s="32"/>
      <c r="N194" s="35"/>
      <c r="O194" s="33"/>
      <c r="P194" s="43"/>
      <c r="Q194" s="30"/>
      <c r="R194" s="30"/>
      <c r="S194" s="30"/>
      <c r="T194" s="31"/>
      <c r="V194" s="30"/>
      <c r="W194" s="30"/>
      <c r="X194" s="31"/>
      <c r="Y194" s="30"/>
      <c r="Z194" s="30"/>
      <c r="AA194" s="40"/>
      <c r="AB194" s="30"/>
      <c r="AC194" s="31"/>
    </row>
    <row r="195" spans="1:29" x14ac:dyDescent="0.4">
      <c r="B195" s="30">
        <f t="shared" si="0"/>
        <v>191</v>
      </c>
      <c r="C195" s="30"/>
      <c r="D195" s="30"/>
      <c r="E195" s="30"/>
      <c r="F195" s="30"/>
      <c r="G195" s="32"/>
      <c r="H195" s="33"/>
      <c r="I195" s="32"/>
      <c r="J195" s="31"/>
      <c r="K195" s="34"/>
      <c r="L195" s="33"/>
      <c r="M195" s="32"/>
      <c r="N195" s="35"/>
      <c r="O195" s="33"/>
      <c r="P195" s="43"/>
      <c r="Q195" s="30"/>
      <c r="R195" s="30"/>
      <c r="S195" s="30"/>
      <c r="T195" s="31"/>
      <c r="V195" s="30"/>
      <c r="W195" s="30"/>
      <c r="X195" s="31"/>
      <c r="Y195" s="30"/>
      <c r="Z195" s="30"/>
      <c r="AA195" s="40"/>
      <c r="AB195" s="30"/>
      <c r="AC195" s="31"/>
    </row>
    <row r="196" spans="1:29" x14ac:dyDescent="0.4">
      <c r="B196" s="30">
        <f t="shared" si="0"/>
        <v>192</v>
      </c>
      <c r="C196" s="30"/>
      <c r="D196" s="30"/>
      <c r="E196" s="30"/>
      <c r="F196" s="30"/>
      <c r="G196" s="32"/>
      <c r="H196" s="33"/>
      <c r="I196" s="32"/>
      <c r="J196" s="31"/>
      <c r="K196" s="34"/>
      <c r="L196" s="33"/>
      <c r="M196" s="32"/>
      <c r="N196" s="33"/>
      <c r="O196" s="33"/>
      <c r="P196" s="43"/>
      <c r="Q196" s="30"/>
      <c r="R196" s="30"/>
      <c r="S196" s="30"/>
      <c r="T196" s="31"/>
      <c r="V196" s="30"/>
      <c r="W196" s="30"/>
      <c r="X196" s="31"/>
      <c r="Y196" s="30"/>
      <c r="Z196" s="30"/>
      <c r="AA196" s="40"/>
      <c r="AB196" s="30"/>
      <c r="AC196" s="31"/>
    </row>
    <row r="197" spans="1:29" x14ac:dyDescent="0.4">
      <c r="B197" s="30">
        <f t="shared" si="0"/>
        <v>193</v>
      </c>
      <c r="C197" s="30"/>
      <c r="D197" s="30"/>
      <c r="E197" s="30"/>
      <c r="F197" s="30"/>
      <c r="G197" s="32"/>
      <c r="H197" s="33"/>
      <c r="I197" s="32"/>
      <c r="J197" s="31"/>
      <c r="K197" s="34"/>
      <c r="L197" s="33"/>
      <c r="M197" s="32"/>
      <c r="N197" s="35"/>
      <c r="O197" s="33"/>
      <c r="P197" s="43"/>
      <c r="Q197" s="30"/>
      <c r="R197" s="31"/>
      <c r="S197" s="30"/>
      <c r="T197" s="31"/>
      <c r="V197" s="30"/>
      <c r="W197" s="30"/>
      <c r="X197" s="31"/>
      <c r="Y197" s="30"/>
      <c r="Z197" s="30"/>
      <c r="AA197" s="40"/>
      <c r="AB197" s="30"/>
      <c r="AC197" s="31"/>
    </row>
    <row r="198" spans="1:29" x14ac:dyDescent="0.4">
      <c r="B198" s="30">
        <f t="shared" si="0"/>
        <v>194</v>
      </c>
      <c r="C198" s="30"/>
      <c r="D198" s="30"/>
      <c r="E198" s="30"/>
      <c r="F198" s="30"/>
      <c r="G198" s="32"/>
      <c r="H198" s="33"/>
      <c r="I198" s="32"/>
      <c r="J198" s="31"/>
      <c r="K198" s="34"/>
      <c r="L198" s="33"/>
      <c r="M198" s="32"/>
      <c r="N198" s="33"/>
      <c r="O198" s="33"/>
      <c r="P198" s="43"/>
      <c r="Q198" s="30"/>
      <c r="R198" s="31"/>
      <c r="S198" s="30"/>
      <c r="T198" s="31"/>
      <c r="V198" s="30"/>
      <c r="W198" s="30"/>
      <c r="X198" s="31"/>
      <c r="Y198" s="30"/>
      <c r="Z198" s="30"/>
      <c r="AA198" s="40"/>
      <c r="AB198" s="30"/>
      <c r="AC198" s="31"/>
    </row>
    <row r="199" spans="1:29" x14ac:dyDescent="0.4">
      <c r="B199" s="30">
        <f t="shared" si="0"/>
        <v>195</v>
      </c>
      <c r="C199" s="30"/>
      <c r="D199" s="30"/>
      <c r="E199" s="30"/>
      <c r="F199" s="30"/>
      <c r="G199" s="32"/>
      <c r="H199" s="33"/>
      <c r="I199" s="32"/>
      <c r="J199" s="31"/>
      <c r="K199" s="34"/>
      <c r="L199" s="33"/>
      <c r="M199" s="32"/>
      <c r="N199" s="33"/>
      <c r="O199" s="33"/>
      <c r="P199" s="43"/>
      <c r="Q199" s="30"/>
      <c r="R199" s="31"/>
      <c r="S199" s="30"/>
      <c r="T199" s="31"/>
      <c r="V199" s="30"/>
      <c r="W199" s="30"/>
      <c r="X199" s="31"/>
      <c r="Y199" s="30"/>
      <c r="Z199" s="30"/>
      <c r="AA199" s="40"/>
      <c r="AB199" s="30"/>
      <c r="AC199" s="31"/>
    </row>
    <row r="200" spans="1:29" x14ac:dyDescent="0.4">
      <c r="B200" s="30">
        <f t="shared" si="0"/>
        <v>196</v>
      </c>
      <c r="C200" s="30"/>
      <c r="D200" s="30"/>
      <c r="E200" s="30"/>
      <c r="F200" s="30"/>
      <c r="G200" s="32"/>
      <c r="H200" s="33"/>
      <c r="I200" s="32"/>
      <c r="J200" s="31"/>
      <c r="K200" s="34"/>
      <c r="L200" s="33"/>
      <c r="M200" s="32"/>
      <c r="N200" s="33"/>
      <c r="O200" s="33"/>
      <c r="P200" s="43"/>
      <c r="Q200" s="30"/>
      <c r="R200" s="31"/>
      <c r="S200" s="30"/>
      <c r="T200" s="31"/>
      <c r="V200" s="30"/>
      <c r="W200" s="30"/>
      <c r="X200" s="31"/>
      <c r="Y200" s="30"/>
      <c r="Z200" s="30"/>
      <c r="AA200" s="40"/>
      <c r="AB200" s="30"/>
      <c r="AC200" s="31"/>
    </row>
    <row r="201" spans="1:29" x14ac:dyDescent="0.4">
      <c r="B201" s="30">
        <f t="shared" si="0"/>
        <v>197</v>
      </c>
      <c r="C201" s="30"/>
      <c r="D201" s="30"/>
      <c r="E201" s="30"/>
      <c r="F201" s="30"/>
      <c r="G201" s="32"/>
      <c r="H201" s="33"/>
      <c r="I201" s="32"/>
      <c r="J201" s="31"/>
      <c r="K201" s="34"/>
      <c r="L201" s="33"/>
      <c r="M201" s="32"/>
      <c r="N201" s="33"/>
      <c r="O201" s="33"/>
      <c r="P201" s="43"/>
      <c r="Q201" s="30"/>
      <c r="R201" s="31"/>
      <c r="S201" s="30"/>
      <c r="T201" s="31"/>
      <c r="V201" s="30"/>
      <c r="W201" s="30"/>
      <c r="X201" s="31"/>
      <c r="Y201" s="30"/>
      <c r="Z201" s="30"/>
      <c r="AA201" s="40"/>
      <c r="AB201" s="30"/>
      <c r="AC201" s="31"/>
    </row>
    <row r="202" spans="1:29" x14ac:dyDescent="0.4">
      <c r="A202" s="11"/>
      <c r="B202" s="30">
        <f t="shared" si="0"/>
        <v>198</v>
      </c>
      <c r="C202" s="30"/>
      <c r="D202" s="30"/>
      <c r="E202" s="30"/>
      <c r="F202" s="30"/>
      <c r="G202" s="32"/>
      <c r="H202" s="33"/>
      <c r="I202" s="32"/>
      <c r="J202" s="31"/>
      <c r="K202" s="34"/>
      <c r="L202" s="33"/>
      <c r="M202" s="32"/>
      <c r="N202" s="33"/>
      <c r="O202" s="33"/>
      <c r="P202" s="43"/>
      <c r="Q202" s="30"/>
      <c r="R202" s="31"/>
      <c r="S202" s="30"/>
      <c r="T202" s="31"/>
      <c r="V202" s="30"/>
      <c r="W202" s="30"/>
      <c r="X202" s="31"/>
      <c r="Y202" s="30"/>
      <c r="Z202" s="30"/>
      <c r="AA202" s="40"/>
      <c r="AB202" s="30"/>
      <c r="AC202" s="31"/>
    </row>
    <row r="203" spans="1:29" x14ac:dyDescent="0.4">
      <c r="A203" s="11"/>
      <c r="B203" s="30">
        <f t="shared" si="0"/>
        <v>199</v>
      </c>
      <c r="C203" s="30"/>
      <c r="D203" s="30"/>
      <c r="E203" s="30"/>
      <c r="F203" s="30"/>
      <c r="G203" s="32"/>
      <c r="H203" s="33"/>
      <c r="I203" s="32"/>
      <c r="J203" s="31"/>
      <c r="K203" s="34"/>
      <c r="L203" s="33"/>
      <c r="M203" s="32"/>
      <c r="N203" s="33"/>
      <c r="O203" s="33"/>
      <c r="P203" s="43"/>
      <c r="Q203" s="30"/>
      <c r="R203" s="31"/>
      <c r="S203" s="30"/>
      <c r="T203" s="31"/>
      <c r="V203" s="30"/>
      <c r="W203" s="30"/>
      <c r="X203" s="31"/>
      <c r="Y203" s="30"/>
      <c r="Z203" s="30"/>
      <c r="AA203" s="40"/>
      <c r="AB203" s="30"/>
      <c r="AC203" s="31"/>
    </row>
    <row r="204" spans="1:29" x14ac:dyDescent="0.4">
      <c r="A204" s="11"/>
      <c r="B204" s="30">
        <f t="shared" si="0"/>
        <v>200</v>
      </c>
      <c r="C204" s="30"/>
      <c r="D204" s="30"/>
      <c r="E204" s="30"/>
      <c r="F204" s="30"/>
      <c r="G204" s="32"/>
      <c r="H204" s="33"/>
      <c r="I204" s="32"/>
      <c r="J204" s="31"/>
      <c r="K204" s="34"/>
      <c r="L204" s="33"/>
      <c r="M204" s="32"/>
      <c r="N204" s="33"/>
      <c r="O204" s="33"/>
      <c r="P204" s="43"/>
      <c r="Q204" s="30"/>
      <c r="R204" s="31"/>
      <c r="S204" s="30"/>
      <c r="T204" s="31"/>
      <c r="V204" s="30"/>
      <c r="W204" s="30"/>
      <c r="X204" s="31"/>
      <c r="Y204" s="30"/>
      <c r="Z204" s="30"/>
      <c r="AA204" s="40"/>
      <c r="AB204" s="30"/>
      <c r="AC204" s="31"/>
    </row>
    <row r="205" spans="1:29" x14ac:dyDescent="0.4">
      <c r="A205" s="11"/>
      <c r="B205" s="30">
        <f t="shared" si="0"/>
        <v>201</v>
      </c>
      <c r="C205" s="30"/>
      <c r="D205" s="30"/>
      <c r="E205" s="30"/>
      <c r="F205" s="30"/>
      <c r="G205" s="32"/>
      <c r="H205" s="33"/>
      <c r="I205" s="32"/>
      <c r="J205" s="31"/>
      <c r="K205" s="34"/>
      <c r="L205" s="33"/>
      <c r="M205" s="32"/>
      <c r="N205" s="33"/>
      <c r="O205" s="33"/>
      <c r="P205" s="43"/>
      <c r="Q205" s="30"/>
      <c r="R205" s="31"/>
      <c r="S205" s="30"/>
      <c r="T205" s="31"/>
      <c r="V205" s="30"/>
      <c r="W205" s="30"/>
      <c r="X205" s="31"/>
      <c r="Y205" s="30"/>
      <c r="Z205" s="30"/>
      <c r="AA205" s="40"/>
      <c r="AB205" s="30"/>
      <c r="AC205" s="31"/>
    </row>
    <row r="206" spans="1:29" x14ac:dyDescent="0.4">
      <c r="A206" s="11"/>
      <c r="B206" s="30">
        <f t="shared" si="0"/>
        <v>202</v>
      </c>
      <c r="C206" s="30"/>
      <c r="D206" s="30"/>
      <c r="E206" s="30"/>
      <c r="F206" s="30"/>
      <c r="G206" s="32"/>
      <c r="H206" s="33"/>
      <c r="I206" s="32"/>
      <c r="J206" s="31"/>
      <c r="K206" s="34"/>
      <c r="L206" s="33"/>
      <c r="M206" s="32"/>
      <c r="N206" s="33"/>
      <c r="O206" s="33"/>
      <c r="P206" s="43"/>
      <c r="Q206" s="30"/>
      <c r="R206" s="31"/>
      <c r="S206" s="30"/>
      <c r="T206" s="31"/>
      <c r="V206" s="30"/>
      <c r="W206" s="30"/>
      <c r="X206" s="31"/>
      <c r="Y206" s="30"/>
      <c r="Z206" s="30"/>
      <c r="AA206" s="40"/>
      <c r="AB206" s="30"/>
      <c r="AC206" s="31"/>
    </row>
    <row r="207" spans="1:29" x14ac:dyDescent="0.4">
      <c r="A207" s="11"/>
      <c r="B207" s="30">
        <f t="shared" si="0"/>
        <v>203</v>
      </c>
      <c r="C207" s="30"/>
      <c r="D207" s="30"/>
      <c r="E207" s="30"/>
      <c r="F207" s="30"/>
      <c r="G207" s="32"/>
      <c r="H207" s="33"/>
      <c r="I207" s="32"/>
      <c r="J207" s="31"/>
      <c r="K207" s="34"/>
      <c r="L207" s="33"/>
      <c r="M207" s="32"/>
      <c r="N207" s="33"/>
      <c r="O207" s="33"/>
      <c r="P207" s="43"/>
      <c r="Q207" s="31"/>
      <c r="R207" s="31"/>
      <c r="S207" s="30"/>
      <c r="T207" s="31"/>
      <c r="V207" s="30"/>
      <c r="W207" s="30"/>
      <c r="X207" s="31"/>
      <c r="Y207" s="30"/>
      <c r="Z207" s="30"/>
      <c r="AA207" s="40"/>
      <c r="AB207" s="30"/>
      <c r="AC207" s="31"/>
    </row>
    <row r="208" spans="1:29" x14ac:dyDescent="0.4">
      <c r="A208" s="11"/>
      <c r="B208" s="30">
        <f t="shared" si="0"/>
        <v>204</v>
      </c>
      <c r="C208" s="30"/>
      <c r="D208" s="30"/>
      <c r="E208" s="30"/>
      <c r="F208" s="30"/>
      <c r="G208" s="32"/>
      <c r="H208" s="33"/>
      <c r="I208" s="32"/>
      <c r="J208" s="31"/>
      <c r="K208" s="34"/>
      <c r="L208" s="33"/>
      <c r="M208" s="32"/>
      <c r="N208" s="33"/>
      <c r="O208" s="33"/>
      <c r="P208" s="43"/>
      <c r="Q208" s="31"/>
      <c r="R208" s="31"/>
      <c r="S208" s="30"/>
      <c r="T208" s="31"/>
      <c r="V208" s="30"/>
      <c r="W208" s="30"/>
      <c r="X208" s="31"/>
      <c r="Y208" s="30"/>
      <c r="Z208" s="30"/>
      <c r="AA208" s="40"/>
      <c r="AB208" s="30"/>
      <c r="AC208" s="31"/>
    </row>
    <row r="209" spans="1:29" x14ac:dyDescent="0.4">
      <c r="A209" s="11"/>
      <c r="B209" s="30">
        <f t="shared" si="0"/>
        <v>205</v>
      </c>
      <c r="C209" s="30"/>
      <c r="D209" s="30"/>
      <c r="E209" s="30"/>
      <c r="F209" s="30"/>
      <c r="G209" s="32"/>
      <c r="H209" s="33"/>
      <c r="I209" s="32"/>
      <c r="J209" s="31"/>
      <c r="K209" s="34"/>
      <c r="L209" s="33"/>
      <c r="M209" s="32"/>
      <c r="N209" s="33"/>
      <c r="O209" s="33"/>
      <c r="P209" s="43"/>
      <c r="Q209" s="31"/>
      <c r="R209" s="31"/>
      <c r="S209" s="30"/>
      <c r="T209" s="31"/>
      <c r="V209" s="30"/>
      <c r="W209" s="30"/>
      <c r="X209" s="31"/>
      <c r="Y209" s="30"/>
      <c r="Z209" s="30"/>
      <c r="AA209" s="40"/>
      <c r="AB209" s="30"/>
      <c r="AC209" s="31"/>
    </row>
    <row r="210" spans="1:29" x14ac:dyDescent="0.4">
      <c r="A210" s="11"/>
      <c r="B210" s="30">
        <f t="shared" si="0"/>
        <v>206</v>
      </c>
      <c r="C210" s="30"/>
      <c r="D210" s="30"/>
      <c r="E210" s="30"/>
      <c r="F210" s="30"/>
      <c r="G210" s="32"/>
      <c r="H210" s="33"/>
      <c r="I210" s="32"/>
      <c r="J210" s="31"/>
      <c r="K210" s="34"/>
      <c r="L210" s="33"/>
      <c r="M210" s="32"/>
      <c r="N210" s="33"/>
      <c r="O210" s="33"/>
      <c r="P210" s="43"/>
      <c r="Q210" s="31"/>
      <c r="R210" s="31"/>
      <c r="S210" s="30"/>
      <c r="T210" s="31"/>
      <c r="V210" s="30"/>
      <c r="W210" s="30"/>
      <c r="X210" s="31"/>
      <c r="Y210" s="30"/>
      <c r="Z210" s="30"/>
      <c r="AA210" s="40"/>
      <c r="AB210" s="30"/>
      <c r="AC210" s="31"/>
    </row>
    <row r="211" spans="1:29" x14ac:dyDescent="0.4">
      <c r="A211" s="11"/>
      <c r="B211" s="30">
        <f t="shared" si="0"/>
        <v>207</v>
      </c>
      <c r="C211" s="30"/>
      <c r="D211" s="30"/>
      <c r="E211" s="30"/>
      <c r="F211" s="30"/>
      <c r="G211" s="32"/>
      <c r="H211" s="33"/>
      <c r="I211" s="32"/>
      <c r="J211" s="30"/>
      <c r="K211" s="34"/>
      <c r="L211" s="33"/>
      <c r="M211" s="32"/>
      <c r="N211" s="35"/>
      <c r="P211" s="43"/>
      <c r="Q211" s="30"/>
      <c r="R211" s="31"/>
      <c r="S211" s="30"/>
      <c r="T211" s="31"/>
      <c r="V211" s="30"/>
      <c r="W211" s="30"/>
      <c r="X211" s="31"/>
      <c r="Y211" s="30"/>
      <c r="Z211" s="30"/>
      <c r="AA211" s="40"/>
      <c r="AB211" s="30"/>
      <c r="AC211" s="31"/>
    </row>
    <row r="212" spans="1:29" x14ac:dyDescent="0.4">
      <c r="A212" s="11"/>
      <c r="B212" s="30">
        <f t="shared" si="0"/>
        <v>208</v>
      </c>
      <c r="C212" s="30"/>
      <c r="D212" s="30"/>
      <c r="E212" s="30"/>
      <c r="F212" s="30"/>
      <c r="G212" s="32"/>
      <c r="H212" s="33"/>
      <c r="I212" s="32"/>
      <c r="J212" s="31"/>
      <c r="K212" s="34"/>
      <c r="L212" s="33"/>
      <c r="M212" s="32"/>
      <c r="N212" s="33"/>
      <c r="O212" s="33"/>
      <c r="P212" s="43"/>
      <c r="Q212" s="31"/>
      <c r="R212" s="31"/>
      <c r="S212" s="30"/>
      <c r="T212" s="31"/>
      <c r="V212" s="30"/>
      <c r="W212" s="30"/>
      <c r="X212" s="31"/>
      <c r="Y212" s="30"/>
      <c r="Z212" s="30"/>
      <c r="AA212" s="40"/>
      <c r="AB212" s="30"/>
      <c r="AC212" s="31"/>
    </row>
    <row r="213" spans="1:29" x14ac:dyDescent="0.4">
      <c r="A213" s="11"/>
      <c r="B213" s="30">
        <f t="shared" si="0"/>
        <v>209</v>
      </c>
      <c r="C213" s="30"/>
      <c r="D213" s="30"/>
      <c r="E213" s="30"/>
      <c r="F213" s="30"/>
      <c r="G213" s="32"/>
      <c r="H213" s="33"/>
      <c r="I213" s="32"/>
      <c r="J213" s="31"/>
      <c r="K213" s="34"/>
      <c r="L213" s="33"/>
      <c r="M213" s="32"/>
      <c r="N213" s="35"/>
      <c r="O213" s="33"/>
      <c r="P213" s="43"/>
      <c r="Q213" s="30"/>
      <c r="R213" s="31"/>
      <c r="S213" s="30"/>
      <c r="T213" s="31"/>
      <c r="V213" s="30"/>
      <c r="W213" s="30"/>
      <c r="X213" s="31"/>
      <c r="Y213" s="30"/>
      <c r="Z213" s="30"/>
      <c r="AA213" s="40"/>
      <c r="AB213" s="30"/>
      <c r="AC213" s="31"/>
    </row>
    <row r="214" spans="1:29" x14ac:dyDescent="0.4">
      <c r="A214" s="11"/>
      <c r="B214" s="30">
        <f t="shared" si="0"/>
        <v>210</v>
      </c>
      <c r="C214" s="30"/>
      <c r="D214" s="30"/>
      <c r="E214" s="30"/>
      <c r="F214" s="30"/>
      <c r="G214" s="32"/>
      <c r="H214" s="33"/>
      <c r="I214" s="32"/>
      <c r="J214" s="31"/>
      <c r="K214" s="34"/>
      <c r="L214" s="33"/>
      <c r="M214" s="32"/>
      <c r="N214" s="35"/>
      <c r="O214" s="33"/>
      <c r="P214" s="43"/>
      <c r="Q214" s="30"/>
      <c r="R214" s="31"/>
      <c r="S214" s="30"/>
      <c r="T214" s="31"/>
      <c r="V214" s="30"/>
      <c r="W214" s="30"/>
      <c r="X214" s="31"/>
      <c r="Y214" s="30"/>
      <c r="Z214" s="30"/>
      <c r="AA214" s="40"/>
      <c r="AB214" s="30"/>
      <c r="AC214" s="31"/>
    </row>
    <row r="215" spans="1:29" x14ac:dyDescent="0.4">
      <c r="A215" s="11"/>
      <c r="B215" s="30">
        <f t="shared" si="0"/>
        <v>211</v>
      </c>
      <c r="C215" s="30"/>
      <c r="D215" s="30"/>
      <c r="E215" s="30"/>
      <c r="F215" s="30"/>
      <c r="G215" s="32"/>
      <c r="H215" s="33"/>
      <c r="I215" s="32"/>
      <c r="J215" s="31"/>
      <c r="K215" s="34"/>
      <c r="L215" s="33"/>
      <c r="M215" s="32"/>
      <c r="N215" s="35"/>
      <c r="O215" s="33"/>
      <c r="P215" s="43"/>
      <c r="Q215" s="30"/>
      <c r="R215" s="31"/>
      <c r="S215" s="30"/>
      <c r="T215" s="31"/>
      <c r="V215" s="30"/>
      <c r="W215" s="30"/>
      <c r="X215" s="31"/>
      <c r="Y215" s="30"/>
      <c r="Z215" s="30"/>
      <c r="AA215" s="40"/>
      <c r="AB215" s="30"/>
      <c r="AC215" s="31"/>
    </row>
    <row r="216" spans="1:29" x14ac:dyDescent="0.4">
      <c r="A216" s="11"/>
      <c r="B216" s="30">
        <f t="shared" si="0"/>
        <v>212</v>
      </c>
      <c r="C216" s="30"/>
      <c r="D216" s="30"/>
      <c r="E216" s="30"/>
      <c r="F216" s="30"/>
      <c r="G216" s="32"/>
      <c r="H216" s="33"/>
      <c r="I216" s="32"/>
      <c r="J216" s="31"/>
      <c r="K216" s="34"/>
      <c r="L216" s="33"/>
      <c r="M216" s="32"/>
      <c r="N216" s="33"/>
      <c r="O216" s="33"/>
      <c r="P216" s="43"/>
      <c r="Q216" s="30"/>
      <c r="R216" s="31"/>
      <c r="S216" s="30"/>
      <c r="T216" s="31"/>
      <c r="V216" s="30"/>
      <c r="W216" s="30"/>
      <c r="X216" s="31"/>
      <c r="Y216" s="30"/>
      <c r="Z216" s="30"/>
      <c r="AA216" s="40"/>
      <c r="AB216" s="30"/>
      <c r="AC216" s="31"/>
    </row>
    <row r="217" spans="1:29" x14ac:dyDescent="0.4">
      <c r="A217" s="11"/>
      <c r="B217" s="30">
        <f t="shared" si="0"/>
        <v>213</v>
      </c>
      <c r="C217" s="30"/>
      <c r="D217" s="30"/>
      <c r="E217" s="30"/>
      <c r="F217" s="30"/>
      <c r="G217" s="32"/>
      <c r="H217" s="33"/>
      <c r="I217" s="32"/>
      <c r="J217" s="31"/>
      <c r="K217" s="34"/>
      <c r="L217" s="33"/>
      <c r="M217" s="32"/>
      <c r="N217" s="33"/>
      <c r="O217" s="33"/>
      <c r="P217" s="43"/>
      <c r="Q217" s="30"/>
      <c r="R217" s="31"/>
      <c r="S217" s="30"/>
      <c r="T217" s="31"/>
      <c r="V217" s="30"/>
      <c r="W217" s="30"/>
      <c r="X217" s="31"/>
      <c r="Y217" s="30"/>
      <c r="Z217" s="30"/>
      <c r="AA217" s="40"/>
      <c r="AB217" s="30"/>
      <c r="AC217" s="31"/>
    </row>
    <row r="218" spans="1:29" x14ac:dyDescent="0.4">
      <c r="A218" s="11"/>
      <c r="B218" s="30">
        <f t="shared" si="0"/>
        <v>214</v>
      </c>
      <c r="C218" s="30"/>
      <c r="D218" s="30"/>
      <c r="E218" s="30"/>
      <c r="F218" s="30"/>
      <c r="G218" s="32"/>
      <c r="H218" s="33"/>
      <c r="I218" s="32"/>
      <c r="J218" s="31"/>
      <c r="K218" s="34"/>
      <c r="L218" s="33"/>
      <c r="M218" s="32"/>
      <c r="N218" s="35"/>
      <c r="O218" s="33"/>
      <c r="P218" s="43"/>
      <c r="Q218" s="30"/>
      <c r="R218" s="31"/>
      <c r="S218" s="30"/>
      <c r="T218" s="31"/>
      <c r="V218" s="30"/>
      <c r="W218" s="30"/>
      <c r="X218" s="31"/>
      <c r="Y218" s="30"/>
      <c r="Z218" s="30"/>
      <c r="AA218" s="40"/>
      <c r="AB218" s="30"/>
      <c r="AC218" s="31"/>
    </row>
    <row r="219" spans="1:29" x14ac:dyDescent="0.4">
      <c r="A219" s="11"/>
      <c r="B219" s="30">
        <f t="shared" si="0"/>
        <v>215</v>
      </c>
      <c r="C219" s="30"/>
      <c r="D219" s="30"/>
      <c r="E219" s="30"/>
      <c r="F219" s="30"/>
      <c r="G219" s="32"/>
      <c r="H219" s="33"/>
      <c r="I219" s="32"/>
      <c r="J219" s="31"/>
      <c r="K219" s="34"/>
      <c r="L219" s="33"/>
      <c r="M219" s="32"/>
      <c r="N219" s="35"/>
      <c r="O219" s="33"/>
      <c r="P219" s="43"/>
      <c r="Q219" s="30"/>
      <c r="R219" s="31"/>
      <c r="S219" s="30"/>
      <c r="T219" s="31"/>
      <c r="V219" s="30"/>
      <c r="W219" s="30"/>
      <c r="X219" s="31"/>
      <c r="Y219" s="30"/>
      <c r="Z219" s="30"/>
      <c r="AA219" s="40"/>
      <c r="AB219" s="30"/>
      <c r="AC219" s="31"/>
    </row>
    <row r="220" spans="1:29" x14ac:dyDescent="0.4">
      <c r="A220" s="11"/>
      <c r="B220" s="30">
        <f t="shared" si="0"/>
        <v>216</v>
      </c>
      <c r="C220" s="30"/>
      <c r="D220" s="30"/>
      <c r="E220" s="30"/>
      <c r="F220" s="30"/>
      <c r="G220" s="32"/>
      <c r="H220" s="33"/>
      <c r="I220" s="32"/>
      <c r="J220" s="31"/>
      <c r="K220" s="34"/>
      <c r="L220" s="33"/>
      <c r="M220" s="32"/>
      <c r="N220" s="35"/>
      <c r="O220" s="33"/>
      <c r="P220" s="43"/>
      <c r="Q220" s="30"/>
      <c r="R220" s="31"/>
      <c r="S220" s="30"/>
      <c r="T220" s="31"/>
      <c r="V220" s="30"/>
      <c r="W220" s="30"/>
      <c r="X220" s="31"/>
      <c r="Y220" s="30"/>
      <c r="Z220" s="30"/>
      <c r="AA220" s="40"/>
      <c r="AB220" s="30"/>
      <c r="AC220" s="31"/>
    </row>
    <row r="221" spans="1:29" x14ac:dyDescent="0.4">
      <c r="A221" s="11"/>
      <c r="B221" s="30">
        <f t="shared" si="0"/>
        <v>217</v>
      </c>
      <c r="C221" s="30"/>
      <c r="D221" s="30"/>
      <c r="E221" s="30"/>
      <c r="F221" s="30"/>
      <c r="G221" s="32"/>
      <c r="H221" s="33"/>
      <c r="I221" s="32"/>
      <c r="J221" s="31"/>
      <c r="K221" s="34"/>
      <c r="L221" s="33"/>
      <c r="M221" s="32"/>
      <c r="N221" s="35"/>
      <c r="O221" s="33"/>
      <c r="P221" s="43"/>
      <c r="Q221" s="30"/>
      <c r="R221" s="31"/>
      <c r="S221" s="30"/>
      <c r="T221" s="31"/>
      <c r="V221" s="30"/>
      <c r="W221" s="30"/>
      <c r="X221" s="31"/>
      <c r="Y221" s="30"/>
      <c r="Z221" s="30"/>
      <c r="AA221" s="40"/>
      <c r="AB221" s="30"/>
      <c r="AC221" s="31"/>
    </row>
    <row r="222" spans="1:29" x14ac:dyDescent="0.4">
      <c r="A222" s="11"/>
      <c r="B222" s="30">
        <f t="shared" si="0"/>
        <v>218</v>
      </c>
      <c r="C222" s="30"/>
      <c r="D222" s="30"/>
      <c r="E222" s="30"/>
      <c r="F222" s="30"/>
      <c r="G222" s="32"/>
      <c r="H222" s="33"/>
      <c r="I222" s="32"/>
      <c r="J222" s="31"/>
      <c r="K222" s="34"/>
      <c r="L222" s="33"/>
      <c r="M222" s="32"/>
      <c r="N222" s="33"/>
      <c r="O222" s="33"/>
      <c r="P222" s="43"/>
      <c r="Q222" s="30"/>
      <c r="R222" s="31"/>
      <c r="S222" s="30"/>
      <c r="T222" s="31"/>
      <c r="V222" s="30"/>
      <c r="W222" s="30"/>
      <c r="X222" s="31"/>
      <c r="Y222" s="30"/>
      <c r="Z222" s="30"/>
      <c r="AA222" s="40"/>
      <c r="AB222" s="30"/>
      <c r="AC222" s="31"/>
    </row>
    <row r="223" spans="1:29" x14ac:dyDescent="0.4">
      <c r="A223" s="11"/>
      <c r="B223" s="30">
        <f t="shared" si="0"/>
        <v>219</v>
      </c>
      <c r="C223" s="30"/>
      <c r="D223" s="30"/>
      <c r="E223" s="30"/>
      <c r="F223" s="30"/>
      <c r="G223" s="32"/>
      <c r="H223" s="33"/>
      <c r="I223" s="32"/>
      <c r="J223" s="31"/>
      <c r="K223" s="34"/>
      <c r="L223" s="33"/>
      <c r="M223" s="32"/>
      <c r="N223" s="35"/>
      <c r="O223" s="33"/>
      <c r="P223" s="43"/>
      <c r="Q223" s="30"/>
      <c r="R223" s="31"/>
      <c r="S223" s="30"/>
      <c r="T223" s="31"/>
      <c r="V223" s="30"/>
      <c r="W223" s="30"/>
      <c r="X223" s="31"/>
      <c r="Y223" s="30"/>
      <c r="Z223" s="30"/>
      <c r="AA223" s="40"/>
      <c r="AB223" s="30"/>
      <c r="AC223" s="31"/>
    </row>
    <row r="224" spans="1:29" x14ac:dyDescent="0.4">
      <c r="A224" s="11"/>
      <c r="B224" s="30">
        <f t="shared" si="0"/>
        <v>220</v>
      </c>
      <c r="C224" s="30"/>
      <c r="D224" s="30"/>
      <c r="E224" s="30"/>
      <c r="F224" s="30"/>
      <c r="G224" s="32"/>
      <c r="H224" s="33"/>
      <c r="I224" s="32"/>
      <c r="J224" s="31"/>
      <c r="K224" s="34"/>
      <c r="L224" s="33"/>
      <c r="M224" s="32"/>
      <c r="N224" s="35"/>
      <c r="O224" s="33"/>
      <c r="P224" s="43"/>
      <c r="Q224" s="30"/>
      <c r="R224" s="31"/>
      <c r="S224" s="30"/>
      <c r="T224" s="31"/>
      <c r="V224" s="30"/>
      <c r="W224" s="30"/>
      <c r="X224" s="31"/>
      <c r="Y224" s="30"/>
      <c r="Z224" s="30"/>
      <c r="AA224" s="40"/>
      <c r="AB224" s="30"/>
      <c r="AC224" s="31"/>
    </row>
    <row r="225" spans="1:29" x14ac:dyDescent="0.4">
      <c r="A225" s="11"/>
      <c r="B225" s="30">
        <f t="shared" si="0"/>
        <v>221</v>
      </c>
      <c r="C225" s="30"/>
      <c r="D225" s="30"/>
      <c r="E225" s="30"/>
      <c r="F225" s="30"/>
      <c r="G225" s="32"/>
      <c r="H225" s="33"/>
      <c r="I225" s="32"/>
      <c r="J225" s="31"/>
      <c r="K225" s="34"/>
      <c r="L225" s="33"/>
      <c r="M225" s="32"/>
      <c r="N225" s="35"/>
      <c r="O225" s="33"/>
      <c r="P225" s="43"/>
      <c r="Q225" s="30"/>
      <c r="R225" s="31"/>
      <c r="S225" s="30"/>
      <c r="T225" s="31"/>
      <c r="V225" s="30"/>
      <c r="W225" s="30"/>
      <c r="X225" s="31"/>
      <c r="Y225" s="30"/>
      <c r="Z225" s="30"/>
      <c r="AA225" s="40"/>
      <c r="AB225" s="30"/>
      <c r="AC225" s="31"/>
    </row>
    <row r="226" spans="1:29" x14ac:dyDescent="0.4">
      <c r="A226" s="11"/>
      <c r="B226" s="30">
        <f t="shared" si="0"/>
        <v>222</v>
      </c>
      <c r="C226" s="30"/>
      <c r="D226" s="30"/>
      <c r="E226" s="30"/>
      <c r="F226" s="30"/>
      <c r="G226" s="32"/>
      <c r="H226" s="33"/>
      <c r="I226" s="32"/>
      <c r="J226" s="31"/>
      <c r="K226" s="34"/>
      <c r="L226" s="33"/>
      <c r="M226" s="32"/>
      <c r="N226" s="35"/>
      <c r="O226" s="33"/>
      <c r="P226" s="43"/>
      <c r="Q226" s="30"/>
      <c r="R226" s="31"/>
      <c r="S226" s="30"/>
      <c r="T226" s="31"/>
      <c r="V226" s="30"/>
      <c r="W226" s="30"/>
      <c r="X226" s="31"/>
      <c r="Y226" s="30"/>
      <c r="Z226" s="30"/>
      <c r="AA226" s="40"/>
      <c r="AB226" s="30"/>
      <c r="AC226" s="31"/>
    </row>
    <row r="227" spans="1:29" x14ac:dyDescent="0.4">
      <c r="B227" s="30">
        <f t="shared" si="0"/>
        <v>223</v>
      </c>
      <c r="C227" s="30"/>
      <c r="D227" s="30"/>
      <c r="E227" s="30"/>
      <c r="F227" s="30"/>
      <c r="G227" s="32"/>
      <c r="H227" s="33"/>
      <c r="I227" s="32"/>
      <c r="J227" s="31"/>
      <c r="K227" s="34"/>
      <c r="L227" s="33"/>
      <c r="M227" s="32"/>
      <c r="N227" s="33"/>
      <c r="O227" s="33"/>
      <c r="P227" s="33"/>
      <c r="Q227" s="30"/>
      <c r="R227" s="31"/>
      <c r="S227" s="30"/>
      <c r="T227" s="31"/>
      <c r="V227" s="30"/>
      <c r="W227" s="30"/>
      <c r="X227" s="31"/>
      <c r="Y227" s="30"/>
      <c r="Z227" s="30"/>
      <c r="AA227" s="40"/>
      <c r="AB227" s="30"/>
      <c r="AC227" s="31"/>
    </row>
    <row r="228" spans="1:29" x14ac:dyDescent="0.4">
      <c r="B228" s="30">
        <f t="shared" si="0"/>
        <v>224</v>
      </c>
      <c r="C228" s="30"/>
      <c r="D228" s="30"/>
      <c r="E228" s="30"/>
      <c r="F228" s="30"/>
      <c r="G228" s="32"/>
      <c r="H228" s="33"/>
      <c r="I228" s="32"/>
      <c r="J228" s="31"/>
      <c r="K228" s="34"/>
      <c r="L228" s="33"/>
      <c r="M228" s="32"/>
      <c r="N228" s="33"/>
      <c r="O228" s="33"/>
      <c r="P228" s="33"/>
      <c r="Q228" s="30"/>
      <c r="R228" s="31"/>
      <c r="S228" s="30"/>
      <c r="T228" s="31"/>
      <c r="V228" s="30"/>
      <c r="W228" s="30"/>
      <c r="X228" s="31"/>
      <c r="Y228" s="30"/>
      <c r="Z228" s="30"/>
      <c r="AA228" s="40"/>
      <c r="AB228" s="30"/>
      <c r="AC228" s="31"/>
    </row>
    <row r="229" spans="1:29" x14ac:dyDescent="0.4">
      <c r="B229" s="30">
        <f t="shared" si="0"/>
        <v>225</v>
      </c>
      <c r="C229" s="30"/>
      <c r="D229" s="30"/>
      <c r="E229" s="30"/>
      <c r="F229" s="30"/>
      <c r="G229" s="32"/>
      <c r="H229" s="33"/>
      <c r="I229" s="32"/>
      <c r="J229" s="31"/>
      <c r="K229" s="34"/>
      <c r="L229" s="33"/>
      <c r="M229" s="32"/>
      <c r="N229" s="33"/>
      <c r="O229" s="33"/>
      <c r="P229" s="33"/>
      <c r="Q229" s="30"/>
      <c r="R229" s="31"/>
      <c r="S229" s="30"/>
      <c r="T229" s="31"/>
      <c r="V229" s="30"/>
      <c r="W229" s="30"/>
      <c r="X229" s="31"/>
      <c r="Y229" s="30"/>
      <c r="Z229" s="30"/>
      <c r="AA229" s="40"/>
      <c r="AB229" s="30"/>
      <c r="AC229" s="31"/>
    </row>
    <row r="230" spans="1:29" x14ac:dyDescent="0.4">
      <c r="B230" s="30">
        <f t="shared" si="0"/>
        <v>226</v>
      </c>
      <c r="C230" s="30"/>
      <c r="D230" s="30"/>
      <c r="E230" s="30"/>
      <c r="F230" s="30"/>
      <c r="G230" s="32"/>
      <c r="H230" s="33"/>
      <c r="I230" s="32"/>
      <c r="J230" s="31"/>
      <c r="K230" s="34"/>
      <c r="L230" s="33"/>
      <c r="M230" s="32"/>
      <c r="N230" s="33"/>
      <c r="O230" s="33"/>
      <c r="P230" s="33"/>
      <c r="Q230" s="30"/>
      <c r="R230" s="31"/>
      <c r="S230" s="30"/>
      <c r="T230" s="31"/>
      <c r="V230" s="30"/>
      <c r="W230" s="30"/>
      <c r="X230" s="31"/>
      <c r="Y230" s="30"/>
      <c r="Z230" s="30"/>
      <c r="AA230" s="40"/>
      <c r="AB230" s="30"/>
      <c r="AC230" s="31"/>
    </row>
    <row r="231" spans="1:29" x14ac:dyDescent="0.4">
      <c r="B231" s="30">
        <f t="shared" si="0"/>
        <v>227</v>
      </c>
      <c r="C231" s="30"/>
      <c r="D231" s="30"/>
      <c r="E231" s="30"/>
      <c r="F231" s="30"/>
      <c r="G231" s="32"/>
      <c r="H231" s="33"/>
      <c r="I231" s="32"/>
      <c r="J231" s="31"/>
      <c r="K231" s="34"/>
      <c r="L231" s="33"/>
      <c r="M231" s="32"/>
      <c r="N231" s="33"/>
      <c r="O231" s="33"/>
      <c r="P231" s="33"/>
      <c r="Q231" s="30"/>
      <c r="R231" s="31"/>
      <c r="S231" s="30"/>
      <c r="T231" s="31"/>
      <c r="V231" s="30"/>
      <c r="W231" s="30"/>
      <c r="X231" s="31"/>
      <c r="Y231" s="30"/>
      <c r="Z231" s="30"/>
      <c r="AA231" s="40"/>
      <c r="AB231" s="30"/>
      <c r="AC231" s="31"/>
    </row>
    <row r="232" spans="1:29" x14ac:dyDescent="0.4">
      <c r="B232" s="30">
        <f t="shared" si="0"/>
        <v>228</v>
      </c>
      <c r="C232" s="30"/>
      <c r="D232" s="30"/>
      <c r="E232" s="30"/>
      <c r="F232" s="30"/>
      <c r="G232" s="32"/>
      <c r="H232" s="33"/>
      <c r="I232" s="32"/>
      <c r="J232" s="31"/>
      <c r="K232" s="34"/>
      <c r="L232" s="33"/>
      <c r="M232" s="32"/>
      <c r="N232" s="33"/>
      <c r="O232" s="33"/>
      <c r="P232" s="33"/>
      <c r="Q232" s="30"/>
      <c r="R232" s="31"/>
      <c r="S232" s="30"/>
      <c r="T232" s="31"/>
      <c r="V232" s="30"/>
      <c r="W232" s="30"/>
      <c r="X232" s="31"/>
      <c r="Y232" s="30"/>
      <c r="Z232" s="30"/>
      <c r="AA232" s="40"/>
      <c r="AB232" s="30"/>
      <c r="AC232" s="31"/>
    </row>
    <row r="233" spans="1:29" x14ac:dyDescent="0.4">
      <c r="B233" s="30">
        <f t="shared" si="0"/>
        <v>229</v>
      </c>
      <c r="C233" s="30"/>
      <c r="D233" s="30"/>
      <c r="E233" s="30"/>
      <c r="F233" s="30"/>
      <c r="G233" s="32"/>
      <c r="H233" s="33"/>
      <c r="I233" s="32"/>
      <c r="J233" s="31"/>
      <c r="K233" s="34"/>
      <c r="L233" s="33"/>
      <c r="M233" s="32"/>
      <c r="N233" s="33"/>
      <c r="O233" s="33"/>
      <c r="P233" s="33"/>
      <c r="Q233" s="30"/>
      <c r="R233" s="31"/>
      <c r="S233" s="30"/>
      <c r="T233" s="31"/>
      <c r="V233" s="30"/>
      <c r="W233" s="30"/>
      <c r="X233" s="31"/>
      <c r="Y233" s="30"/>
      <c r="Z233" s="30"/>
      <c r="AA233" s="40"/>
      <c r="AB233" s="30"/>
      <c r="AC233" s="31"/>
    </row>
    <row r="234" spans="1:29" x14ac:dyDescent="0.4">
      <c r="B234" s="30">
        <f t="shared" si="0"/>
        <v>230</v>
      </c>
      <c r="C234" s="30"/>
      <c r="D234" s="30"/>
      <c r="E234" s="30"/>
      <c r="F234" s="30"/>
      <c r="G234" s="32"/>
      <c r="H234" s="33"/>
      <c r="I234" s="32"/>
      <c r="J234" s="31"/>
      <c r="K234" s="34"/>
      <c r="L234" s="33"/>
      <c r="M234" s="32"/>
      <c r="N234" s="33"/>
      <c r="O234" s="33"/>
      <c r="P234" s="33"/>
      <c r="Q234" s="30"/>
      <c r="R234" s="31"/>
      <c r="S234" s="30"/>
      <c r="T234" s="31"/>
      <c r="V234" s="30"/>
      <c r="W234" s="30"/>
      <c r="X234" s="31"/>
      <c r="Y234" s="30"/>
      <c r="Z234" s="30"/>
      <c r="AA234" s="40"/>
      <c r="AB234" s="30"/>
      <c r="AC234" s="31"/>
    </row>
    <row r="235" spans="1:29" x14ac:dyDescent="0.4">
      <c r="B235" s="30">
        <f t="shared" si="0"/>
        <v>231</v>
      </c>
      <c r="C235" s="30"/>
      <c r="D235" s="30"/>
      <c r="E235" s="30"/>
      <c r="F235" s="30"/>
      <c r="G235" s="32"/>
      <c r="H235" s="33"/>
      <c r="I235" s="32"/>
      <c r="J235" s="31"/>
      <c r="K235" s="34"/>
      <c r="L235" s="33"/>
      <c r="M235" s="32"/>
      <c r="N235" s="33"/>
      <c r="O235" s="33"/>
      <c r="P235" s="33"/>
      <c r="Q235" s="30"/>
      <c r="R235" s="31"/>
      <c r="S235" s="30"/>
      <c r="T235" s="31"/>
      <c r="V235" s="30"/>
      <c r="W235" s="30"/>
      <c r="X235" s="31"/>
      <c r="Y235" s="30"/>
      <c r="Z235" s="30"/>
      <c r="AA235" s="40"/>
      <c r="AB235" s="30"/>
      <c r="AC235" s="31"/>
    </row>
    <row r="236" spans="1:29" x14ac:dyDescent="0.4">
      <c r="B236" s="30">
        <f t="shared" si="0"/>
        <v>232</v>
      </c>
      <c r="C236" s="30"/>
      <c r="D236" s="30"/>
      <c r="E236" s="30"/>
      <c r="F236" s="30"/>
      <c r="G236" s="32"/>
      <c r="H236" s="33"/>
      <c r="I236" s="32"/>
      <c r="J236" s="31"/>
      <c r="K236" s="34"/>
      <c r="L236" s="33"/>
      <c r="M236" s="32"/>
      <c r="N236" s="33"/>
      <c r="O236" s="33"/>
      <c r="P236" s="33"/>
      <c r="Q236" s="30"/>
      <c r="R236" s="31"/>
      <c r="S236" s="30"/>
      <c r="T236" s="31"/>
      <c r="V236" s="30"/>
      <c r="W236" s="30"/>
      <c r="X236" s="31"/>
      <c r="Y236" s="30"/>
      <c r="Z236" s="30"/>
      <c r="AA236" s="40"/>
      <c r="AB236" s="30"/>
      <c r="AC236" s="31"/>
    </row>
    <row r="237" spans="1:29" x14ac:dyDescent="0.4">
      <c r="B237" s="30">
        <f t="shared" si="0"/>
        <v>233</v>
      </c>
      <c r="C237" s="30"/>
      <c r="D237" s="30"/>
      <c r="E237" s="30"/>
      <c r="F237" s="30"/>
      <c r="G237" s="32"/>
      <c r="H237" s="33"/>
      <c r="I237" s="32"/>
      <c r="J237" s="31"/>
      <c r="K237" s="34"/>
      <c r="L237" s="33"/>
      <c r="M237" s="32"/>
      <c r="N237" s="33"/>
      <c r="O237" s="33"/>
      <c r="P237" s="33"/>
      <c r="Q237" s="30"/>
      <c r="R237" s="31"/>
      <c r="S237" s="30"/>
      <c r="T237" s="31"/>
      <c r="V237" s="30"/>
      <c r="W237" s="30"/>
      <c r="X237" s="31"/>
      <c r="Y237" s="30"/>
      <c r="Z237" s="30"/>
      <c r="AA237" s="40"/>
      <c r="AB237" s="30"/>
      <c r="AC237" s="31"/>
    </row>
    <row r="238" spans="1:29" x14ac:dyDescent="0.4">
      <c r="B238" s="30">
        <f t="shared" si="0"/>
        <v>234</v>
      </c>
      <c r="C238" s="30"/>
      <c r="D238" s="30"/>
      <c r="E238" s="30"/>
      <c r="F238" s="30"/>
      <c r="G238" s="32"/>
      <c r="H238" s="33"/>
      <c r="I238" s="32"/>
      <c r="J238" s="31"/>
      <c r="K238" s="34"/>
      <c r="L238" s="33"/>
      <c r="M238" s="32"/>
      <c r="N238" s="33"/>
      <c r="O238" s="33"/>
      <c r="P238" s="33"/>
      <c r="Q238" s="30"/>
      <c r="R238" s="31"/>
      <c r="S238" s="30"/>
      <c r="T238" s="31"/>
      <c r="V238" s="30"/>
      <c r="W238" s="30"/>
      <c r="X238" s="31"/>
      <c r="Y238" s="30"/>
      <c r="Z238" s="30"/>
      <c r="AA238" s="40"/>
      <c r="AB238" s="30"/>
      <c r="AC238" s="31"/>
    </row>
    <row r="239" spans="1:29" x14ac:dyDescent="0.4">
      <c r="B239" s="30">
        <f t="shared" si="0"/>
        <v>235</v>
      </c>
      <c r="C239" s="30"/>
      <c r="D239" s="30"/>
      <c r="E239" s="30"/>
      <c r="F239" s="30"/>
      <c r="G239" s="32"/>
      <c r="H239" s="33"/>
      <c r="I239" s="32"/>
      <c r="J239" s="31"/>
      <c r="K239" s="34"/>
      <c r="L239" s="33"/>
      <c r="M239" s="32"/>
      <c r="N239" s="33"/>
      <c r="O239" s="33"/>
      <c r="P239" s="33"/>
      <c r="Q239" s="30"/>
      <c r="R239" s="31"/>
      <c r="S239" s="30"/>
      <c r="T239" s="31"/>
      <c r="V239" s="30"/>
      <c r="W239" s="30"/>
      <c r="X239" s="31"/>
      <c r="Y239" s="30"/>
      <c r="Z239" s="30"/>
      <c r="AA239" s="40"/>
      <c r="AB239" s="30"/>
      <c r="AC239" s="31"/>
    </row>
    <row r="240" spans="1:29" x14ac:dyDescent="0.4">
      <c r="B240" s="30">
        <f t="shared" si="0"/>
        <v>236</v>
      </c>
      <c r="C240" s="30"/>
      <c r="D240" s="30"/>
      <c r="E240" s="30"/>
      <c r="F240" s="30"/>
      <c r="G240" s="32"/>
      <c r="H240" s="33"/>
      <c r="I240" s="32"/>
      <c r="J240" s="31"/>
      <c r="K240" s="34"/>
      <c r="L240" s="33"/>
      <c r="M240" s="32"/>
      <c r="N240" s="33"/>
      <c r="O240" s="33"/>
      <c r="P240" s="33"/>
      <c r="Q240" s="30"/>
      <c r="R240" s="31"/>
      <c r="S240" s="30"/>
      <c r="T240" s="31"/>
      <c r="V240" s="30"/>
      <c r="W240" s="30"/>
      <c r="X240" s="31"/>
      <c r="Y240" s="30"/>
      <c r="Z240" s="30"/>
      <c r="AA240" s="40"/>
      <c r="AB240" s="30"/>
      <c r="AC240" s="31"/>
    </row>
    <row r="241" spans="2:29" x14ac:dyDescent="0.4">
      <c r="B241" s="30">
        <f t="shared" si="0"/>
        <v>237</v>
      </c>
      <c r="C241" s="30"/>
      <c r="D241" s="30"/>
      <c r="E241" s="30"/>
      <c r="F241" s="30"/>
      <c r="G241" s="32"/>
      <c r="H241" s="33"/>
      <c r="I241" s="32"/>
      <c r="J241" s="31"/>
      <c r="K241" s="34"/>
      <c r="L241" s="33"/>
      <c r="M241" s="32"/>
      <c r="N241" s="33"/>
      <c r="O241" s="33"/>
      <c r="P241" s="33"/>
      <c r="Q241" s="30"/>
      <c r="R241" s="31"/>
      <c r="S241" s="30"/>
      <c r="T241" s="31"/>
      <c r="V241" s="30"/>
      <c r="W241" s="30"/>
      <c r="X241" s="31"/>
      <c r="Y241" s="30"/>
      <c r="Z241" s="30"/>
      <c r="AA241" s="40"/>
      <c r="AB241" s="30"/>
      <c r="AC241" s="31"/>
    </row>
    <row r="242" spans="2:29" x14ac:dyDescent="0.4">
      <c r="B242" s="30">
        <f t="shared" si="0"/>
        <v>238</v>
      </c>
      <c r="C242" s="30"/>
      <c r="D242" s="30"/>
      <c r="E242" s="30"/>
      <c r="F242" s="30"/>
      <c r="G242" s="32"/>
      <c r="H242" s="33"/>
      <c r="I242" s="32"/>
      <c r="J242" s="31"/>
      <c r="K242" s="34"/>
      <c r="L242" s="33"/>
      <c r="M242" s="32"/>
      <c r="N242" s="33"/>
      <c r="O242" s="33"/>
      <c r="P242" s="33"/>
      <c r="Q242" s="30"/>
      <c r="R242" s="31"/>
      <c r="S242" s="30"/>
      <c r="T242" s="31"/>
      <c r="V242" s="30"/>
      <c r="W242" s="30"/>
      <c r="X242" s="31"/>
      <c r="Y242" s="30"/>
      <c r="Z242" s="30"/>
      <c r="AA242" s="40"/>
      <c r="AB242" s="30"/>
      <c r="AC242" s="31"/>
    </row>
    <row r="243" spans="2:29" x14ac:dyDescent="0.4">
      <c r="B243" s="30">
        <f t="shared" si="0"/>
        <v>239</v>
      </c>
      <c r="C243" s="30"/>
      <c r="D243" s="30"/>
      <c r="E243" s="30"/>
      <c r="F243" s="30"/>
      <c r="G243" s="32"/>
      <c r="H243" s="33"/>
      <c r="I243" s="32"/>
      <c r="J243" s="31"/>
      <c r="K243" s="34"/>
      <c r="L243" s="33"/>
      <c r="M243" s="32"/>
      <c r="N243" s="33"/>
      <c r="O243" s="33"/>
      <c r="P243" s="33"/>
      <c r="Q243" s="30"/>
      <c r="R243" s="31"/>
      <c r="S243" s="30"/>
      <c r="T243" s="31"/>
      <c r="V243" s="30"/>
      <c r="W243" s="30"/>
      <c r="X243" s="31"/>
      <c r="Y243" s="30"/>
      <c r="Z243" s="30"/>
      <c r="AA243" s="40"/>
      <c r="AB243" s="30"/>
      <c r="AC243" s="31"/>
    </row>
    <row r="244" spans="2:29" x14ac:dyDescent="0.4">
      <c r="B244" s="30">
        <f t="shared" si="0"/>
        <v>240</v>
      </c>
      <c r="C244" s="30"/>
      <c r="D244" s="30"/>
      <c r="E244" s="30"/>
      <c r="F244" s="30"/>
      <c r="G244" s="32"/>
      <c r="H244" s="33"/>
      <c r="I244" s="32"/>
      <c r="J244" s="31"/>
      <c r="K244" s="34"/>
      <c r="L244" s="33"/>
      <c r="M244" s="32"/>
      <c r="N244" s="33"/>
      <c r="O244" s="33"/>
      <c r="P244" s="33"/>
      <c r="Q244" s="30"/>
      <c r="R244" s="31"/>
      <c r="S244" s="30"/>
      <c r="T244" s="31"/>
      <c r="V244" s="30"/>
      <c r="W244" s="30"/>
      <c r="X244" s="31"/>
      <c r="Y244" s="30"/>
      <c r="Z244" s="30"/>
      <c r="AA244" s="40"/>
      <c r="AB244" s="30"/>
      <c r="AC244" s="31"/>
    </row>
    <row r="245" spans="2:29" x14ac:dyDescent="0.4">
      <c r="B245" s="30">
        <f t="shared" si="0"/>
        <v>241</v>
      </c>
      <c r="C245" s="30"/>
      <c r="D245" s="30"/>
      <c r="E245" s="30"/>
      <c r="F245" s="30"/>
      <c r="G245" s="32"/>
      <c r="H245" s="33"/>
      <c r="I245" s="32"/>
      <c r="J245" s="31"/>
      <c r="K245" s="34"/>
      <c r="L245" s="33"/>
      <c r="M245" s="32"/>
      <c r="N245" s="33"/>
      <c r="O245" s="33"/>
      <c r="P245" s="33"/>
      <c r="Q245" s="30"/>
      <c r="R245" s="31"/>
      <c r="S245" s="30"/>
      <c r="T245" s="31"/>
      <c r="V245" s="30"/>
      <c r="W245" s="30"/>
      <c r="X245" s="31"/>
      <c r="Y245" s="30"/>
      <c r="Z245" s="30"/>
      <c r="AA245" s="40"/>
      <c r="AB245" s="30"/>
      <c r="AC245" s="31"/>
    </row>
    <row r="246" spans="2:29" x14ac:dyDescent="0.4">
      <c r="B246" s="30">
        <f t="shared" si="0"/>
        <v>242</v>
      </c>
      <c r="C246" s="30"/>
      <c r="D246" s="30"/>
      <c r="E246" s="30"/>
      <c r="F246" s="30"/>
      <c r="G246" s="32"/>
      <c r="H246" s="33"/>
      <c r="I246" s="32"/>
      <c r="J246" s="31"/>
      <c r="K246" s="34"/>
      <c r="L246" s="33"/>
      <c r="M246" s="32"/>
      <c r="N246" s="33"/>
      <c r="O246" s="33"/>
      <c r="P246" s="33"/>
      <c r="Q246" s="30"/>
      <c r="R246" s="31"/>
      <c r="S246" s="30"/>
      <c r="T246" s="31"/>
      <c r="V246" s="30"/>
      <c r="W246" s="30"/>
      <c r="X246" s="31"/>
      <c r="Y246" s="30"/>
      <c r="Z246" s="30"/>
      <c r="AA246" s="40"/>
      <c r="AB246" s="30"/>
      <c r="AC246" s="31"/>
    </row>
    <row r="247" spans="2:29" x14ac:dyDescent="0.4">
      <c r="B247" s="30">
        <f t="shared" si="0"/>
        <v>243</v>
      </c>
      <c r="C247" s="30"/>
      <c r="D247" s="30"/>
      <c r="E247" s="30"/>
      <c r="F247" s="30"/>
      <c r="G247" s="32"/>
      <c r="H247" s="33"/>
      <c r="I247" s="32"/>
      <c r="J247" s="31"/>
      <c r="K247" s="34"/>
      <c r="L247" s="33"/>
      <c r="M247" s="32"/>
      <c r="N247" s="33"/>
      <c r="O247" s="33"/>
      <c r="P247" s="33"/>
      <c r="Q247" s="30"/>
      <c r="R247" s="31"/>
      <c r="S247" s="30"/>
      <c r="T247" s="31"/>
      <c r="V247" s="30"/>
      <c r="W247" s="30"/>
      <c r="X247" s="31"/>
      <c r="Y247" s="30"/>
      <c r="Z247" s="30"/>
      <c r="AA247" s="40"/>
      <c r="AB247" s="30"/>
      <c r="AC247" s="31"/>
    </row>
    <row r="248" spans="2:29" x14ac:dyDescent="0.4">
      <c r="B248" s="30">
        <f t="shared" si="0"/>
        <v>244</v>
      </c>
      <c r="C248" s="30"/>
      <c r="D248" s="30"/>
      <c r="E248" s="30"/>
      <c r="F248" s="30"/>
      <c r="G248" s="32"/>
      <c r="H248" s="33"/>
      <c r="I248" s="32"/>
      <c r="J248" s="31"/>
      <c r="K248" s="34"/>
      <c r="L248" s="33"/>
      <c r="M248" s="32"/>
      <c r="N248" s="33"/>
      <c r="O248" s="33"/>
      <c r="P248" s="33"/>
      <c r="Q248" s="30"/>
      <c r="R248" s="31"/>
      <c r="S248" s="30"/>
      <c r="T248" s="31"/>
      <c r="V248" s="30"/>
      <c r="W248" s="30"/>
      <c r="X248" s="31"/>
      <c r="Y248" s="30"/>
      <c r="Z248" s="30"/>
      <c r="AA248" s="40"/>
      <c r="AB248" s="30"/>
      <c r="AC248" s="31"/>
    </row>
    <row r="249" spans="2:29" x14ac:dyDescent="0.4">
      <c r="B249" s="30">
        <f t="shared" si="0"/>
        <v>245</v>
      </c>
      <c r="C249" s="30"/>
      <c r="D249" s="30"/>
      <c r="E249" s="30"/>
      <c r="F249" s="30"/>
      <c r="G249" s="32"/>
      <c r="H249" s="33"/>
      <c r="I249" s="32"/>
      <c r="J249" s="31"/>
      <c r="K249" s="34"/>
      <c r="L249" s="33"/>
      <c r="M249" s="32"/>
      <c r="N249" s="33"/>
      <c r="O249" s="33"/>
      <c r="P249" s="33"/>
      <c r="Q249" s="30"/>
      <c r="R249" s="31"/>
      <c r="S249" s="30"/>
      <c r="T249" s="31"/>
      <c r="V249" s="30"/>
      <c r="W249" s="30"/>
      <c r="X249" s="31"/>
      <c r="Y249" s="30"/>
      <c r="Z249" s="30"/>
      <c r="AA249" s="40"/>
      <c r="AB249" s="30"/>
      <c r="AC249" s="31"/>
    </row>
    <row r="250" spans="2:29" x14ac:dyDescent="0.4">
      <c r="B250" s="30">
        <f t="shared" si="0"/>
        <v>246</v>
      </c>
      <c r="C250" s="30"/>
      <c r="D250" s="30"/>
      <c r="E250" s="30"/>
      <c r="F250" s="30"/>
      <c r="G250" s="32"/>
      <c r="H250" s="33"/>
      <c r="I250" s="32"/>
      <c r="J250" s="31"/>
      <c r="K250" s="34"/>
      <c r="L250" s="33"/>
      <c r="M250" s="32"/>
      <c r="N250" s="33"/>
      <c r="O250" s="33"/>
      <c r="P250" s="33"/>
      <c r="Q250" s="30"/>
      <c r="R250" s="31"/>
      <c r="S250" s="30"/>
      <c r="T250" s="31"/>
      <c r="V250" s="30"/>
      <c r="W250" s="30"/>
      <c r="X250" s="31"/>
      <c r="Y250" s="30"/>
      <c r="Z250" s="30"/>
      <c r="AA250" s="40"/>
      <c r="AB250" s="30"/>
      <c r="AC250" s="31"/>
    </row>
    <row r="251" spans="2:29" x14ac:dyDescent="0.4">
      <c r="B251" s="30">
        <f t="shared" si="0"/>
        <v>247</v>
      </c>
      <c r="C251" s="30"/>
      <c r="D251" s="30"/>
      <c r="E251" s="30"/>
      <c r="F251" s="30"/>
      <c r="G251" s="32"/>
      <c r="H251" s="33"/>
      <c r="I251" s="32"/>
      <c r="J251" s="31"/>
      <c r="K251" s="34"/>
      <c r="L251" s="33"/>
      <c r="M251" s="32"/>
      <c r="N251" s="33"/>
      <c r="O251" s="33"/>
      <c r="P251" s="33"/>
      <c r="Q251" s="30"/>
      <c r="R251" s="31"/>
      <c r="S251" s="30"/>
      <c r="T251" s="31"/>
      <c r="V251" s="30"/>
      <c r="W251" s="30"/>
      <c r="X251" s="31"/>
      <c r="Y251" s="30"/>
      <c r="Z251" s="30"/>
      <c r="AA251" s="40"/>
      <c r="AB251" s="30"/>
      <c r="AC251" s="31"/>
    </row>
    <row r="252" spans="2:29" x14ac:dyDescent="0.4">
      <c r="B252" s="30">
        <f t="shared" si="0"/>
        <v>248</v>
      </c>
      <c r="C252" s="30"/>
      <c r="D252" s="30"/>
      <c r="E252" s="30"/>
      <c r="F252" s="30"/>
      <c r="G252" s="32"/>
      <c r="H252" s="33"/>
      <c r="I252" s="32"/>
      <c r="J252" s="31"/>
      <c r="K252" s="34"/>
      <c r="L252" s="33"/>
      <c r="M252" s="32"/>
      <c r="N252" s="33"/>
      <c r="O252" s="33"/>
      <c r="P252" s="33"/>
      <c r="Q252" s="30"/>
      <c r="R252" s="31"/>
      <c r="S252" s="30"/>
      <c r="T252" s="31"/>
      <c r="V252" s="30"/>
      <c r="W252" s="30"/>
      <c r="X252" s="31"/>
      <c r="Y252" s="30"/>
      <c r="Z252" s="30"/>
      <c r="AA252" s="40"/>
      <c r="AB252" s="30"/>
      <c r="AC252" s="31"/>
    </row>
    <row r="253" spans="2:29" x14ac:dyDescent="0.4">
      <c r="B253" s="30">
        <f t="shared" si="0"/>
        <v>249</v>
      </c>
      <c r="C253" s="30"/>
      <c r="D253" s="30"/>
      <c r="E253" s="30"/>
      <c r="F253" s="30"/>
      <c r="G253" s="32"/>
      <c r="H253" s="33"/>
      <c r="I253" s="32"/>
      <c r="J253" s="31"/>
      <c r="K253" s="34"/>
      <c r="L253" s="33"/>
      <c r="M253" s="32"/>
      <c r="N253" s="33"/>
      <c r="O253" s="33"/>
      <c r="P253" s="33"/>
      <c r="Q253" s="30"/>
      <c r="R253" s="31"/>
      <c r="S253" s="30"/>
      <c r="T253" s="31"/>
      <c r="V253" s="30"/>
      <c r="W253" s="30"/>
      <c r="X253" s="31"/>
      <c r="Y253" s="30"/>
      <c r="Z253" s="30"/>
      <c r="AA253" s="40"/>
      <c r="AB253" s="30"/>
      <c r="AC253" s="31"/>
    </row>
    <row r="254" spans="2:29" x14ac:dyDescent="0.4">
      <c r="B254" s="30">
        <f t="shared" si="0"/>
        <v>250</v>
      </c>
      <c r="C254" s="30"/>
      <c r="D254" s="30"/>
      <c r="E254" s="30"/>
      <c r="F254" s="30"/>
      <c r="G254" s="32"/>
      <c r="H254" s="33"/>
      <c r="I254" s="32"/>
      <c r="J254" s="31"/>
      <c r="K254" s="34"/>
      <c r="L254" s="33"/>
      <c r="M254" s="32"/>
      <c r="N254" s="33"/>
      <c r="O254" s="33"/>
      <c r="P254" s="33"/>
      <c r="Q254" s="30"/>
      <c r="R254" s="31"/>
      <c r="S254" s="30"/>
      <c r="T254" s="31"/>
      <c r="V254" s="30"/>
      <c r="W254" s="30"/>
      <c r="X254" s="31"/>
      <c r="Y254" s="30"/>
      <c r="Z254" s="30"/>
      <c r="AA254" s="40"/>
      <c r="AB254" s="30"/>
      <c r="AC254" s="31"/>
    </row>
    <row r="255" spans="2:29" x14ac:dyDescent="0.4">
      <c r="B255" s="30">
        <f t="shared" si="0"/>
        <v>251</v>
      </c>
      <c r="C255" s="30"/>
      <c r="D255" s="30"/>
      <c r="E255" s="30"/>
      <c r="F255" s="30"/>
      <c r="G255" s="32"/>
      <c r="H255" s="33"/>
      <c r="I255" s="32"/>
      <c r="J255" s="31"/>
      <c r="K255" s="34"/>
      <c r="L255" s="33"/>
      <c r="M255" s="32"/>
      <c r="N255" s="33"/>
      <c r="O255" s="33"/>
      <c r="P255" s="33"/>
      <c r="Q255" s="30"/>
      <c r="R255" s="31"/>
      <c r="S255" s="30"/>
      <c r="T255" s="31"/>
      <c r="V255" s="30"/>
      <c r="W255" s="30"/>
      <c r="X255" s="31"/>
      <c r="Y255" s="30"/>
      <c r="Z255" s="30"/>
      <c r="AA255" s="40"/>
      <c r="AB255" s="30"/>
      <c r="AC255" s="31"/>
    </row>
    <row r="256" spans="2:29" x14ac:dyDescent="0.4">
      <c r="B256" s="30">
        <f t="shared" si="0"/>
        <v>252</v>
      </c>
      <c r="C256" s="30"/>
      <c r="D256" s="30"/>
      <c r="E256" s="30"/>
      <c r="F256" s="30"/>
      <c r="G256" s="32"/>
      <c r="H256" s="33"/>
      <c r="I256" s="32"/>
      <c r="J256" s="31"/>
      <c r="K256" s="34"/>
      <c r="L256" s="33"/>
      <c r="M256" s="32"/>
      <c r="N256" s="33"/>
      <c r="O256" s="33"/>
      <c r="P256" s="33"/>
      <c r="Q256" s="30"/>
      <c r="R256" s="31"/>
      <c r="S256" s="30"/>
      <c r="T256" s="31"/>
      <c r="V256" s="30"/>
      <c r="W256" s="30"/>
      <c r="X256" s="31"/>
      <c r="Y256" s="30"/>
      <c r="Z256" s="30"/>
      <c r="AA256" s="40"/>
      <c r="AB256" s="30"/>
      <c r="AC256" s="31"/>
    </row>
    <row r="257" spans="2:29" x14ac:dyDescent="0.4">
      <c r="B257" s="30">
        <f t="shared" si="0"/>
        <v>253</v>
      </c>
      <c r="C257" s="30"/>
      <c r="D257" s="30"/>
      <c r="E257" s="30"/>
      <c r="F257" s="30"/>
      <c r="G257" s="32"/>
      <c r="H257" s="33"/>
      <c r="I257" s="32"/>
      <c r="J257" s="31"/>
      <c r="K257" s="34"/>
      <c r="L257" s="33"/>
      <c r="M257" s="32"/>
      <c r="N257" s="33"/>
      <c r="O257" s="33"/>
      <c r="P257" s="33"/>
      <c r="Q257" s="30"/>
      <c r="R257" s="31"/>
      <c r="S257" s="30"/>
      <c r="T257" s="31"/>
      <c r="V257" s="30"/>
      <c r="W257" s="30"/>
      <c r="X257" s="31"/>
      <c r="Y257" s="30"/>
      <c r="Z257" s="30"/>
      <c r="AA257" s="40"/>
      <c r="AB257" s="30"/>
      <c r="AC257" s="31"/>
    </row>
    <row r="258" spans="2:29" x14ac:dyDescent="0.4">
      <c r="B258" s="30">
        <f t="shared" si="0"/>
        <v>254</v>
      </c>
      <c r="C258" s="30"/>
      <c r="D258" s="30"/>
      <c r="E258" s="30"/>
      <c r="F258" s="30"/>
      <c r="G258" s="32"/>
      <c r="H258" s="33"/>
      <c r="I258" s="32"/>
      <c r="J258" s="31"/>
      <c r="K258" s="34"/>
      <c r="L258" s="33"/>
      <c r="M258" s="32"/>
      <c r="N258" s="33"/>
      <c r="O258" s="33"/>
      <c r="P258" s="33"/>
      <c r="Q258" s="30"/>
      <c r="R258" s="31"/>
      <c r="S258" s="30"/>
      <c r="T258" s="31"/>
      <c r="V258" s="30"/>
      <c r="W258" s="30"/>
      <c r="X258" s="31"/>
      <c r="Y258" s="30"/>
      <c r="Z258" s="30"/>
      <c r="AA258" s="40"/>
      <c r="AB258" s="30"/>
      <c r="AC258" s="31"/>
    </row>
    <row r="259" spans="2:29" x14ac:dyDescent="0.4">
      <c r="B259" s="30">
        <f t="shared" si="0"/>
        <v>255</v>
      </c>
      <c r="C259" s="30"/>
      <c r="D259" s="30"/>
      <c r="E259" s="30"/>
      <c r="F259" s="30"/>
      <c r="G259" s="32"/>
      <c r="H259" s="33"/>
      <c r="I259" s="32"/>
      <c r="J259" s="31"/>
      <c r="K259" s="34"/>
      <c r="L259" s="33"/>
      <c r="M259" s="32"/>
      <c r="N259" s="33"/>
      <c r="O259" s="33"/>
      <c r="P259" s="33"/>
      <c r="Q259" s="30"/>
      <c r="R259" s="31"/>
      <c r="S259" s="30"/>
      <c r="T259" s="31"/>
      <c r="V259" s="30"/>
      <c r="W259" s="30"/>
      <c r="X259" s="31"/>
      <c r="Y259" s="30"/>
      <c r="Z259" s="30"/>
      <c r="AA259" s="40"/>
      <c r="AB259" s="30"/>
      <c r="AC259" s="31"/>
    </row>
    <row r="260" spans="2:29" x14ac:dyDescent="0.4">
      <c r="B260" s="30">
        <f t="shared" ref="B260:B304" si="3">ROW()-4</f>
        <v>256</v>
      </c>
      <c r="C260" s="30"/>
      <c r="D260" s="30"/>
      <c r="E260" s="30"/>
      <c r="F260" s="30"/>
      <c r="G260" s="32"/>
      <c r="H260" s="33"/>
      <c r="I260" s="32"/>
      <c r="J260" s="31"/>
      <c r="K260" s="34"/>
      <c r="L260" s="33"/>
      <c r="M260" s="32"/>
      <c r="N260" s="33"/>
      <c r="O260" s="33"/>
      <c r="P260" s="33"/>
      <c r="Q260" s="30"/>
      <c r="R260" s="31"/>
      <c r="S260" s="30"/>
      <c r="T260" s="31"/>
      <c r="V260" s="30"/>
      <c r="W260" s="30"/>
      <c r="X260" s="31"/>
      <c r="Y260" s="30"/>
      <c r="Z260" s="30"/>
      <c r="AA260" s="40"/>
      <c r="AB260" s="30"/>
      <c r="AC260" s="31"/>
    </row>
    <row r="261" spans="2:29" x14ac:dyDescent="0.4">
      <c r="B261" s="30">
        <f t="shared" si="3"/>
        <v>257</v>
      </c>
      <c r="C261" s="30"/>
      <c r="D261" s="30"/>
      <c r="E261" s="30"/>
      <c r="F261" s="30"/>
      <c r="G261" s="32"/>
      <c r="H261" s="33"/>
      <c r="I261" s="32"/>
      <c r="J261" s="31"/>
      <c r="K261" s="34"/>
      <c r="L261" s="33"/>
      <c r="M261" s="32"/>
      <c r="N261" s="33"/>
      <c r="O261" s="33"/>
      <c r="P261" s="33"/>
      <c r="Q261" s="30"/>
      <c r="R261" s="31"/>
      <c r="S261" s="30"/>
      <c r="T261" s="31"/>
      <c r="V261" s="30"/>
      <c r="W261" s="30"/>
      <c r="X261" s="31"/>
      <c r="Y261" s="30"/>
      <c r="Z261" s="30"/>
      <c r="AA261" s="40"/>
      <c r="AB261" s="30"/>
      <c r="AC261" s="31"/>
    </row>
    <row r="262" spans="2:29" x14ac:dyDescent="0.4">
      <c r="B262" s="30">
        <f t="shared" si="3"/>
        <v>258</v>
      </c>
      <c r="C262" s="30"/>
      <c r="D262" s="30"/>
      <c r="E262" s="30"/>
      <c r="F262" s="30"/>
      <c r="G262" s="32"/>
      <c r="H262" s="33"/>
      <c r="I262" s="32"/>
      <c r="J262" s="31"/>
      <c r="K262" s="34"/>
      <c r="L262" s="33"/>
      <c r="M262" s="32"/>
      <c r="N262" s="33"/>
      <c r="O262" s="33"/>
      <c r="P262" s="33"/>
      <c r="Q262" s="30"/>
      <c r="R262" s="31"/>
      <c r="S262" s="30"/>
      <c r="T262" s="31"/>
      <c r="V262" s="30"/>
      <c r="W262" s="30"/>
      <c r="X262" s="31"/>
      <c r="Y262" s="30"/>
      <c r="Z262" s="30"/>
      <c r="AA262" s="40"/>
      <c r="AB262" s="30"/>
      <c r="AC262" s="31"/>
    </row>
    <row r="263" spans="2:29" x14ac:dyDescent="0.4">
      <c r="B263" s="30">
        <f t="shared" si="3"/>
        <v>259</v>
      </c>
      <c r="C263" s="30"/>
      <c r="D263" s="30"/>
      <c r="E263" s="30"/>
      <c r="F263" s="30"/>
      <c r="G263" s="32"/>
      <c r="H263" s="33"/>
      <c r="I263" s="32"/>
      <c r="J263" s="31"/>
      <c r="K263" s="34"/>
      <c r="L263" s="33"/>
      <c r="M263" s="32"/>
      <c r="N263" s="33"/>
      <c r="O263" s="33"/>
      <c r="P263" s="33"/>
      <c r="Q263" s="30"/>
      <c r="R263" s="31"/>
      <c r="S263" s="30"/>
      <c r="T263" s="31"/>
      <c r="V263" s="30"/>
      <c r="W263" s="30"/>
      <c r="X263" s="31"/>
      <c r="Y263" s="30"/>
      <c r="Z263" s="30"/>
      <c r="AA263" s="40"/>
      <c r="AB263" s="30"/>
      <c r="AC263" s="31"/>
    </row>
    <row r="264" spans="2:29" x14ac:dyDescent="0.4">
      <c r="B264" s="30">
        <f t="shared" si="3"/>
        <v>260</v>
      </c>
      <c r="C264" s="30"/>
      <c r="D264" s="30"/>
      <c r="E264" s="30"/>
      <c r="F264" s="30"/>
      <c r="G264" s="32"/>
      <c r="H264" s="33"/>
      <c r="I264" s="32"/>
      <c r="J264" s="31"/>
      <c r="K264" s="34"/>
      <c r="L264" s="33"/>
      <c r="M264" s="32"/>
      <c r="N264" s="33"/>
      <c r="O264" s="33"/>
      <c r="P264" s="33"/>
      <c r="Q264" s="30"/>
      <c r="R264" s="31"/>
      <c r="S264" s="30"/>
      <c r="T264" s="31"/>
      <c r="V264" s="30"/>
      <c r="W264" s="30"/>
      <c r="X264" s="31"/>
      <c r="Y264" s="30"/>
      <c r="Z264" s="30"/>
      <c r="AA264" s="40"/>
      <c r="AB264" s="30"/>
      <c r="AC264" s="31"/>
    </row>
    <row r="265" spans="2:29" x14ac:dyDescent="0.4">
      <c r="B265" s="30">
        <f t="shared" si="3"/>
        <v>261</v>
      </c>
      <c r="C265" s="30"/>
      <c r="D265" s="30"/>
      <c r="E265" s="30"/>
      <c r="F265" s="30"/>
      <c r="G265" s="32"/>
      <c r="H265" s="33"/>
      <c r="I265" s="32"/>
      <c r="J265" s="31"/>
      <c r="K265" s="34"/>
      <c r="L265" s="33"/>
      <c r="M265" s="32"/>
      <c r="N265" s="33"/>
      <c r="O265" s="33"/>
      <c r="P265" s="33"/>
      <c r="Q265" s="30"/>
      <c r="R265" s="31"/>
      <c r="S265" s="30"/>
      <c r="T265" s="31"/>
      <c r="V265" s="30"/>
      <c r="W265" s="30"/>
      <c r="X265" s="31"/>
      <c r="Y265" s="30"/>
      <c r="Z265" s="30"/>
      <c r="AA265" s="40"/>
      <c r="AB265" s="30"/>
      <c r="AC265" s="31"/>
    </row>
    <row r="266" spans="2:29" x14ac:dyDescent="0.4">
      <c r="B266" s="30">
        <f t="shared" si="3"/>
        <v>262</v>
      </c>
      <c r="C266" s="30"/>
      <c r="D266" s="30"/>
      <c r="E266" s="30"/>
      <c r="F266" s="30"/>
      <c r="G266" s="32"/>
      <c r="H266" s="33"/>
      <c r="I266" s="32"/>
      <c r="J266" s="31"/>
      <c r="K266" s="34"/>
      <c r="L266" s="33"/>
      <c r="M266" s="32"/>
      <c r="N266" s="33"/>
      <c r="O266" s="33"/>
      <c r="P266" s="33"/>
      <c r="Q266" s="30"/>
      <c r="R266" s="31"/>
      <c r="S266" s="30"/>
      <c r="T266" s="31"/>
      <c r="V266" s="30"/>
      <c r="W266" s="30"/>
      <c r="X266" s="31"/>
      <c r="Y266" s="30"/>
      <c r="Z266" s="30"/>
      <c r="AA266" s="40"/>
      <c r="AB266" s="30"/>
      <c r="AC266" s="31"/>
    </row>
    <row r="267" spans="2:29" x14ac:dyDescent="0.4">
      <c r="B267" s="30">
        <f t="shared" si="3"/>
        <v>263</v>
      </c>
      <c r="C267" s="30"/>
      <c r="D267" s="30"/>
      <c r="E267" s="30"/>
      <c r="F267" s="30"/>
      <c r="G267" s="32"/>
      <c r="H267" s="33"/>
      <c r="I267" s="32"/>
      <c r="J267" s="31"/>
      <c r="K267" s="34"/>
      <c r="L267" s="33"/>
      <c r="M267" s="32"/>
      <c r="N267" s="33"/>
      <c r="O267" s="33"/>
      <c r="P267" s="33"/>
      <c r="Q267" s="30"/>
      <c r="R267" s="31"/>
      <c r="S267" s="30"/>
      <c r="T267" s="31"/>
      <c r="V267" s="30"/>
      <c r="W267" s="30"/>
      <c r="X267" s="31"/>
      <c r="Y267" s="30"/>
      <c r="Z267" s="30"/>
      <c r="AA267" s="40"/>
      <c r="AB267" s="30"/>
      <c r="AC267" s="31"/>
    </row>
    <row r="268" spans="2:29" x14ac:dyDescent="0.4">
      <c r="B268" s="30">
        <f t="shared" si="3"/>
        <v>264</v>
      </c>
      <c r="C268" s="30"/>
      <c r="D268" s="30"/>
      <c r="E268" s="30"/>
      <c r="F268" s="30"/>
      <c r="G268" s="32"/>
      <c r="H268" s="33"/>
      <c r="I268" s="32"/>
      <c r="J268" s="31"/>
      <c r="K268" s="34"/>
      <c r="L268" s="33"/>
      <c r="M268" s="32"/>
      <c r="N268" s="33"/>
      <c r="O268" s="33"/>
      <c r="P268" s="33"/>
      <c r="Q268" s="30"/>
      <c r="R268" s="31"/>
      <c r="S268" s="30"/>
      <c r="T268" s="31"/>
      <c r="V268" s="30"/>
      <c r="W268" s="30"/>
      <c r="X268" s="31"/>
      <c r="Y268" s="30"/>
      <c r="Z268" s="30"/>
      <c r="AA268" s="40"/>
      <c r="AB268" s="30"/>
      <c r="AC268" s="31"/>
    </row>
    <row r="269" spans="2:29" x14ac:dyDescent="0.4">
      <c r="B269" s="30">
        <f t="shared" si="3"/>
        <v>265</v>
      </c>
      <c r="C269" s="30"/>
      <c r="D269" s="30"/>
      <c r="E269" s="30"/>
      <c r="F269" s="30"/>
      <c r="G269" s="32"/>
      <c r="H269" s="33"/>
      <c r="I269" s="32"/>
      <c r="J269" s="31"/>
      <c r="K269" s="34"/>
      <c r="L269" s="33"/>
      <c r="M269" s="32"/>
      <c r="N269" s="33"/>
      <c r="O269" s="33"/>
      <c r="P269" s="33"/>
      <c r="Q269" s="30"/>
      <c r="R269" s="31"/>
      <c r="S269" s="30"/>
      <c r="T269" s="31"/>
      <c r="V269" s="30"/>
      <c r="W269" s="30"/>
      <c r="X269" s="31"/>
      <c r="Y269" s="30"/>
      <c r="Z269" s="30"/>
      <c r="AA269" s="40"/>
      <c r="AB269" s="30"/>
      <c r="AC269" s="31"/>
    </row>
    <row r="270" spans="2:29" x14ac:dyDescent="0.4">
      <c r="B270" s="30">
        <f t="shared" si="3"/>
        <v>266</v>
      </c>
      <c r="C270" s="30"/>
      <c r="D270" s="30"/>
      <c r="E270" s="30"/>
      <c r="F270" s="30"/>
      <c r="G270" s="32"/>
      <c r="H270" s="33"/>
      <c r="I270" s="32"/>
      <c r="J270" s="31"/>
      <c r="K270" s="34"/>
      <c r="L270" s="33"/>
      <c r="M270" s="32"/>
      <c r="N270" s="33"/>
      <c r="O270" s="33"/>
      <c r="P270" s="33"/>
      <c r="Q270" s="30"/>
      <c r="R270" s="31"/>
      <c r="S270" s="30"/>
      <c r="T270" s="31"/>
      <c r="V270" s="30"/>
      <c r="W270" s="30"/>
      <c r="X270" s="31"/>
      <c r="Y270" s="30"/>
      <c r="Z270" s="30"/>
      <c r="AA270" s="40"/>
      <c r="AB270" s="30"/>
      <c r="AC270" s="31"/>
    </row>
    <row r="271" spans="2:29" x14ac:dyDescent="0.4">
      <c r="B271" s="30">
        <f t="shared" si="3"/>
        <v>267</v>
      </c>
      <c r="C271" s="30"/>
      <c r="D271" s="30"/>
      <c r="E271" s="30"/>
      <c r="F271" s="30"/>
      <c r="G271" s="32"/>
      <c r="H271" s="33"/>
      <c r="I271" s="32"/>
      <c r="J271" s="31"/>
      <c r="K271" s="34"/>
      <c r="L271" s="33"/>
      <c r="M271" s="32"/>
      <c r="N271" s="33"/>
      <c r="O271" s="33"/>
      <c r="P271" s="33"/>
      <c r="Q271" s="30"/>
      <c r="R271" s="31"/>
      <c r="S271" s="30"/>
      <c r="T271" s="31"/>
      <c r="V271" s="30"/>
      <c r="W271" s="30"/>
      <c r="X271" s="31"/>
      <c r="Y271" s="30"/>
      <c r="Z271" s="30"/>
      <c r="AA271" s="40"/>
      <c r="AB271" s="30"/>
      <c r="AC271" s="31"/>
    </row>
    <row r="272" spans="2:29" x14ac:dyDescent="0.4">
      <c r="B272" s="30">
        <f t="shared" si="3"/>
        <v>268</v>
      </c>
      <c r="C272" s="30"/>
      <c r="D272" s="30"/>
      <c r="E272" s="30"/>
      <c r="F272" s="30"/>
      <c r="G272" s="32"/>
      <c r="H272" s="33"/>
      <c r="I272" s="32"/>
      <c r="J272" s="31"/>
      <c r="K272" s="34"/>
      <c r="L272" s="33"/>
      <c r="M272" s="32"/>
      <c r="N272" s="33"/>
      <c r="O272" s="33"/>
      <c r="P272" s="33"/>
      <c r="Q272" s="30"/>
      <c r="R272" s="31"/>
      <c r="S272" s="30"/>
      <c r="T272" s="31"/>
      <c r="V272" s="30"/>
      <c r="W272" s="30"/>
      <c r="X272" s="31"/>
      <c r="Y272" s="30"/>
      <c r="Z272" s="30"/>
      <c r="AA272" s="40"/>
      <c r="AB272" s="30"/>
      <c r="AC272" s="31"/>
    </row>
    <row r="273" spans="2:29" x14ac:dyDescent="0.4">
      <c r="B273" s="30">
        <f t="shared" si="3"/>
        <v>269</v>
      </c>
      <c r="C273" s="30"/>
      <c r="D273" s="30"/>
      <c r="E273" s="30"/>
      <c r="F273" s="30"/>
      <c r="G273" s="32"/>
      <c r="H273" s="33"/>
      <c r="I273" s="32"/>
      <c r="J273" s="31"/>
      <c r="K273" s="34"/>
      <c r="L273" s="33"/>
      <c r="M273" s="32"/>
      <c r="N273" s="33"/>
      <c r="O273" s="33"/>
      <c r="P273" s="33"/>
      <c r="Q273" s="30"/>
      <c r="R273" s="31"/>
      <c r="S273" s="30"/>
      <c r="T273" s="31"/>
      <c r="V273" s="30"/>
      <c r="W273" s="30"/>
      <c r="X273" s="31"/>
      <c r="Y273" s="30"/>
      <c r="Z273" s="30"/>
      <c r="AA273" s="40"/>
      <c r="AB273" s="30"/>
      <c r="AC273" s="31"/>
    </row>
    <row r="274" spans="2:29" x14ac:dyDescent="0.4">
      <c r="B274" s="30">
        <f t="shared" si="3"/>
        <v>270</v>
      </c>
      <c r="C274" s="30"/>
      <c r="D274" s="30"/>
      <c r="E274" s="30"/>
      <c r="F274" s="30"/>
      <c r="G274" s="32"/>
      <c r="H274" s="33"/>
      <c r="I274" s="32"/>
      <c r="J274" s="31"/>
      <c r="K274" s="34"/>
      <c r="L274" s="33"/>
      <c r="M274" s="32"/>
      <c r="N274" s="33"/>
      <c r="O274" s="33"/>
      <c r="P274" s="33"/>
      <c r="Q274" s="30"/>
      <c r="R274" s="31"/>
      <c r="S274" s="30"/>
      <c r="T274" s="31"/>
      <c r="V274" s="30"/>
      <c r="W274" s="30"/>
      <c r="X274" s="31"/>
      <c r="Y274" s="30"/>
      <c r="Z274" s="30"/>
      <c r="AA274" s="40"/>
      <c r="AB274" s="30"/>
      <c r="AC274" s="31"/>
    </row>
    <row r="275" spans="2:29" x14ac:dyDescent="0.4">
      <c r="B275" s="30">
        <f t="shared" si="3"/>
        <v>271</v>
      </c>
      <c r="C275" s="30"/>
      <c r="D275" s="30"/>
      <c r="E275" s="30"/>
      <c r="F275" s="30"/>
      <c r="G275" s="32"/>
      <c r="H275" s="33"/>
      <c r="I275" s="32"/>
      <c r="J275" s="31"/>
      <c r="K275" s="34"/>
      <c r="L275" s="33"/>
      <c r="M275" s="32"/>
      <c r="N275" s="33"/>
      <c r="O275" s="33"/>
      <c r="P275" s="33"/>
      <c r="Q275" s="30"/>
      <c r="R275" s="31"/>
      <c r="S275" s="30"/>
      <c r="T275" s="31"/>
      <c r="V275" s="30"/>
      <c r="W275" s="30"/>
      <c r="X275" s="31"/>
      <c r="Y275" s="30"/>
      <c r="Z275" s="30"/>
      <c r="AA275" s="40"/>
      <c r="AB275" s="30"/>
      <c r="AC275" s="31"/>
    </row>
    <row r="276" spans="2:29" x14ac:dyDescent="0.4">
      <c r="B276" s="30">
        <f t="shared" si="3"/>
        <v>272</v>
      </c>
      <c r="C276" s="30"/>
      <c r="D276" s="30"/>
      <c r="E276" s="30"/>
      <c r="F276" s="30"/>
      <c r="G276" s="32"/>
      <c r="H276" s="33"/>
      <c r="I276" s="32"/>
      <c r="J276" s="31"/>
      <c r="K276" s="34"/>
      <c r="L276" s="33"/>
      <c r="M276" s="32"/>
      <c r="N276" s="33"/>
      <c r="O276" s="33"/>
      <c r="P276" s="33"/>
      <c r="Q276" s="30"/>
      <c r="R276" s="31"/>
      <c r="S276" s="30"/>
      <c r="T276" s="31"/>
      <c r="V276" s="30"/>
      <c r="W276" s="30"/>
      <c r="X276" s="31"/>
      <c r="Y276" s="30"/>
      <c r="Z276" s="30"/>
      <c r="AA276" s="40"/>
      <c r="AB276" s="30"/>
      <c r="AC276" s="31"/>
    </row>
    <row r="277" spans="2:29" x14ac:dyDescent="0.4">
      <c r="B277" s="30">
        <f t="shared" si="3"/>
        <v>273</v>
      </c>
      <c r="C277" s="30"/>
      <c r="D277" s="30"/>
      <c r="E277" s="30"/>
      <c r="F277" s="30"/>
      <c r="G277" s="32"/>
      <c r="H277" s="33"/>
      <c r="I277" s="32"/>
      <c r="J277" s="31"/>
      <c r="K277" s="34"/>
      <c r="L277" s="33"/>
      <c r="M277" s="32"/>
      <c r="N277" s="33"/>
      <c r="O277" s="33"/>
      <c r="P277" s="33"/>
      <c r="Q277" s="30"/>
      <c r="R277" s="31"/>
      <c r="S277" s="30"/>
      <c r="T277" s="31"/>
      <c r="V277" s="30"/>
      <c r="W277" s="30"/>
      <c r="X277" s="31"/>
      <c r="Y277" s="30"/>
      <c r="Z277" s="30"/>
      <c r="AA277" s="40"/>
      <c r="AB277" s="30"/>
      <c r="AC277" s="31"/>
    </row>
    <row r="278" spans="2:29" x14ac:dyDescent="0.4">
      <c r="B278" s="30">
        <f t="shared" si="3"/>
        <v>274</v>
      </c>
      <c r="C278" s="30"/>
      <c r="D278" s="30"/>
      <c r="E278" s="30"/>
      <c r="F278" s="30"/>
      <c r="G278" s="32"/>
      <c r="H278" s="33"/>
      <c r="I278" s="32"/>
      <c r="J278" s="31"/>
      <c r="K278" s="34"/>
      <c r="L278" s="33"/>
      <c r="M278" s="32"/>
      <c r="N278" s="33"/>
      <c r="O278" s="33"/>
      <c r="P278" s="33"/>
      <c r="Q278" s="30"/>
      <c r="R278" s="31"/>
      <c r="S278" s="30"/>
      <c r="T278" s="31"/>
      <c r="V278" s="30"/>
      <c r="W278" s="30"/>
      <c r="X278" s="31"/>
      <c r="Y278" s="30"/>
      <c r="Z278" s="30"/>
      <c r="AA278" s="40"/>
      <c r="AB278" s="30"/>
      <c r="AC278" s="31"/>
    </row>
    <row r="279" spans="2:29" x14ac:dyDescent="0.4">
      <c r="B279" s="30">
        <f t="shared" si="3"/>
        <v>275</v>
      </c>
      <c r="C279" s="30"/>
      <c r="D279" s="30"/>
      <c r="E279" s="30"/>
      <c r="F279" s="30"/>
      <c r="G279" s="32"/>
      <c r="H279" s="33"/>
      <c r="I279" s="32"/>
      <c r="J279" s="31"/>
      <c r="K279" s="34"/>
      <c r="L279" s="33"/>
      <c r="M279" s="32"/>
      <c r="N279" s="33"/>
      <c r="O279" s="33"/>
      <c r="P279" s="33"/>
      <c r="Q279" s="30"/>
      <c r="R279" s="31"/>
      <c r="S279" s="30"/>
      <c r="T279" s="31"/>
      <c r="V279" s="30"/>
      <c r="W279" s="30"/>
      <c r="X279" s="31"/>
      <c r="Y279" s="30"/>
      <c r="Z279" s="30"/>
      <c r="AA279" s="40"/>
      <c r="AB279" s="30"/>
      <c r="AC279" s="31"/>
    </row>
    <row r="280" spans="2:29" x14ac:dyDescent="0.4">
      <c r="B280" s="30">
        <f t="shared" si="3"/>
        <v>276</v>
      </c>
      <c r="C280" s="30"/>
      <c r="D280" s="30"/>
      <c r="E280" s="30"/>
      <c r="F280" s="30"/>
      <c r="G280" s="32"/>
      <c r="H280" s="33"/>
      <c r="I280" s="32"/>
      <c r="J280" s="31"/>
      <c r="K280" s="34"/>
      <c r="L280" s="33"/>
      <c r="M280" s="32"/>
      <c r="N280" s="33"/>
      <c r="O280" s="33"/>
      <c r="P280" s="33"/>
      <c r="Q280" s="30"/>
      <c r="R280" s="31"/>
      <c r="S280" s="30"/>
      <c r="T280" s="31"/>
      <c r="V280" s="30"/>
      <c r="W280" s="30"/>
      <c r="X280" s="31"/>
      <c r="Y280" s="30"/>
      <c r="Z280" s="30"/>
      <c r="AA280" s="40"/>
      <c r="AB280" s="30"/>
      <c r="AC280" s="31"/>
    </row>
    <row r="281" spans="2:29" x14ac:dyDescent="0.4">
      <c r="B281" s="30">
        <f t="shared" si="3"/>
        <v>277</v>
      </c>
      <c r="C281" s="30"/>
      <c r="D281" s="30"/>
      <c r="E281" s="30"/>
      <c r="F281" s="30"/>
      <c r="G281" s="32"/>
      <c r="H281" s="33"/>
      <c r="I281" s="32"/>
      <c r="J281" s="31"/>
      <c r="K281" s="34"/>
      <c r="L281" s="33"/>
      <c r="M281" s="32"/>
      <c r="N281" s="33"/>
      <c r="O281" s="33"/>
      <c r="P281" s="33"/>
      <c r="Q281" s="30"/>
      <c r="R281" s="31"/>
      <c r="S281" s="30"/>
      <c r="T281" s="31"/>
      <c r="V281" s="30"/>
      <c r="W281" s="30"/>
      <c r="X281" s="31"/>
      <c r="Y281" s="30"/>
      <c r="Z281" s="30"/>
      <c r="AA281" s="40"/>
      <c r="AB281" s="30"/>
      <c r="AC281" s="31"/>
    </row>
    <row r="282" spans="2:29" x14ac:dyDescent="0.4">
      <c r="B282" s="30">
        <f t="shared" si="3"/>
        <v>278</v>
      </c>
      <c r="C282" s="30"/>
      <c r="D282" s="30"/>
      <c r="E282" s="30"/>
      <c r="F282" s="30"/>
      <c r="G282" s="32"/>
      <c r="H282" s="33"/>
      <c r="I282" s="32"/>
      <c r="J282" s="31"/>
      <c r="K282" s="34"/>
      <c r="L282" s="33"/>
      <c r="M282" s="32"/>
      <c r="N282" s="33"/>
      <c r="O282" s="33"/>
      <c r="P282" s="33"/>
      <c r="Q282" s="30"/>
      <c r="R282" s="31"/>
      <c r="S282" s="30"/>
      <c r="T282" s="31"/>
      <c r="V282" s="30"/>
      <c r="W282" s="30"/>
      <c r="X282" s="31"/>
      <c r="Y282" s="30"/>
      <c r="Z282" s="30"/>
      <c r="AA282" s="40"/>
      <c r="AB282" s="30"/>
      <c r="AC282" s="31"/>
    </row>
    <row r="283" spans="2:29" x14ac:dyDescent="0.4">
      <c r="B283" s="30">
        <f t="shared" si="3"/>
        <v>279</v>
      </c>
      <c r="C283" s="30"/>
      <c r="D283" s="30"/>
      <c r="E283" s="30"/>
      <c r="F283" s="30"/>
      <c r="G283" s="32"/>
      <c r="H283" s="33"/>
      <c r="I283" s="32"/>
      <c r="J283" s="31"/>
      <c r="K283" s="34"/>
      <c r="L283" s="33"/>
      <c r="M283" s="32"/>
      <c r="N283" s="33"/>
      <c r="O283" s="33"/>
      <c r="P283" s="33"/>
      <c r="Q283" s="30"/>
      <c r="R283" s="31"/>
      <c r="S283" s="30"/>
      <c r="T283" s="31"/>
      <c r="V283" s="30"/>
      <c r="W283" s="30"/>
      <c r="X283" s="31"/>
      <c r="Y283" s="30"/>
      <c r="Z283" s="30"/>
      <c r="AA283" s="40"/>
      <c r="AB283" s="30"/>
      <c r="AC283" s="31"/>
    </row>
    <row r="284" spans="2:29" x14ac:dyDescent="0.4">
      <c r="B284" s="30">
        <f t="shared" si="3"/>
        <v>280</v>
      </c>
      <c r="C284" s="30"/>
      <c r="D284" s="30"/>
      <c r="E284" s="30"/>
      <c r="F284" s="30"/>
      <c r="G284" s="32"/>
      <c r="H284" s="33"/>
      <c r="I284" s="32"/>
      <c r="J284" s="31"/>
      <c r="K284" s="34"/>
      <c r="L284" s="33"/>
      <c r="M284" s="32"/>
      <c r="N284" s="33"/>
      <c r="O284" s="33"/>
      <c r="P284" s="33"/>
      <c r="Q284" s="30"/>
      <c r="R284" s="31"/>
      <c r="S284" s="30"/>
      <c r="T284" s="31"/>
      <c r="V284" s="30"/>
      <c r="W284" s="30"/>
      <c r="X284" s="31"/>
      <c r="Y284" s="30"/>
      <c r="Z284" s="30"/>
      <c r="AA284" s="40"/>
      <c r="AB284" s="30"/>
      <c r="AC284" s="31"/>
    </row>
    <row r="285" spans="2:29" x14ac:dyDescent="0.4">
      <c r="B285" s="30">
        <f t="shared" si="3"/>
        <v>281</v>
      </c>
      <c r="C285" s="30"/>
      <c r="D285" s="30"/>
      <c r="E285" s="30"/>
      <c r="F285" s="30"/>
      <c r="G285" s="32"/>
      <c r="H285" s="33"/>
      <c r="I285" s="32"/>
      <c r="J285" s="31"/>
      <c r="K285" s="34"/>
      <c r="L285" s="33"/>
      <c r="M285" s="32"/>
      <c r="N285" s="33"/>
      <c r="O285" s="33"/>
      <c r="P285" s="33"/>
      <c r="Q285" s="30"/>
      <c r="R285" s="31"/>
      <c r="S285" s="30"/>
      <c r="T285" s="31"/>
      <c r="V285" s="30"/>
      <c r="W285" s="30"/>
      <c r="X285" s="31"/>
      <c r="Y285" s="30"/>
      <c r="Z285" s="30"/>
      <c r="AA285" s="40"/>
      <c r="AB285" s="30"/>
      <c r="AC285" s="31"/>
    </row>
    <row r="286" spans="2:29" x14ac:dyDescent="0.4">
      <c r="B286" s="30">
        <f t="shared" si="3"/>
        <v>282</v>
      </c>
      <c r="C286" s="30"/>
      <c r="D286" s="30"/>
      <c r="E286" s="30"/>
      <c r="F286" s="30"/>
      <c r="G286" s="32"/>
      <c r="H286" s="33"/>
      <c r="I286" s="32"/>
      <c r="J286" s="31"/>
      <c r="K286" s="34"/>
      <c r="L286" s="33"/>
      <c r="M286" s="32"/>
      <c r="N286" s="33"/>
      <c r="O286" s="33"/>
      <c r="P286" s="33"/>
      <c r="Q286" s="30"/>
      <c r="R286" s="31"/>
      <c r="S286" s="30"/>
      <c r="T286" s="31"/>
      <c r="V286" s="30"/>
      <c r="W286" s="30"/>
      <c r="X286" s="31"/>
      <c r="Y286" s="30"/>
      <c r="Z286" s="30"/>
      <c r="AA286" s="40"/>
      <c r="AB286" s="30"/>
      <c r="AC286" s="31"/>
    </row>
    <row r="287" spans="2:29" x14ac:dyDescent="0.4">
      <c r="B287" s="30">
        <f t="shared" si="3"/>
        <v>283</v>
      </c>
      <c r="C287" s="30"/>
      <c r="D287" s="30"/>
      <c r="E287" s="30"/>
      <c r="F287" s="30"/>
      <c r="G287" s="32"/>
      <c r="H287" s="33"/>
      <c r="I287" s="32"/>
      <c r="J287" s="31"/>
      <c r="K287" s="34"/>
      <c r="L287" s="33"/>
      <c r="M287" s="32"/>
      <c r="N287" s="33"/>
      <c r="O287" s="33"/>
      <c r="P287" s="33"/>
      <c r="Q287" s="30"/>
      <c r="R287" s="31"/>
      <c r="S287" s="30"/>
      <c r="T287" s="31"/>
      <c r="V287" s="30"/>
      <c r="W287" s="30"/>
      <c r="X287" s="31"/>
      <c r="Y287" s="30"/>
      <c r="Z287" s="30"/>
      <c r="AA287" s="40"/>
      <c r="AB287" s="30"/>
      <c r="AC287" s="31"/>
    </row>
    <row r="288" spans="2:29" x14ac:dyDescent="0.4">
      <c r="B288" s="30">
        <f t="shared" si="3"/>
        <v>284</v>
      </c>
      <c r="C288" s="30"/>
      <c r="D288" s="30"/>
      <c r="E288" s="30"/>
      <c r="F288" s="30"/>
      <c r="G288" s="32"/>
      <c r="H288" s="33"/>
      <c r="I288" s="32"/>
      <c r="J288" s="31"/>
      <c r="K288" s="34"/>
      <c r="L288" s="33"/>
      <c r="M288" s="32"/>
      <c r="N288" s="33"/>
      <c r="O288" s="33"/>
      <c r="P288" s="33"/>
      <c r="Q288" s="30"/>
      <c r="R288" s="31"/>
      <c r="S288" s="30"/>
      <c r="T288" s="31"/>
      <c r="V288" s="30"/>
      <c r="W288" s="30"/>
      <c r="X288" s="31"/>
      <c r="Y288" s="30"/>
      <c r="Z288" s="30"/>
      <c r="AA288" s="40"/>
      <c r="AB288" s="30"/>
      <c r="AC288" s="31"/>
    </row>
    <row r="289" spans="2:29" x14ac:dyDescent="0.4">
      <c r="B289" s="30">
        <f t="shared" si="3"/>
        <v>285</v>
      </c>
      <c r="C289" s="30"/>
      <c r="D289" s="30"/>
      <c r="E289" s="30"/>
      <c r="F289" s="30"/>
      <c r="G289" s="32"/>
      <c r="H289" s="33"/>
      <c r="I289" s="32"/>
      <c r="J289" s="31"/>
      <c r="K289" s="34"/>
      <c r="L289" s="33"/>
      <c r="M289" s="32"/>
      <c r="N289" s="33"/>
      <c r="O289" s="33"/>
      <c r="P289" s="33"/>
      <c r="Q289" s="30"/>
      <c r="R289" s="31"/>
      <c r="S289" s="30"/>
      <c r="T289" s="31"/>
      <c r="V289" s="30"/>
      <c r="W289" s="30"/>
      <c r="X289" s="31"/>
      <c r="Y289" s="30"/>
      <c r="Z289" s="30"/>
      <c r="AA289" s="40"/>
      <c r="AB289" s="30"/>
      <c r="AC289" s="31"/>
    </row>
    <row r="290" spans="2:29" x14ac:dyDescent="0.4">
      <c r="B290" s="30">
        <f t="shared" si="3"/>
        <v>286</v>
      </c>
      <c r="C290" s="30"/>
      <c r="D290" s="30"/>
      <c r="E290" s="30"/>
      <c r="F290" s="30"/>
      <c r="G290" s="32"/>
      <c r="H290" s="33"/>
      <c r="I290" s="32"/>
      <c r="J290" s="31"/>
      <c r="K290" s="34"/>
      <c r="L290" s="33"/>
      <c r="M290" s="32"/>
      <c r="N290" s="33"/>
      <c r="O290" s="33"/>
      <c r="P290" s="33"/>
      <c r="Q290" s="30"/>
      <c r="R290" s="31"/>
      <c r="S290" s="30"/>
      <c r="T290" s="31"/>
      <c r="V290" s="30"/>
      <c r="W290" s="30"/>
      <c r="X290" s="31"/>
      <c r="Y290" s="30"/>
      <c r="Z290" s="30"/>
      <c r="AA290" s="40"/>
      <c r="AB290" s="30"/>
      <c r="AC290" s="31"/>
    </row>
    <row r="291" spans="2:29" x14ac:dyDescent="0.4">
      <c r="B291" s="30">
        <f t="shared" si="3"/>
        <v>287</v>
      </c>
      <c r="C291" s="30"/>
      <c r="D291" s="30"/>
      <c r="E291" s="30"/>
      <c r="F291" s="30"/>
      <c r="G291" s="32"/>
      <c r="H291" s="33"/>
      <c r="I291" s="32"/>
      <c r="J291" s="31"/>
      <c r="K291" s="34"/>
      <c r="L291" s="33"/>
      <c r="M291" s="32"/>
      <c r="N291" s="33"/>
      <c r="O291" s="33"/>
      <c r="P291" s="33"/>
      <c r="Q291" s="30"/>
      <c r="R291" s="31"/>
      <c r="S291" s="30"/>
      <c r="T291" s="31"/>
      <c r="V291" s="30"/>
      <c r="W291" s="30"/>
      <c r="X291" s="31"/>
      <c r="Y291" s="30"/>
      <c r="Z291" s="30"/>
      <c r="AA291" s="40"/>
      <c r="AB291" s="30"/>
      <c r="AC291" s="31"/>
    </row>
    <row r="292" spans="2:29" x14ac:dyDescent="0.4">
      <c r="B292" s="30">
        <f t="shared" si="3"/>
        <v>288</v>
      </c>
      <c r="C292" s="30"/>
      <c r="D292" s="30"/>
      <c r="E292" s="30"/>
      <c r="F292" s="30"/>
      <c r="G292" s="32"/>
      <c r="H292" s="33"/>
      <c r="I292" s="32"/>
      <c r="J292" s="31"/>
      <c r="K292" s="34"/>
      <c r="L292" s="33"/>
      <c r="M292" s="32"/>
      <c r="N292" s="33"/>
      <c r="O292" s="33"/>
      <c r="P292" s="33"/>
      <c r="Q292" s="30"/>
      <c r="R292" s="31"/>
      <c r="S292" s="30"/>
      <c r="T292" s="31"/>
      <c r="V292" s="30"/>
      <c r="W292" s="30"/>
      <c r="X292" s="31"/>
      <c r="Y292" s="30"/>
      <c r="Z292" s="30"/>
      <c r="AA292" s="40"/>
      <c r="AB292" s="30"/>
      <c r="AC292" s="31"/>
    </row>
    <row r="293" spans="2:29" x14ac:dyDescent="0.4">
      <c r="B293" s="30">
        <f t="shared" si="3"/>
        <v>289</v>
      </c>
      <c r="C293" s="30"/>
      <c r="D293" s="30"/>
      <c r="E293" s="30"/>
      <c r="F293" s="30"/>
      <c r="G293" s="32"/>
      <c r="H293" s="33"/>
      <c r="I293" s="32"/>
      <c r="J293" s="31"/>
      <c r="K293" s="34"/>
      <c r="L293" s="33"/>
      <c r="M293" s="32"/>
      <c r="N293" s="33"/>
      <c r="O293" s="33"/>
      <c r="P293" s="33"/>
      <c r="Q293" s="30"/>
      <c r="R293" s="31"/>
      <c r="S293" s="30"/>
      <c r="T293" s="31"/>
      <c r="V293" s="30"/>
      <c r="W293" s="30"/>
      <c r="X293" s="31"/>
      <c r="Y293" s="30"/>
      <c r="Z293" s="30"/>
      <c r="AA293" s="40"/>
      <c r="AB293" s="30"/>
      <c r="AC293" s="31"/>
    </row>
    <row r="294" spans="2:29" x14ac:dyDescent="0.4">
      <c r="B294" s="30">
        <f t="shared" si="3"/>
        <v>290</v>
      </c>
      <c r="C294" s="30"/>
      <c r="D294" s="30"/>
      <c r="E294" s="30"/>
      <c r="F294" s="30"/>
      <c r="G294" s="32"/>
      <c r="H294" s="33"/>
      <c r="I294" s="32"/>
      <c r="J294" s="31"/>
      <c r="K294" s="34"/>
      <c r="L294" s="33"/>
      <c r="M294" s="32"/>
      <c r="N294" s="33"/>
      <c r="O294" s="33"/>
      <c r="P294" s="33"/>
      <c r="Q294" s="30"/>
      <c r="R294" s="31"/>
      <c r="S294" s="30"/>
      <c r="T294" s="31"/>
      <c r="V294" s="30"/>
      <c r="W294" s="30"/>
      <c r="X294" s="31"/>
      <c r="Y294" s="30"/>
      <c r="Z294" s="30"/>
      <c r="AA294" s="40"/>
      <c r="AB294" s="30"/>
      <c r="AC294" s="31"/>
    </row>
    <row r="295" spans="2:29" x14ac:dyDescent="0.4">
      <c r="B295" s="30">
        <f t="shared" si="3"/>
        <v>291</v>
      </c>
      <c r="C295" s="30"/>
      <c r="D295" s="30"/>
      <c r="E295" s="30"/>
      <c r="F295" s="30"/>
      <c r="G295" s="32"/>
      <c r="H295" s="33"/>
      <c r="I295" s="32"/>
      <c r="J295" s="31"/>
      <c r="K295" s="34"/>
      <c r="L295" s="33"/>
      <c r="M295" s="32"/>
      <c r="N295" s="33"/>
      <c r="O295" s="33"/>
      <c r="P295" s="33"/>
      <c r="Q295" s="30"/>
      <c r="R295" s="31"/>
      <c r="S295" s="30"/>
      <c r="T295" s="31"/>
      <c r="V295" s="30"/>
      <c r="W295" s="30"/>
      <c r="X295" s="31"/>
      <c r="Y295" s="30"/>
      <c r="Z295" s="30"/>
      <c r="AA295" s="40"/>
      <c r="AB295" s="30"/>
      <c r="AC295" s="31"/>
    </row>
    <row r="296" spans="2:29" x14ac:dyDescent="0.4">
      <c r="B296" s="30">
        <f t="shared" si="3"/>
        <v>292</v>
      </c>
      <c r="C296" s="30"/>
      <c r="D296" s="30"/>
      <c r="E296" s="30"/>
      <c r="F296" s="30"/>
      <c r="G296" s="32"/>
      <c r="H296" s="33"/>
      <c r="I296" s="32"/>
      <c r="J296" s="31"/>
      <c r="K296" s="34"/>
      <c r="L296" s="33"/>
      <c r="M296" s="32"/>
      <c r="N296" s="33"/>
      <c r="O296" s="33"/>
      <c r="P296" s="33"/>
      <c r="Q296" s="30"/>
      <c r="R296" s="31"/>
      <c r="S296" s="30"/>
      <c r="T296" s="31"/>
      <c r="V296" s="30"/>
      <c r="W296" s="30"/>
      <c r="X296" s="31"/>
      <c r="Y296" s="30"/>
      <c r="Z296" s="30"/>
      <c r="AA296" s="40"/>
      <c r="AB296" s="30"/>
      <c r="AC296" s="31"/>
    </row>
    <row r="297" spans="2:29" x14ac:dyDescent="0.4">
      <c r="B297" s="30">
        <f t="shared" si="3"/>
        <v>293</v>
      </c>
      <c r="C297" s="30"/>
      <c r="D297" s="30"/>
      <c r="E297" s="30"/>
      <c r="F297" s="30"/>
      <c r="G297" s="32"/>
      <c r="H297" s="33"/>
      <c r="I297" s="32"/>
      <c r="J297" s="31"/>
      <c r="K297" s="34"/>
      <c r="L297" s="33"/>
      <c r="M297" s="32"/>
      <c r="N297" s="33"/>
      <c r="O297" s="33"/>
      <c r="P297" s="33"/>
      <c r="Q297" s="30"/>
      <c r="R297" s="31"/>
      <c r="S297" s="30"/>
      <c r="T297" s="31"/>
      <c r="V297" s="30"/>
      <c r="W297" s="30"/>
      <c r="X297" s="31"/>
      <c r="Y297" s="30"/>
      <c r="Z297" s="30"/>
      <c r="AA297" s="40"/>
      <c r="AB297" s="30"/>
      <c r="AC297" s="31"/>
    </row>
    <row r="298" spans="2:29" x14ac:dyDescent="0.4">
      <c r="B298" s="30">
        <f t="shared" si="3"/>
        <v>294</v>
      </c>
      <c r="C298" s="30"/>
      <c r="D298" s="30"/>
      <c r="E298" s="30"/>
      <c r="F298" s="30"/>
      <c r="G298" s="32"/>
      <c r="H298" s="33"/>
      <c r="I298" s="32"/>
      <c r="J298" s="31"/>
      <c r="K298" s="34"/>
      <c r="L298" s="33"/>
      <c r="M298" s="32"/>
      <c r="N298" s="33"/>
      <c r="O298" s="33"/>
      <c r="P298" s="33"/>
      <c r="Q298" s="30"/>
      <c r="R298" s="31"/>
      <c r="S298" s="30"/>
      <c r="T298" s="31"/>
      <c r="V298" s="30"/>
      <c r="W298" s="30"/>
      <c r="X298" s="31"/>
      <c r="Y298" s="30"/>
      <c r="Z298" s="30"/>
      <c r="AA298" s="40"/>
      <c r="AB298" s="30"/>
      <c r="AC298" s="31"/>
    </row>
    <row r="299" spans="2:29" x14ac:dyDescent="0.4">
      <c r="B299" s="30">
        <f t="shared" si="3"/>
        <v>295</v>
      </c>
      <c r="C299" s="30"/>
      <c r="D299" s="30"/>
      <c r="E299" s="30"/>
      <c r="F299" s="30"/>
      <c r="G299" s="32"/>
      <c r="H299" s="33"/>
      <c r="I299" s="32"/>
      <c r="J299" s="31"/>
      <c r="K299" s="34"/>
      <c r="L299" s="33"/>
      <c r="M299" s="32"/>
      <c r="N299" s="33"/>
      <c r="O299" s="33"/>
      <c r="P299" s="33"/>
      <c r="Q299" s="30"/>
      <c r="R299" s="31"/>
      <c r="S299" s="30"/>
      <c r="T299" s="31"/>
      <c r="V299" s="30"/>
      <c r="W299" s="30"/>
      <c r="X299" s="31"/>
      <c r="Y299" s="30"/>
      <c r="Z299" s="30"/>
      <c r="AA299" s="40"/>
      <c r="AB299" s="30"/>
      <c r="AC299" s="31"/>
    </row>
    <row r="300" spans="2:29" x14ac:dyDescent="0.4">
      <c r="B300" s="30">
        <f t="shared" si="3"/>
        <v>296</v>
      </c>
      <c r="C300" s="30"/>
      <c r="D300" s="30"/>
      <c r="E300" s="30"/>
      <c r="F300" s="30"/>
      <c r="G300" s="32"/>
      <c r="H300" s="33"/>
      <c r="I300" s="32"/>
      <c r="J300" s="31"/>
      <c r="K300" s="34"/>
      <c r="L300" s="33"/>
      <c r="M300" s="32"/>
      <c r="N300" s="33"/>
      <c r="O300" s="33"/>
      <c r="P300" s="33"/>
      <c r="Q300" s="30"/>
      <c r="R300" s="31"/>
      <c r="S300" s="30"/>
      <c r="T300" s="31"/>
      <c r="V300" s="30"/>
      <c r="W300" s="30"/>
      <c r="X300" s="31"/>
      <c r="Y300" s="30"/>
      <c r="Z300" s="30"/>
      <c r="AA300" s="40"/>
      <c r="AB300" s="30"/>
      <c r="AC300" s="31"/>
    </row>
    <row r="301" spans="2:29" x14ac:dyDescent="0.4">
      <c r="B301" s="30">
        <f t="shared" si="3"/>
        <v>297</v>
      </c>
      <c r="C301" s="30"/>
      <c r="D301" s="30"/>
      <c r="E301" s="30"/>
      <c r="F301" s="30"/>
      <c r="G301" s="32"/>
      <c r="H301" s="33"/>
      <c r="I301" s="32"/>
      <c r="J301" s="31"/>
      <c r="K301" s="34"/>
      <c r="L301" s="33"/>
      <c r="M301" s="32"/>
      <c r="N301" s="33"/>
      <c r="O301" s="33"/>
      <c r="P301" s="33"/>
      <c r="Q301" s="30"/>
      <c r="R301" s="31"/>
      <c r="S301" s="30"/>
      <c r="T301" s="31"/>
      <c r="V301" s="30"/>
      <c r="W301" s="30"/>
      <c r="X301" s="31"/>
      <c r="Y301" s="30"/>
      <c r="Z301" s="30"/>
      <c r="AA301" s="40"/>
      <c r="AB301" s="30"/>
      <c r="AC301" s="31"/>
    </row>
    <row r="302" spans="2:29" x14ac:dyDescent="0.4">
      <c r="B302" s="30">
        <f t="shared" si="3"/>
        <v>298</v>
      </c>
      <c r="C302" s="30"/>
      <c r="D302" s="30"/>
      <c r="E302" s="30"/>
      <c r="F302" s="30"/>
      <c r="G302" s="32"/>
      <c r="H302" s="33"/>
      <c r="I302" s="32"/>
      <c r="J302" s="31"/>
      <c r="K302" s="34"/>
      <c r="L302" s="33"/>
      <c r="M302" s="32"/>
      <c r="N302" s="33"/>
      <c r="O302" s="33"/>
      <c r="P302" s="33"/>
      <c r="Q302" s="30"/>
      <c r="R302" s="31"/>
      <c r="S302" s="30"/>
      <c r="T302" s="31"/>
      <c r="V302" s="30"/>
      <c r="W302" s="30"/>
      <c r="X302" s="31"/>
      <c r="Y302" s="30"/>
      <c r="Z302" s="30"/>
      <c r="AA302" s="40"/>
      <c r="AB302" s="30"/>
      <c r="AC302" s="31"/>
    </row>
    <row r="303" spans="2:29" x14ac:dyDescent="0.4">
      <c r="B303" s="30">
        <f t="shared" si="3"/>
        <v>299</v>
      </c>
      <c r="C303" s="30"/>
      <c r="D303" s="30"/>
      <c r="E303" s="30"/>
      <c r="F303" s="30"/>
      <c r="G303" s="32"/>
      <c r="H303" s="33"/>
      <c r="I303" s="32"/>
      <c r="J303" s="31"/>
      <c r="K303" s="34"/>
      <c r="L303" s="33"/>
      <c r="M303" s="32"/>
      <c r="N303" s="33"/>
      <c r="O303" s="33"/>
      <c r="P303" s="33"/>
      <c r="Q303" s="30"/>
      <c r="R303" s="31"/>
      <c r="S303" s="30"/>
      <c r="T303" s="31"/>
      <c r="V303" s="30"/>
      <c r="W303" s="30"/>
      <c r="X303" s="31"/>
      <c r="Y303" s="30"/>
      <c r="Z303" s="30"/>
      <c r="AA303" s="40"/>
      <c r="AB303" s="30"/>
      <c r="AC303" s="31"/>
    </row>
    <row r="304" spans="2:29" x14ac:dyDescent="0.4">
      <c r="B304" s="30">
        <f t="shared" si="3"/>
        <v>300</v>
      </c>
      <c r="C304" s="30"/>
      <c r="D304" s="30"/>
      <c r="E304" s="30"/>
      <c r="F304" s="30"/>
      <c r="G304" s="32"/>
      <c r="H304" s="33"/>
      <c r="I304" s="32"/>
      <c r="J304" s="31"/>
      <c r="K304" s="34"/>
      <c r="L304" s="33"/>
      <c r="M304" s="32"/>
      <c r="N304" s="33"/>
      <c r="O304" s="33"/>
      <c r="P304" s="33"/>
      <c r="Q304" s="30"/>
      <c r="R304" s="31"/>
      <c r="S304" s="30"/>
      <c r="T304" s="31"/>
      <c r="V304" s="30"/>
      <c r="W304" s="30"/>
      <c r="X304" s="31"/>
      <c r="Y304" s="30"/>
      <c r="Z304" s="30"/>
      <c r="AA304" s="40"/>
      <c r="AB304" s="30"/>
      <c r="AC304" s="31"/>
    </row>
    <row r="305" spans="7:29" x14ac:dyDescent="0.4">
      <c r="G305" s="6"/>
      <c r="H305" s="33"/>
      <c r="J305" s="9"/>
      <c r="K305" s="10"/>
      <c r="X305" s="9"/>
      <c r="Y305" s="11"/>
      <c r="Z305" s="11"/>
      <c r="AC305" s="9"/>
    </row>
    <row r="306" spans="7:29" x14ac:dyDescent="0.4">
      <c r="G306" s="6"/>
      <c r="J306" s="9"/>
      <c r="K306" s="10"/>
      <c r="X306" s="9"/>
      <c r="Y306" s="11"/>
      <c r="Z306" s="11"/>
      <c r="AC306" s="9"/>
    </row>
    <row r="307" spans="7:29" x14ac:dyDescent="0.4">
      <c r="G307" s="6"/>
      <c r="J307" s="9"/>
      <c r="K307" s="10"/>
      <c r="X307" s="9"/>
      <c r="Y307" s="11"/>
      <c r="Z307" s="11"/>
      <c r="AC307" s="9"/>
    </row>
    <row r="308" spans="7:29" x14ac:dyDescent="0.4">
      <c r="G308" s="6"/>
      <c r="J308" s="9"/>
      <c r="K308" s="10"/>
      <c r="X308" s="9"/>
      <c r="Y308" s="11"/>
      <c r="Z308" s="11"/>
      <c r="AC308" s="9"/>
    </row>
    <row r="309" spans="7:29" x14ac:dyDescent="0.4">
      <c r="G309" s="6"/>
      <c r="J309" s="9"/>
      <c r="K309" s="10"/>
      <c r="X309" s="9"/>
      <c r="Y309" s="11"/>
      <c r="Z309" s="11"/>
      <c r="AC309" s="9"/>
    </row>
    <row r="310" spans="7:29" x14ac:dyDescent="0.4">
      <c r="G310" s="6"/>
      <c r="J310" s="9"/>
      <c r="K310" s="10"/>
      <c r="X310" s="9"/>
      <c r="Y310" s="11"/>
      <c r="Z310" s="11"/>
      <c r="AC310" s="9"/>
    </row>
    <row r="311" spans="7:29" x14ac:dyDescent="0.4">
      <c r="G311" s="6"/>
      <c r="J311" s="9"/>
      <c r="K311" s="10"/>
      <c r="X311" s="9"/>
      <c r="Y311" s="11"/>
      <c r="Z311" s="11"/>
      <c r="AC311" s="9"/>
    </row>
    <row r="312" spans="7:29" x14ac:dyDescent="0.4">
      <c r="G312" s="6"/>
      <c r="J312" s="9"/>
      <c r="K312" s="10"/>
      <c r="X312" s="9"/>
      <c r="Y312" s="11"/>
      <c r="Z312" s="11"/>
      <c r="AC312" s="9"/>
    </row>
    <row r="313" spans="7:29" x14ac:dyDescent="0.4">
      <c r="G313" s="6"/>
      <c r="J313" s="9"/>
      <c r="K313" s="10"/>
      <c r="X313" s="9"/>
      <c r="Y313" s="11"/>
      <c r="Z313" s="11"/>
      <c r="AC313" s="9"/>
    </row>
    <row r="314" spans="7:29" x14ac:dyDescent="0.4">
      <c r="G314" s="6"/>
      <c r="J314" s="9"/>
      <c r="K314" s="10"/>
      <c r="X314" s="9"/>
      <c r="Y314" s="11"/>
      <c r="Z314" s="11"/>
      <c r="AC314" s="9"/>
    </row>
    <row r="315" spans="7:29" x14ac:dyDescent="0.4">
      <c r="G315" s="6"/>
      <c r="J315" s="9"/>
      <c r="K315" s="10"/>
      <c r="X315" s="9"/>
      <c r="Y315" s="11"/>
      <c r="Z315" s="11"/>
      <c r="AC315" s="9"/>
    </row>
    <row r="316" spans="7:29" x14ac:dyDescent="0.4">
      <c r="G316" s="6"/>
      <c r="J316" s="9"/>
      <c r="K316" s="10"/>
      <c r="X316" s="9"/>
      <c r="Y316" s="11"/>
      <c r="Z316" s="11"/>
      <c r="AC316" s="9"/>
    </row>
    <row r="317" spans="7:29" x14ac:dyDescent="0.4">
      <c r="G317" s="6"/>
      <c r="J317" s="9"/>
      <c r="K317" s="10"/>
      <c r="X317" s="9"/>
      <c r="Y317" s="11"/>
      <c r="Z317" s="11"/>
      <c r="AC317" s="9"/>
    </row>
    <row r="318" spans="7:29" x14ac:dyDescent="0.4">
      <c r="G318" s="6"/>
      <c r="J318" s="9"/>
      <c r="K318" s="10"/>
      <c r="X318" s="9"/>
      <c r="Y318" s="11"/>
      <c r="Z318" s="11"/>
      <c r="AC318" s="9"/>
    </row>
    <row r="319" spans="7:29" x14ac:dyDescent="0.4">
      <c r="G319" s="6"/>
      <c r="J319" s="9"/>
      <c r="K319" s="10"/>
      <c r="X319" s="9"/>
      <c r="Y319" s="11"/>
      <c r="Z319" s="11"/>
      <c r="AC319" s="9"/>
    </row>
    <row r="320" spans="7:29" x14ac:dyDescent="0.4">
      <c r="G320" s="6"/>
      <c r="J320" s="9"/>
      <c r="K320" s="10"/>
      <c r="X320" s="9"/>
      <c r="Y320" s="11"/>
      <c r="Z320" s="11"/>
      <c r="AC320" s="9"/>
    </row>
    <row r="321" spans="7:29" x14ac:dyDescent="0.4">
      <c r="G321" s="6"/>
      <c r="J321" s="9"/>
      <c r="K321" s="10"/>
      <c r="X321" s="9"/>
      <c r="Y321" s="11"/>
      <c r="Z321" s="11"/>
      <c r="AC321" s="9"/>
    </row>
    <row r="322" spans="7:29" x14ac:dyDescent="0.4">
      <c r="G322" s="6"/>
      <c r="J322" s="9"/>
      <c r="K322" s="10"/>
      <c r="X322" s="9"/>
      <c r="Y322" s="11"/>
      <c r="Z322" s="11"/>
      <c r="AC322" s="9"/>
    </row>
    <row r="323" spans="7:29" x14ac:dyDescent="0.4">
      <c r="G323" s="6"/>
      <c r="J323" s="9"/>
      <c r="K323" s="10"/>
      <c r="X323" s="9"/>
      <c r="Y323" s="11"/>
      <c r="Z323" s="11"/>
      <c r="AC323" s="9"/>
    </row>
    <row r="324" spans="7:29" x14ac:dyDescent="0.4">
      <c r="G324" s="6"/>
      <c r="J324" s="9"/>
      <c r="K324" s="10"/>
      <c r="X324" s="9"/>
      <c r="Y324" s="11"/>
      <c r="Z324" s="11"/>
      <c r="AC324" s="9"/>
    </row>
    <row r="325" spans="7:29" x14ac:dyDescent="0.4">
      <c r="G325" s="6"/>
      <c r="J325" s="9"/>
      <c r="K325" s="10"/>
      <c r="X325" s="9"/>
      <c r="Y325" s="11"/>
      <c r="Z325" s="11"/>
      <c r="AC325" s="9"/>
    </row>
    <row r="326" spans="7:29" x14ac:dyDescent="0.4">
      <c r="G326" s="6"/>
      <c r="J326" s="9"/>
      <c r="K326" s="10"/>
      <c r="X326" s="9"/>
      <c r="Y326" s="11"/>
      <c r="Z326" s="11"/>
      <c r="AC326" s="9"/>
    </row>
    <row r="327" spans="7:29" x14ac:dyDescent="0.4">
      <c r="G327" s="6"/>
      <c r="J327" s="9"/>
      <c r="K327" s="10"/>
      <c r="X327" s="9"/>
      <c r="Y327" s="11"/>
      <c r="Z327" s="11"/>
      <c r="AC327" s="9"/>
    </row>
    <row r="328" spans="7:29" x14ac:dyDescent="0.4">
      <c r="G328" s="6"/>
      <c r="J328" s="9"/>
      <c r="K328" s="10"/>
      <c r="X328" s="9"/>
      <c r="Y328" s="11"/>
      <c r="Z328" s="11"/>
      <c r="AC328" s="9"/>
    </row>
    <row r="329" spans="7:29" x14ac:dyDescent="0.4">
      <c r="G329" s="6"/>
      <c r="J329" s="9"/>
      <c r="K329" s="10"/>
      <c r="X329" s="9"/>
      <c r="Y329" s="11"/>
      <c r="Z329" s="11"/>
      <c r="AC329" s="9"/>
    </row>
    <row r="330" spans="7:29" x14ac:dyDescent="0.4">
      <c r="G330" s="6"/>
      <c r="J330" s="9"/>
      <c r="K330" s="10"/>
      <c r="X330" s="9"/>
      <c r="Y330" s="11"/>
      <c r="Z330" s="11"/>
      <c r="AC330" s="9"/>
    </row>
    <row r="331" spans="7:29" x14ac:dyDescent="0.4">
      <c r="G331" s="6"/>
      <c r="J331" s="9"/>
      <c r="K331" s="10"/>
      <c r="X331" s="9"/>
      <c r="Y331" s="11"/>
      <c r="Z331" s="11"/>
      <c r="AC331" s="9"/>
    </row>
    <row r="332" spans="7:29" x14ac:dyDescent="0.4">
      <c r="G332" s="6"/>
      <c r="J332" s="9"/>
      <c r="K332" s="10"/>
      <c r="X332" s="9"/>
      <c r="Y332" s="11"/>
      <c r="Z332" s="11"/>
      <c r="AC332" s="9"/>
    </row>
    <row r="333" spans="7:29" x14ac:dyDescent="0.4">
      <c r="G333" s="6"/>
      <c r="J333" s="9"/>
      <c r="K333" s="10"/>
      <c r="X333" s="9"/>
      <c r="Y333" s="11"/>
      <c r="Z333" s="11"/>
      <c r="AC333" s="9"/>
    </row>
    <row r="334" spans="7:29" x14ac:dyDescent="0.4">
      <c r="G334" s="6"/>
      <c r="J334" s="9"/>
      <c r="K334" s="10"/>
      <c r="X334" s="9"/>
      <c r="Y334" s="11"/>
      <c r="Z334" s="11"/>
      <c r="AC334" s="9"/>
    </row>
    <row r="335" spans="7:29" x14ac:dyDescent="0.4">
      <c r="G335" s="6"/>
      <c r="J335" s="9"/>
      <c r="K335" s="10"/>
      <c r="X335" s="9"/>
      <c r="Y335" s="11"/>
      <c r="Z335" s="11"/>
      <c r="AC335" s="9"/>
    </row>
    <row r="336" spans="7:29" x14ac:dyDescent="0.4">
      <c r="G336" s="6"/>
      <c r="J336" s="9"/>
      <c r="K336" s="10"/>
      <c r="X336" s="9"/>
      <c r="Y336" s="11"/>
      <c r="Z336" s="11"/>
      <c r="AC336" s="9"/>
    </row>
    <row r="337" spans="7:29" x14ac:dyDescent="0.4">
      <c r="G337" s="6"/>
      <c r="J337" s="9"/>
      <c r="K337" s="10"/>
      <c r="X337" s="9"/>
      <c r="Y337" s="11"/>
      <c r="Z337" s="11"/>
      <c r="AC337" s="9"/>
    </row>
    <row r="338" spans="7:29" x14ac:dyDescent="0.4">
      <c r="G338" s="6"/>
      <c r="J338" s="9"/>
      <c r="K338" s="10"/>
      <c r="X338" s="9"/>
      <c r="Y338" s="11"/>
      <c r="Z338" s="11"/>
      <c r="AC338" s="9"/>
    </row>
    <row r="339" spans="7:29" x14ac:dyDescent="0.4">
      <c r="G339" s="6"/>
      <c r="J339" s="9"/>
      <c r="K339" s="10"/>
      <c r="X339" s="9"/>
      <c r="Y339" s="11"/>
      <c r="Z339" s="11"/>
      <c r="AC339" s="9"/>
    </row>
    <row r="340" spans="7:29" x14ac:dyDescent="0.4">
      <c r="G340" s="6"/>
      <c r="J340" s="9"/>
      <c r="K340" s="10"/>
      <c r="X340" s="9"/>
      <c r="Y340" s="11"/>
      <c r="Z340" s="11"/>
      <c r="AC340" s="9"/>
    </row>
    <row r="341" spans="7:29" x14ac:dyDescent="0.4">
      <c r="G341" s="6"/>
      <c r="J341" s="9"/>
      <c r="K341" s="10"/>
      <c r="X341" s="9"/>
      <c r="Y341" s="11"/>
      <c r="Z341" s="11"/>
      <c r="AC341" s="9"/>
    </row>
    <row r="342" spans="7:29" x14ac:dyDescent="0.4">
      <c r="G342" s="6"/>
      <c r="J342" s="9"/>
      <c r="K342" s="10"/>
      <c r="X342" s="9"/>
      <c r="Y342" s="11"/>
      <c r="Z342" s="11"/>
      <c r="AC342" s="9"/>
    </row>
    <row r="343" spans="7:29" x14ac:dyDescent="0.4">
      <c r="G343" s="6"/>
      <c r="J343" s="9"/>
      <c r="K343" s="10"/>
      <c r="X343" s="9"/>
      <c r="Y343" s="11"/>
      <c r="Z343" s="11"/>
      <c r="AC343" s="9"/>
    </row>
    <row r="344" spans="7:29" x14ac:dyDescent="0.4">
      <c r="G344" s="6"/>
      <c r="J344" s="9"/>
      <c r="K344" s="10"/>
      <c r="X344" s="9"/>
      <c r="Y344" s="11"/>
      <c r="Z344" s="11"/>
      <c r="AC344" s="9"/>
    </row>
    <row r="345" spans="7:29" x14ac:dyDescent="0.4">
      <c r="G345" s="6"/>
      <c r="J345" s="9"/>
      <c r="K345" s="10"/>
      <c r="X345" s="9"/>
      <c r="Y345" s="11"/>
      <c r="Z345" s="11"/>
      <c r="AC345" s="9"/>
    </row>
    <row r="346" spans="7:29" x14ac:dyDescent="0.4">
      <c r="G346" s="6"/>
      <c r="J346" s="9"/>
      <c r="K346" s="10"/>
      <c r="X346" s="9"/>
      <c r="Y346" s="11"/>
      <c r="Z346" s="11"/>
      <c r="AC346" s="9"/>
    </row>
    <row r="347" spans="7:29" x14ac:dyDescent="0.4">
      <c r="G347" s="6"/>
      <c r="J347" s="9"/>
      <c r="K347" s="10"/>
      <c r="X347" s="9"/>
      <c r="Y347" s="11"/>
      <c r="Z347" s="11"/>
      <c r="AC347" s="9"/>
    </row>
    <row r="348" spans="7:29" x14ac:dyDescent="0.4">
      <c r="G348" s="6"/>
      <c r="J348" s="9"/>
      <c r="K348" s="10"/>
      <c r="X348" s="9"/>
      <c r="Y348" s="11"/>
      <c r="Z348" s="11"/>
      <c r="AC348" s="9"/>
    </row>
    <row r="349" spans="7:29" x14ac:dyDescent="0.4">
      <c r="G349" s="6"/>
      <c r="J349" s="9"/>
      <c r="K349" s="10"/>
      <c r="X349" s="9"/>
      <c r="Y349" s="11"/>
      <c r="Z349" s="11"/>
      <c r="AC349" s="9"/>
    </row>
    <row r="350" spans="7:29" x14ac:dyDescent="0.4">
      <c r="G350" s="6"/>
      <c r="J350" s="9"/>
      <c r="K350" s="10"/>
      <c r="X350" s="9"/>
      <c r="Y350" s="11"/>
      <c r="Z350" s="11"/>
      <c r="AC350" s="9"/>
    </row>
    <row r="351" spans="7:29" x14ac:dyDescent="0.4">
      <c r="G351" s="6"/>
      <c r="J351" s="9"/>
      <c r="K351" s="10"/>
      <c r="X351" s="9"/>
      <c r="Y351" s="11"/>
      <c r="Z351" s="11"/>
      <c r="AC351" s="9"/>
    </row>
    <row r="352" spans="7:29" x14ac:dyDescent="0.4">
      <c r="G352" s="6"/>
      <c r="J352" s="9"/>
      <c r="K352" s="10"/>
      <c r="X352" s="9"/>
      <c r="Y352" s="11"/>
      <c r="Z352" s="11"/>
      <c r="AC352" s="9"/>
    </row>
    <row r="353" spans="7:29" x14ac:dyDescent="0.4">
      <c r="G353" s="6"/>
      <c r="J353" s="9"/>
      <c r="K353" s="10"/>
      <c r="X353" s="9"/>
      <c r="Y353" s="11"/>
      <c r="Z353" s="11"/>
      <c r="AC353" s="9"/>
    </row>
    <row r="354" spans="7:29" x14ac:dyDescent="0.4">
      <c r="G354" s="6"/>
      <c r="J354" s="9"/>
      <c r="K354" s="10"/>
      <c r="X354" s="9"/>
      <c r="Y354" s="11"/>
      <c r="Z354" s="11"/>
      <c r="AC354" s="9"/>
    </row>
    <row r="355" spans="7:29" x14ac:dyDescent="0.4">
      <c r="G355" s="6"/>
      <c r="J355" s="9"/>
      <c r="K355" s="10"/>
      <c r="X355" s="9"/>
      <c r="Y355" s="11"/>
      <c r="Z355" s="11"/>
      <c r="AC355" s="9"/>
    </row>
    <row r="356" spans="7:29" x14ac:dyDescent="0.4">
      <c r="G356" s="6"/>
      <c r="J356" s="9"/>
      <c r="K356" s="10"/>
      <c r="X356" s="9"/>
      <c r="Y356" s="11"/>
      <c r="Z356" s="11"/>
      <c r="AC356" s="9"/>
    </row>
    <row r="357" spans="7:29" x14ac:dyDescent="0.4">
      <c r="G357" s="6"/>
      <c r="J357" s="9"/>
      <c r="K357" s="10"/>
      <c r="X357" s="9"/>
      <c r="Y357" s="11"/>
      <c r="Z357" s="11"/>
      <c r="AC357" s="9"/>
    </row>
    <row r="358" spans="7:29" x14ac:dyDescent="0.4">
      <c r="G358" s="6"/>
      <c r="J358" s="9"/>
      <c r="K358" s="10"/>
      <c r="X358" s="9"/>
      <c r="Y358" s="11"/>
      <c r="Z358" s="11"/>
      <c r="AC358" s="9"/>
    </row>
    <row r="359" spans="7:29" x14ac:dyDescent="0.4">
      <c r="G359" s="6"/>
      <c r="J359" s="9"/>
      <c r="K359" s="10"/>
      <c r="X359" s="9"/>
      <c r="Y359" s="11"/>
      <c r="Z359" s="11"/>
      <c r="AC359" s="9"/>
    </row>
    <row r="360" spans="7:29" x14ac:dyDescent="0.4">
      <c r="G360" s="6"/>
      <c r="J360" s="9"/>
      <c r="K360" s="10"/>
      <c r="X360" s="9"/>
      <c r="Y360" s="11"/>
      <c r="Z360" s="11"/>
      <c r="AC360" s="9"/>
    </row>
    <row r="361" spans="7:29" x14ac:dyDescent="0.4">
      <c r="G361" s="6"/>
      <c r="J361" s="9"/>
      <c r="K361" s="10"/>
      <c r="X361" s="9"/>
      <c r="Y361" s="11"/>
      <c r="Z361" s="11"/>
      <c r="AC361" s="9"/>
    </row>
    <row r="362" spans="7:29" x14ac:dyDescent="0.4">
      <c r="G362" s="6"/>
      <c r="J362" s="9"/>
      <c r="K362" s="10"/>
      <c r="X362" s="9"/>
      <c r="Y362" s="11"/>
      <c r="Z362" s="11"/>
      <c r="AC362" s="9"/>
    </row>
    <row r="363" spans="7:29" x14ac:dyDescent="0.4">
      <c r="G363" s="6"/>
      <c r="J363" s="9"/>
      <c r="K363" s="10"/>
      <c r="X363" s="9"/>
      <c r="Y363" s="11"/>
      <c r="Z363" s="11"/>
      <c r="AC363" s="9"/>
    </row>
    <row r="364" spans="7:29" x14ac:dyDescent="0.4">
      <c r="G364" s="6"/>
      <c r="J364" s="9"/>
      <c r="K364" s="10"/>
      <c r="X364" s="9"/>
      <c r="Y364" s="11"/>
      <c r="Z364" s="11"/>
      <c r="AC364" s="9"/>
    </row>
    <row r="365" spans="7:29" x14ac:dyDescent="0.4">
      <c r="G365" s="6"/>
      <c r="J365" s="9"/>
      <c r="K365" s="10"/>
      <c r="X365" s="9"/>
      <c r="Y365" s="11"/>
      <c r="Z365" s="11"/>
      <c r="AC365" s="9"/>
    </row>
    <row r="366" spans="7:29" x14ac:dyDescent="0.4">
      <c r="G366" s="6"/>
      <c r="J366" s="9"/>
      <c r="K366" s="10"/>
      <c r="X366" s="9"/>
      <c r="Y366" s="11"/>
      <c r="Z366" s="11"/>
      <c r="AC366" s="9"/>
    </row>
    <row r="367" spans="7:29" x14ac:dyDescent="0.4">
      <c r="G367" s="6"/>
      <c r="J367" s="9"/>
      <c r="K367" s="10"/>
      <c r="X367" s="9"/>
      <c r="Y367" s="11"/>
      <c r="Z367" s="11"/>
      <c r="AC367" s="9"/>
    </row>
    <row r="368" spans="7:29" x14ac:dyDescent="0.4">
      <c r="G368" s="6"/>
      <c r="J368" s="9"/>
      <c r="K368" s="10"/>
      <c r="X368" s="9"/>
      <c r="Y368" s="11"/>
      <c r="Z368" s="11"/>
      <c r="AC368" s="9"/>
    </row>
    <row r="369" spans="7:29" x14ac:dyDescent="0.4">
      <c r="G369" s="6"/>
      <c r="J369" s="9"/>
      <c r="K369" s="10"/>
      <c r="X369" s="9"/>
      <c r="Y369" s="11"/>
      <c r="Z369" s="11"/>
      <c r="AC369" s="9"/>
    </row>
    <row r="370" spans="7:29" x14ac:dyDescent="0.4">
      <c r="G370" s="6"/>
      <c r="J370" s="9"/>
      <c r="K370" s="10"/>
      <c r="X370" s="9"/>
      <c r="Y370" s="11"/>
      <c r="Z370" s="11"/>
      <c r="AC370" s="9"/>
    </row>
    <row r="371" spans="7:29" x14ac:dyDescent="0.4">
      <c r="G371" s="6"/>
      <c r="J371" s="9"/>
      <c r="K371" s="10"/>
      <c r="X371" s="9"/>
      <c r="Y371" s="11"/>
      <c r="Z371" s="11"/>
      <c r="AC371" s="9"/>
    </row>
    <row r="372" spans="7:29" x14ac:dyDescent="0.4">
      <c r="G372" s="6"/>
      <c r="J372" s="9"/>
      <c r="K372" s="10"/>
      <c r="X372" s="9"/>
      <c r="Y372" s="11"/>
      <c r="Z372" s="11"/>
      <c r="AC372" s="9"/>
    </row>
    <row r="373" spans="7:29" x14ac:dyDescent="0.4">
      <c r="G373" s="6"/>
      <c r="J373" s="9"/>
      <c r="K373" s="10"/>
      <c r="X373" s="9"/>
      <c r="Y373" s="11"/>
      <c r="Z373" s="11"/>
      <c r="AC373" s="9"/>
    </row>
    <row r="374" spans="7:29" x14ac:dyDescent="0.4">
      <c r="G374" s="6"/>
      <c r="J374" s="9"/>
      <c r="K374" s="10"/>
      <c r="X374" s="9"/>
      <c r="Y374" s="11"/>
      <c r="Z374" s="11"/>
      <c r="AC374" s="9"/>
    </row>
    <row r="375" spans="7:29" x14ac:dyDescent="0.4">
      <c r="G375" s="6"/>
      <c r="J375" s="9"/>
      <c r="K375" s="10"/>
      <c r="X375" s="9"/>
      <c r="Y375" s="11"/>
      <c r="Z375" s="11"/>
      <c r="AC375" s="9"/>
    </row>
    <row r="376" spans="7:29" x14ac:dyDescent="0.4">
      <c r="G376" s="6"/>
      <c r="J376" s="9"/>
      <c r="K376" s="10"/>
      <c r="X376" s="9"/>
      <c r="Y376" s="11"/>
      <c r="Z376" s="11"/>
      <c r="AC376" s="9"/>
    </row>
    <row r="377" spans="7:29" x14ac:dyDescent="0.4">
      <c r="G377" s="6"/>
      <c r="J377" s="9"/>
      <c r="K377" s="10"/>
      <c r="X377" s="9"/>
      <c r="Y377" s="11"/>
      <c r="Z377" s="11"/>
      <c r="AC377" s="9"/>
    </row>
    <row r="378" spans="7:29" x14ac:dyDescent="0.4">
      <c r="G378" s="6"/>
      <c r="J378" s="9"/>
      <c r="K378" s="10"/>
      <c r="X378" s="9"/>
      <c r="Y378" s="11"/>
      <c r="Z378" s="11"/>
      <c r="AC378" s="9"/>
    </row>
    <row r="379" spans="7:29" x14ac:dyDescent="0.4">
      <c r="G379" s="6"/>
      <c r="J379" s="9"/>
      <c r="K379" s="10"/>
      <c r="X379" s="9"/>
      <c r="Y379" s="11"/>
      <c r="Z379" s="11"/>
      <c r="AC379" s="9"/>
    </row>
    <row r="380" spans="7:29" x14ac:dyDescent="0.4">
      <c r="G380" s="6"/>
      <c r="J380" s="9"/>
      <c r="K380" s="10"/>
      <c r="X380" s="9"/>
      <c r="Y380" s="11"/>
      <c r="Z380" s="11"/>
      <c r="AC380" s="9"/>
    </row>
    <row r="381" spans="7:29" x14ac:dyDescent="0.4">
      <c r="G381" s="6"/>
      <c r="J381" s="9"/>
      <c r="K381" s="10"/>
      <c r="X381" s="9"/>
      <c r="Y381" s="11"/>
      <c r="Z381" s="11"/>
      <c r="AC381" s="9"/>
    </row>
    <row r="382" spans="7:29" x14ac:dyDescent="0.4">
      <c r="G382" s="6"/>
      <c r="J382" s="9"/>
      <c r="K382" s="10"/>
      <c r="X382" s="9"/>
      <c r="Y382" s="11"/>
      <c r="Z382" s="11"/>
      <c r="AC382" s="9"/>
    </row>
    <row r="383" spans="7:29" x14ac:dyDescent="0.4">
      <c r="G383" s="6"/>
      <c r="J383" s="9"/>
      <c r="K383" s="10"/>
      <c r="X383" s="9"/>
      <c r="Y383" s="11"/>
      <c r="Z383" s="11"/>
      <c r="AC383" s="9"/>
    </row>
    <row r="384" spans="7:29" x14ac:dyDescent="0.4">
      <c r="G384" s="6"/>
      <c r="J384" s="9"/>
      <c r="K384" s="10"/>
      <c r="X384" s="9"/>
      <c r="Y384" s="11"/>
      <c r="Z384" s="11"/>
      <c r="AC384" s="9"/>
    </row>
    <row r="385" spans="7:29" x14ac:dyDescent="0.4">
      <c r="G385" s="6"/>
      <c r="J385" s="9"/>
      <c r="K385" s="10"/>
      <c r="X385" s="9"/>
      <c r="Y385" s="11"/>
      <c r="Z385" s="11"/>
      <c r="AC385" s="9"/>
    </row>
    <row r="386" spans="7:29" x14ac:dyDescent="0.4">
      <c r="G386" s="6"/>
      <c r="J386" s="9"/>
      <c r="K386" s="10"/>
      <c r="X386" s="9"/>
      <c r="Y386" s="11"/>
      <c r="Z386" s="11"/>
      <c r="AC386" s="9"/>
    </row>
    <row r="387" spans="7:29" x14ac:dyDescent="0.4">
      <c r="G387" s="6"/>
      <c r="J387" s="9"/>
      <c r="K387" s="10"/>
      <c r="X387" s="9"/>
      <c r="Y387" s="11"/>
      <c r="Z387" s="11"/>
      <c r="AC387" s="9"/>
    </row>
    <row r="388" spans="7:29" x14ac:dyDescent="0.4">
      <c r="G388" s="6"/>
      <c r="J388" s="9"/>
      <c r="K388" s="10"/>
      <c r="X388" s="9"/>
      <c r="Y388" s="11"/>
      <c r="Z388" s="11"/>
      <c r="AC388" s="9"/>
    </row>
    <row r="389" spans="7:29" x14ac:dyDescent="0.4">
      <c r="G389" s="6"/>
      <c r="J389" s="9"/>
      <c r="K389" s="10"/>
      <c r="X389" s="9"/>
      <c r="Y389" s="11"/>
      <c r="Z389" s="11"/>
      <c r="AC389" s="9"/>
    </row>
    <row r="390" spans="7:29" x14ac:dyDescent="0.4">
      <c r="G390" s="6"/>
      <c r="J390" s="9"/>
      <c r="K390" s="10"/>
      <c r="X390" s="9"/>
      <c r="Y390" s="11"/>
      <c r="Z390" s="11"/>
      <c r="AC390" s="9"/>
    </row>
    <row r="391" spans="7:29" x14ac:dyDescent="0.4">
      <c r="G391" s="6"/>
      <c r="J391" s="9"/>
      <c r="K391" s="10"/>
      <c r="X391" s="9"/>
      <c r="Y391" s="11"/>
      <c r="Z391" s="11"/>
      <c r="AC391" s="9"/>
    </row>
    <row r="392" spans="7:29" x14ac:dyDescent="0.4">
      <c r="G392" s="6"/>
      <c r="J392" s="9"/>
      <c r="K392" s="10"/>
      <c r="X392" s="9"/>
      <c r="Y392" s="11"/>
      <c r="Z392" s="11"/>
      <c r="AC392" s="9"/>
    </row>
    <row r="393" spans="7:29" x14ac:dyDescent="0.4">
      <c r="G393" s="6"/>
      <c r="J393" s="9"/>
      <c r="K393" s="10"/>
      <c r="X393" s="9"/>
      <c r="Y393" s="11"/>
      <c r="Z393" s="11"/>
      <c r="AC393" s="9"/>
    </row>
    <row r="394" spans="7:29" x14ac:dyDescent="0.4">
      <c r="G394" s="6"/>
      <c r="J394" s="9"/>
      <c r="K394" s="10"/>
      <c r="X394" s="9"/>
      <c r="Y394" s="11"/>
      <c r="Z394" s="11"/>
      <c r="AC394" s="9"/>
    </row>
    <row r="395" spans="7:29" x14ac:dyDescent="0.4">
      <c r="G395" s="6"/>
      <c r="J395" s="9"/>
      <c r="K395" s="10"/>
      <c r="X395" s="9"/>
      <c r="Y395" s="11"/>
      <c r="Z395" s="11"/>
      <c r="AC395" s="9"/>
    </row>
    <row r="396" spans="7:29" x14ac:dyDescent="0.4">
      <c r="G396" s="6"/>
      <c r="J396" s="9"/>
      <c r="K396" s="10"/>
      <c r="X396" s="9"/>
      <c r="Y396" s="11"/>
      <c r="Z396" s="11"/>
      <c r="AC396" s="9"/>
    </row>
    <row r="397" spans="7:29" x14ac:dyDescent="0.4">
      <c r="G397" s="6"/>
      <c r="J397" s="9"/>
      <c r="K397" s="10"/>
      <c r="X397" s="9"/>
      <c r="Y397" s="11"/>
      <c r="Z397" s="11"/>
      <c r="AC397" s="9"/>
    </row>
    <row r="398" spans="7:29" x14ac:dyDescent="0.4">
      <c r="G398" s="6"/>
      <c r="J398" s="9"/>
      <c r="K398" s="10"/>
      <c r="X398" s="9"/>
      <c r="Y398" s="11"/>
      <c r="Z398" s="11"/>
      <c r="AC398" s="9"/>
    </row>
    <row r="399" spans="7:29" x14ac:dyDescent="0.4">
      <c r="G399" s="6"/>
      <c r="J399" s="9"/>
      <c r="K399" s="10"/>
      <c r="X399" s="9"/>
      <c r="Y399" s="11"/>
      <c r="Z399" s="11"/>
      <c r="AC399" s="9"/>
    </row>
    <row r="400" spans="7:29" x14ac:dyDescent="0.4">
      <c r="G400" s="6"/>
      <c r="J400" s="9"/>
      <c r="K400" s="10"/>
      <c r="X400" s="9"/>
      <c r="Y400" s="11"/>
      <c r="Z400" s="11"/>
      <c r="AC400" s="9"/>
    </row>
    <row r="401" spans="7:29" x14ac:dyDescent="0.4">
      <c r="G401" s="6"/>
      <c r="J401" s="9"/>
      <c r="K401" s="10"/>
      <c r="X401" s="9"/>
      <c r="Y401" s="11"/>
      <c r="Z401" s="11"/>
      <c r="AC401" s="9"/>
    </row>
    <row r="402" spans="7:29" x14ac:dyDescent="0.4">
      <c r="G402" s="6"/>
      <c r="J402" s="9"/>
      <c r="K402" s="10"/>
      <c r="X402" s="9"/>
      <c r="Y402" s="11"/>
      <c r="Z402" s="11"/>
      <c r="AC402" s="9"/>
    </row>
    <row r="403" spans="7:29" x14ac:dyDescent="0.4">
      <c r="G403" s="6"/>
      <c r="J403" s="9"/>
      <c r="K403" s="10"/>
      <c r="X403" s="9"/>
      <c r="Y403" s="11"/>
      <c r="Z403" s="11"/>
      <c r="AC403" s="9"/>
    </row>
    <row r="404" spans="7:29" x14ac:dyDescent="0.4">
      <c r="G404" s="6"/>
      <c r="J404" s="9"/>
      <c r="K404" s="10"/>
      <c r="X404" s="9"/>
      <c r="Y404" s="11"/>
      <c r="Z404" s="11"/>
      <c r="AC404" s="9"/>
    </row>
    <row r="405" spans="7:29" x14ac:dyDescent="0.4">
      <c r="G405" s="6"/>
      <c r="J405" s="9"/>
      <c r="K405" s="10"/>
      <c r="X405" s="9"/>
      <c r="Y405" s="11"/>
      <c r="Z405" s="11"/>
      <c r="AC405" s="9"/>
    </row>
    <row r="406" spans="7:29" x14ac:dyDescent="0.4">
      <c r="G406" s="6"/>
      <c r="J406" s="9"/>
      <c r="K406" s="10"/>
      <c r="X406" s="9"/>
      <c r="Y406" s="11"/>
      <c r="Z406" s="11"/>
      <c r="AC406" s="9"/>
    </row>
    <row r="407" spans="7:29" x14ac:dyDescent="0.4">
      <c r="G407" s="6"/>
      <c r="J407" s="9"/>
      <c r="K407" s="10"/>
      <c r="X407" s="9"/>
      <c r="Y407" s="11"/>
      <c r="Z407" s="11"/>
      <c r="AC407" s="9"/>
    </row>
    <row r="408" spans="7:29" x14ac:dyDescent="0.4">
      <c r="G408" s="6"/>
      <c r="J408" s="9"/>
      <c r="K408" s="10"/>
      <c r="X408" s="9"/>
      <c r="Y408" s="11"/>
      <c r="Z408" s="11"/>
      <c r="AC408" s="9"/>
    </row>
    <row r="409" spans="7:29" x14ac:dyDescent="0.4">
      <c r="G409" s="6"/>
      <c r="J409" s="9"/>
      <c r="K409" s="10"/>
      <c r="X409" s="9"/>
      <c r="Y409" s="11"/>
      <c r="Z409" s="11"/>
      <c r="AC409" s="9"/>
    </row>
    <row r="410" spans="7:29" x14ac:dyDescent="0.4">
      <c r="G410" s="6"/>
      <c r="J410" s="9"/>
      <c r="K410" s="10"/>
      <c r="X410" s="9"/>
      <c r="Y410" s="11"/>
      <c r="Z410" s="11"/>
      <c r="AC410" s="9"/>
    </row>
    <row r="411" spans="7:29" x14ac:dyDescent="0.4">
      <c r="G411" s="6"/>
      <c r="J411" s="9"/>
      <c r="K411" s="10"/>
      <c r="X411" s="9"/>
      <c r="Y411" s="11"/>
      <c r="Z411" s="11"/>
      <c r="AC411" s="9"/>
    </row>
    <row r="412" spans="7:29" x14ac:dyDescent="0.4">
      <c r="G412" s="6"/>
      <c r="J412" s="9"/>
      <c r="K412" s="10"/>
      <c r="X412" s="9"/>
      <c r="Y412" s="11"/>
      <c r="Z412" s="11"/>
      <c r="AC412" s="9"/>
    </row>
    <row r="413" spans="7:29" x14ac:dyDescent="0.4">
      <c r="G413" s="6"/>
      <c r="J413" s="9"/>
      <c r="K413" s="10"/>
      <c r="X413" s="9"/>
      <c r="Y413" s="11"/>
      <c r="Z413" s="11"/>
      <c r="AC413" s="9"/>
    </row>
    <row r="414" spans="7:29" x14ac:dyDescent="0.4">
      <c r="G414" s="6"/>
      <c r="J414" s="9"/>
      <c r="K414" s="10"/>
      <c r="X414" s="9"/>
      <c r="Y414" s="11"/>
      <c r="Z414" s="11"/>
      <c r="AC414" s="9"/>
    </row>
    <row r="415" spans="7:29" x14ac:dyDescent="0.4">
      <c r="G415" s="6"/>
      <c r="J415" s="9"/>
      <c r="K415" s="10"/>
      <c r="X415" s="9"/>
      <c r="Y415" s="11"/>
      <c r="Z415" s="11"/>
      <c r="AC415" s="9"/>
    </row>
    <row r="416" spans="7:29" x14ac:dyDescent="0.4">
      <c r="G416" s="6"/>
      <c r="J416" s="9"/>
      <c r="K416" s="10"/>
      <c r="X416" s="9"/>
      <c r="Y416" s="11"/>
      <c r="Z416" s="11"/>
      <c r="AC416" s="9"/>
    </row>
    <row r="417" spans="7:29" x14ac:dyDescent="0.4">
      <c r="G417" s="6"/>
      <c r="J417" s="9"/>
      <c r="K417" s="10"/>
      <c r="X417" s="9"/>
      <c r="Y417" s="11"/>
      <c r="Z417" s="11"/>
      <c r="AC417" s="9"/>
    </row>
    <row r="418" spans="7:29" x14ac:dyDescent="0.4">
      <c r="G418" s="6"/>
      <c r="J418" s="9"/>
      <c r="K418" s="10"/>
      <c r="X418" s="9"/>
      <c r="Y418" s="11"/>
      <c r="Z418" s="11"/>
      <c r="AC418" s="9"/>
    </row>
    <row r="419" spans="7:29" x14ac:dyDescent="0.4">
      <c r="G419" s="6"/>
      <c r="J419" s="9"/>
      <c r="K419" s="10"/>
      <c r="X419" s="9"/>
      <c r="Y419" s="11"/>
      <c r="Z419" s="11"/>
      <c r="AC419" s="9"/>
    </row>
    <row r="420" spans="7:29" x14ac:dyDescent="0.4">
      <c r="G420" s="6"/>
      <c r="J420" s="9"/>
      <c r="K420" s="10"/>
      <c r="X420" s="9"/>
      <c r="Y420" s="11"/>
      <c r="Z420" s="11"/>
      <c r="AC420" s="9"/>
    </row>
    <row r="421" spans="7:29" x14ac:dyDescent="0.4">
      <c r="G421" s="6"/>
      <c r="J421" s="9"/>
      <c r="K421" s="10"/>
      <c r="X421" s="9"/>
      <c r="Y421" s="11"/>
      <c r="Z421" s="11"/>
      <c r="AC421" s="9"/>
    </row>
    <row r="422" spans="7:29" x14ac:dyDescent="0.4">
      <c r="G422" s="6"/>
      <c r="J422" s="9"/>
      <c r="K422" s="10"/>
      <c r="X422" s="9"/>
      <c r="Y422" s="11"/>
      <c r="Z422" s="11"/>
      <c r="AC422" s="9"/>
    </row>
    <row r="423" spans="7:29" x14ac:dyDescent="0.4">
      <c r="G423" s="6"/>
      <c r="J423" s="9"/>
      <c r="K423" s="10"/>
      <c r="X423" s="9"/>
      <c r="Y423" s="11"/>
      <c r="Z423" s="11"/>
      <c r="AC423" s="9"/>
    </row>
    <row r="424" spans="7:29" x14ac:dyDescent="0.4">
      <c r="G424" s="6"/>
      <c r="J424" s="9"/>
      <c r="K424" s="10"/>
      <c r="X424" s="9"/>
      <c r="Y424" s="11"/>
      <c r="Z424" s="11"/>
      <c r="AC424" s="9"/>
    </row>
    <row r="425" spans="7:29" x14ac:dyDescent="0.4">
      <c r="G425" s="6"/>
      <c r="J425" s="9"/>
      <c r="K425" s="10"/>
      <c r="X425" s="9"/>
      <c r="Y425" s="11"/>
      <c r="Z425" s="11"/>
      <c r="AC425" s="9"/>
    </row>
    <row r="426" spans="7:29" x14ac:dyDescent="0.4">
      <c r="G426" s="6"/>
      <c r="J426" s="9"/>
      <c r="K426" s="10"/>
      <c r="X426" s="9"/>
      <c r="Y426" s="11"/>
      <c r="Z426" s="11"/>
      <c r="AC426" s="9"/>
    </row>
    <row r="427" spans="7:29" x14ac:dyDescent="0.4">
      <c r="G427" s="6"/>
      <c r="J427" s="9"/>
      <c r="K427" s="10"/>
      <c r="X427" s="9"/>
      <c r="Y427" s="11"/>
      <c r="Z427" s="11"/>
      <c r="AC427" s="9"/>
    </row>
    <row r="428" spans="7:29" x14ac:dyDescent="0.4">
      <c r="G428" s="6"/>
      <c r="J428" s="9"/>
      <c r="K428" s="10"/>
      <c r="X428" s="9"/>
      <c r="Y428" s="11"/>
      <c r="Z428" s="11"/>
      <c r="AC428" s="9"/>
    </row>
    <row r="429" spans="7:29" x14ac:dyDescent="0.4">
      <c r="G429" s="6"/>
      <c r="J429" s="9"/>
      <c r="K429" s="10"/>
      <c r="X429" s="9"/>
      <c r="Y429" s="11"/>
      <c r="Z429" s="11"/>
      <c r="AC429" s="9"/>
    </row>
    <row r="430" spans="7:29" x14ac:dyDescent="0.4">
      <c r="G430" s="6"/>
      <c r="J430" s="9"/>
      <c r="K430" s="10"/>
      <c r="X430" s="9"/>
      <c r="Y430" s="11"/>
      <c r="Z430" s="11"/>
      <c r="AC430" s="9"/>
    </row>
    <row r="431" spans="7:29" x14ac:dyDescent="0.4">
      <c r="G431" s="6"/>
      <c r="J431" s="9"/>
      <c r="K431" s="10"/>
      <c r="X431" s="9"/>
      <c r="Y431" s="11"/>
      <c r="Z431" s="11"/>
      <c r="AC431" s="9"/>
    </row>
    <row r="432" spans="7:29" x14ac:dyDescent="0.4">
      <c r="G432" s="6"/>
      <c r="J432" s="9"/>
      <c r="K432" s="10"/>
      <c r="X432" s="9"/>
      <c r="Y432" s="11"/>
      <c r="Z432" s="11"/>
      <c r="AC432" s="9"/>
    </row>
    <row r="433" spans="7:29" x14ac:dyDescent="0.4">
      <c r="G433" s="6"/>
      <c r="J433" s="9"/>
      <c r="K433" s="10"/>
      <c r="X433" s="9"/>
      <c r="Y433" s="11"/>
      <c r="Z433" s="11"/>
      <c r="AC433" s="9"/>
    </row>
    <row r="434" spans="7:29" x14ac:dyDescent="0.4">
      <c r="G434" s="6"/>
      <c r="J434" s="9"/>
      <c r="K434" s="10"/>
      <c r="X434" s="9"/>
      <c r="Y434" s="11"/>
      <c r="Z434" s="11"/>
      <c r="AC434" s="9"/>
    </row>
    <row r="435" spans="7:29" x14ac:dyDescent="0.4">
      <c r="G435" s="6"/>
      <c r="J435" s="9"/>
      <c r="K435" s="10"/>
      <c r="X435" s="9"/>
      <c r="Y435" s="11"/>
      <c r="Z435" s="11"/>
      <c r="AC435" s="9"/>
    </row>
    <row r="436" spans="7:29" x14ac:dyDescent="0.4">
      <c r="G436" s="6"/>
      <c r="J436" s="9"/>
      <c r="K436" s="10"/>
      <c r="X436" s="9"/>
      <c r="Y436" s="11"/>
      <c r="Z436" s="11"/>
      <c r="AC436" s="9"/>
    </row>
    <row r="437" spans="7:29" x14ac:dyDescent="0.4">
      <c r="G437" s="6"/>
      <c r="J437" s="9"/>
      <c r="K437" s="10"/>
      <c r="X437" s="9"/>
      <c r="Y437" s="11"/>
      <c r="Z437" s="11"/>
      <c r="AC437" s="9"/>
    </row>
    <row r="438" spans="7:29" x14ac:dyDescent="0.4">
      <c r="G438" s="6"/>
      <c r="J438" s="9"/>
      <c r="K438" s="10"/>
      <c r="X438" s="9"/>
      <c r="Y438" s="11"/>
      <c r="Z438" s="11"/>
      <c r="AC438" s="9"/>
    </row>
    <row r="439" spans="7:29" x14ac:dyDescent="0.4">
      <c r="G439" s="6"/>
      <c r="J439" s="9"/>
      <c r="K439" s="10"/>
      <c r="X439" s="9"/>
      <c r="Y439" s="11"/>
      <c r="Z439" s="11"/>
      <c r="AC439" s="9"/>
    </row>
    <row r="440" spans="7:29" x14ac:dyDescent="0.4">
      <c r="G440" s="6"/>
      <c r="J440" s="9"/>
      <c r="K440" s="10"/>
      <c r="X440" s="9"/>
      <c r="Y440" s="11"/>
      <c r="Z440" s="11"/>
      <c r="AC440" s="9"/>
    </row>
    <row r="441" spans="7:29" x14ac:dyDescent="0.4">
      <c r="G441" s="6"/>
      <c r="J441" s="9"/>
      <c r="K441" s="10"/>
      <c r="X441" s="9"/>
      <c r="Y441" s="11"/>
      <c r="Z441" s="11"/>
      <c r="AC441" s="9"/>
    </row>
    <row r="442" spans="7:29" x14ac:dyDescent="0.4">
      <c r="G442" s="6"/>
      <c r="J442" s="9"/>
      <c r="K442" s="10"/>
      <c r="X442" s="9"/>
      <c r="Y442" s="11"/>
      <c r="Z442" s="11"/>
      <c r="AC442" s="9"/>
    </row>
    <row r="443" spans="7:29" x14ac:dyDescent="0.4">
      <c r="G443" s="6"/>
      <c r="J443" s="9"/>
      <c r="K443" s="10"/>
      <c r="X443" s="9"/>
      <c r="Y443" s="11"/>
      <c r="Z443" s="11"/>
      <c r="AC443" s="9"/>
    </row>
    <row r="444" spans="7:29" x14ac:dyDescent="0.4">
      <c r="G444" s="6"/>
      <c r="J444" s="9"/>
      <c r="K444" s="10"/>
      <c r="X444" s="9"/>
      <c r="Y444" s="11"/>
      <c r="Z444" s="11"/>
      <c r="AC444" s="9"/>
    </row>
    <row r="445" spans="7:29" x14ac:dyDescent="0.4">
      <c r="G445" s="6"/>
      <c r="J445" s="9"/>
      <c r="K445" s="10"/>
      <c r="X445" s="9"/>
      <c r="Y445" s="11"/>
      <c r="Z445" s="11"/>
      <c r="AC445" s="9"/>
    </row>
    <row r="446" spans="7:29" x14ac:dyDescent="0.4">
      <c r="G446" s="6"/>
      <c r="J446" s="9"/>
      <c r="K446" s="10"/>
      <c r="X446" s="9"/>
      <c r="Y446" s="11"/>
      <c r="Z446" s="11"/>
      <c r="AC446" s="9"/>
    </row>
    <row r="447" spans="7:29" x14ac:dyDescent="0.4">
      <c r="G447" s="6"/>
      <c r="J447" s="9"/>
      <c r="K447" s="10"/>
      <c r="X447" s="9"/>
      <c r="Y447" s="11"/>
      <c r="Z447" s="11"/>
      <c r="AC447" s="9"/>
    </row>
    <row r="448" spans="7:29" x14ac:dyDescent="0.4">
      <c r="G448" s="6"/>
      <c r="J448" s="9"/>
      <c r="K448" s="10"/>
      <c r="X448" s="9"/>
      <c r="Y448" s="11"/>
      <c r="Z448" s="11"/>
      <c r="AC448" s="9"/>
    </row>
    <row r="449" spans="7:29" x14ac:dyDescent="0.4">
      <c r="G449" s="6"/>
      <c r="J449" s="9"/>
      <c r="K449" s="10"/>
      <c r="X449" s="9"/>
      <c r="Y449" s="11"/>
      <c r="Z449" s="11"/>
      <c r="AC449" s="9"/>
    </row>
    <row r="450" spans="7:29" x14ac:dyDescent="0.4">
      <c r="G450" s="6"/>
      <c r="J450" s="9"/>
      <c r="K450" s="10"/>
      <c r="X450" s="9"/>
      <c r="Y450" s="11"/>
      <c r="Z450" s="11"/>
      <c r="AC450" s="9"/>
    </row>
    <row r="451" spans="7:29" x14ac:dyDescent="0.4">
      <c r="G451" s="6"/>
      <c r="J451" s="9"/>
      <c r="K451" s="10"/>
      <c r="X451" s="9"/>
      <c r="Y451" s="11"/>
      <c r="Z451" s="11"/>
      <c r="AC451" s="9"/>
    </row>
    <row r="452" spans="7:29" x14ac:dyDescent="0.4">
      <c r="G452" s="6"/>
      <c r="J452" s="9"/>
      <c r="K452" s="10"/>
      <c r="X452" s="9"/>
      <c r="Y452" s="11"/>
      <c r="Z452" s="11"/>
      <c r="AC452" s="9"/>
    </row>
    <row r="453" spans="7:29" x14ac:dyDescent="0.4">
      <c r="G453" s="6"/>
      <c r="J453" s="9"/>
      <c r="K453" s="10"/>
      <c r="X453" s="9"/>
      <c r="Y453" s="11"/>
      <c r="Z453" s="11"/>
      <c r="AC453" s="9"/>
    </row>
    <row r="454" spans="7:29" x14ac:dyDescent="0.4">
      <c r="G454" s="6"/>
      <c r="J454" s="9"/>
      <c r="K454" s="10"/>
      <c r="X454" s="9"/>
      <c r="Y454" s="11"/>
      <c r="Z454" s="11"/>
      <c r="AC454" s="9"/>
    </row>
    <row r="455" spans="7:29" x14ac:dyDescent="0.4">
      <c r="G455" s="6"/>
      <c r="J455" s="9"/>
      <c r="K455" s="10"/>
      <c r="X455" s="9"/>
      <c r="Y455" s="11"/>
      <c r="Z455" s="11"/>
      <c r="AC455" s="9"/>
    </row>
    <row r="456" spans="7:29" x14ac:dyDescent="0.4">
      <c r="G456" s="6"/>
      <c r="J456" s="9"/>
      <c r="K456" s="10"/>
      <c r="X456" s="9"/>
      <c r="Y456" s="11"/>
      <c r="Z456" s="11"/>
      <c r="AC456" s="9"/>
    </row>
    <row r="457" spans="7:29" x14ac:dyDescent="0.4">
      <c r="G457" s="6"/>
      <c r="J457" s="9"/>
      <c r="K457" s="10"/>
      <c r="X457" s="9"/>
      <c r="Y457" s="11"/>
      <c r="Z457" s="11"/>
      <c r="AC457" s="9"/>
    </row>
    <row r="458" spans="7:29" x14ac:dyDescent="0.4">
      <c r="G458" s="6"/>
      <c r="J458" s="9"/>
      <c r="K458" s="10"/>
      <c r="X458" s="9"/>
      <c r="Y458" s="11"/>
      <c r="Z458" s="11"/>
      <c r="AC458" s="9"/>
    </row>
    <row r="459" spans="7:29" x14ac:dyDescent="0.4">
      <c r="G459" s="6"/>
      <c r="J459" s="9"/>
      <c r="K459" s="10"/>
      <c r="X459" s="9"/>
      <c r="Y459" s="11"/>
      <c r="Z459" s="11"/>
      <c r="AC459" s="9"/>
    </row>
    <row r="460" spans="7:29" x14ac:dyDescent="0.4">
      <c r="G460" s="6"/>
      <c r="J460" s="9"/>
      <c r="K460" s="10"/>
      <c r="X460" s="9"/>
      <c r="Y460" s="11"/>
      <c r="Z460" s="11"/>
      <c r="AC460" s="9"/>
    </row>
    <row r="461" spans="7:29" x14ac:dyDescent="0.4">
      <c r="G461" s="6"/>
      <c r="J461" s="9"/>
      <c r="K461" s="10"/>
      <c r="X461" s="9"/>
      <c r="Y461" s="11"/>
      <c r="Z461" s="11"/>
      <c r="AC461" s="9"/>
    </row>
    <row r="462" spans="7:29" x14ac:dyDescent="0.4">
      <c r="G462" s="6"/>
      <c r="J462" s="9"/>
      <c r="K462" s="10"/>
      <c r="X462" s="9"/>
      <c r="Y462" s="11"/>
      <c r="Z462" s="11"/>
      <c r="AC462" s="9"/>
    </row>
    <row r="463" spans="7:29" x14ac:dyDescent="0.4">
      <c r="G463" s="6"/>
      <c r="J463" s="9"/>
      <c r="K463" s="10"/>
      <c r="X463" s="9"/>
      <c r="Y463" s="11"/>
      <c r="Z463" s="11"/>
      <c r="AC463" s="9"/>
    </row>
    <row r="464" spans="7:29" x14ac:dyDescent="0.4">
      <c r="G464" s="6"/>
      <c r="J464" s="9"/>
      <c r="K464" s="10"/>
      <c r="X464" s="9"/>
      <c r="Y464" s="11"/>
      <c r="Z464" s="11"/>
      <c r="AC464" s="9"/>
    </row>
    <row r="465" spans="7:29" x14ac:dyDescent="0.4">
      <c r="G465" s="6"/>
      <c r="J465" s="9"/>
      <c r="K465" s="10"/>
      <c r="X465" s="9"/>
      <c r="Y465" s="11"/>
      <c r="Z465" s="11"/>
      <c r="AC465" s="9"/>
    </row>
    <row r="466" spans="7:29" x14ac:dyDescent="0.4">
      <c r="G466" s="6"/>
      <c r="J466" s="9"/>
      <c r="K466" s="10"/>
      <c r="X466" s="9"/>
      <c r="Y466" s="11"/>
      <c r="Z466" s="11"/>
      <c r="AC466" s="9"/>
    </row>
    <row r="467" spans="7:29" x14ac:dyDescent="0.4">
      <c r="G467" s="6"/>
      <c r="J467" s="9"/>
      <c r="K467" s="10"/>
      <c r="X467" s="9"/>
      <c r="Y467" s="11"/>
      <c r="Z467" s="11"/>
      <c r="AC467" s="9"/>
    </row>
    <row r="468" spans="7:29" x14ac:dyDescent="0.4">
      <c r="G468" s="6"/>
      <c r="J468" s="9"/>
      <c r="K468" s="10"/>
      <c r="X468" s="9"/>
      <c r="Y468" s="11"/>
      <c r="Z468" s="11"/>
      <c r="AC468" s="9"/>
    </row>
    <row r="469" spans="7:29" x14ac:dyDescent="0.4">
      <c r="G469" s="6"/>
      <c r="J469" s="9"/>
      <c r="K469" s="10"/>
      <c r="X469" s="9"/>
      <c r="Y469" s="11"/>
      <c r="Z469" s="11"/>
      <c r="AC469" s="9"/>
    </row>
    <row r="470" spans="7:29" x14ac:dyDescent="0.4">
      <c r="G470" s="6"/>
      <c r="J470" s="9"/>
      <c r="K470" s="10"/>
      <c r="X470" s="9"/>
      <c r="Y470" s="11"/>
      <c r="Z470" s="11"/>
      <c r="AC470" s="9"/>
    </row>
    <row r="471" spans="7:29" x14ac:dyDescent="0.4">
      <c r="G471" s="6"/>
      <c r="J471" s="9"/>
      <c r="K471" s="10"/>
      <c r="X471" s="9"/>
      <c r="Y471" s="11"/>
      <c r="Z471" s="11"/>
      <c r="AC471" s="9"/>
    </row>
    <row r="472" spans="7:29" x14ac:dyDescent="0.4">
      <c r="G472" s="6"/>
      <c r="J472" s="9"/>
      <c r="K472" s="10"/>
      <c r="X472" s="9"/>
      <c r="Y472" s="11"/>
      <c r="Z472" s="11"/>
      <c r="AC472" s="9"/>
    </row>
    <row r="473" spans="7:29" x14ac:dyDescent="0.4">
      <c r="G473" s="6"/>
      <c r="J473" s="9"/>
      <c r="K473" s="10"/>
      <c r="X473" s="9"/>
      <c r="Y473" s="11"/>
      <c r="Z473" s="11"/>
      <c r="AC473" s="9"/>
    </row>
    <row r="474" spans="7:29" x14ac:dyDescent="0.4">
      <c r="G474" s="6"/>
      <c r="J474" s="9"/>
      <c r="K474" s="10"/>
      <c r="X474" s="9"/>
      <c r="Y474" s="11"/>
      <c r="Z474" s="11"/>
      <c r="AC474" s="9"/>
    </row>
    <row r="475" spans="7:29" x14ac:dyDescent="0.4">
      <c r="G475" s="6"/>
      <c r="J475" s="9"/>
      <c r="K475" s="10"/>
      <c r="X475" s="9"/>
      <c r="Y475" s="11"/>
      <c r="Z475" s="11"/>
      <c r="AC475" s="9"/>
    </row>
    <row r="476" spans="7:29" x14ac:dyDescent="0.4">
      <c r="G476" s="6"/>
      <c r="J476" s="9"/>
      <c r="K476" s="10"/>
      <c r="X476" s="9"/>
      <c r="Y476" s="11"/>
      <c r="Z476" s="11"/>
      <c r="AC476" s="9"/>
    </row>
    <row r="477" spans="7:29" x14ac:dyDescent="0.4">
      <c r="G477" s="6"/>
      <c r="J477" s="9"/>
      <c r="K477" s="10"/>
      <c r="X477" s="9"/>
      <c r="Y477" s="11"/>
      <c r="Z477" s="11"/>
      <c r="AC477" s="9"/>
    </row>
    <row r="478" spans="7:29" x14ac:dyDescent="0.4">
      <c r="G478" s="6"/>
      <c r="J478" s="9"/>
      <c r="K478" s="10"/>
      <c r="X478" s="9"/>
      <c r="Y478" s="11"/>
      <c r="Z478" s="11"/>
      <c r="AC478" s="9"/>
    </row>
    <row r="479" spans="7:29" x14ac:dyDescent="0.4">
      <c r="G479" s="6"/>
      <c r="J479" s="9"/>
      <c r="K479" s="10"/>
      <c r="X479" s="9"/>
      <c r="Y479" s="11"/>
      <c r="Z479" s="11"/>
      <c r="AC479" s="9"/>
    </row>
    <row r="480" spans="7:29" x14ac:dyDescent="0.4">
      <c r="G480" s="6"/>
      <c r="J480" s="9"/>
      <c r="K480" s="10"/>
      <c r="X480" s="9"/>
      <c r="Y480" s="11"/>
      <c r="Z480" s="11"/>
      <c r="AC480" s="9"/>
    </row>
    <row r="481" spans="7:29" x14ac:dyDescent="0.4">
      <c r="G481" s="6"/>
      <c r="J481" s="9"/>
      <c r="K481" s="10"/>
      <c r="X481" s="9"/>
      <c r="Y481" s="11"/>
      <c r="Z481" s="11"/>
      <c r="AC481" s="9"/>
    </row>
    <row r="482" spans="7:29" x14ac:dyDescent="0.4">
      <c r="G482" s="6"/>
      <c r="J482" s="9"/>
      <c r="K482" s="10"/>
      <c r="X482" s="9"/>
      <c r="Y482" s="11"/>
      <c r="Z482" s="11"/>
      <c r="AC482" s="9"/>
    </row>
    <row r="483" spans="7:29" x14ac:dyDescent="0.4">
      <c r="G483" s="6"/>
      <c r="J483" s="9"/>
      <c r="K483" s="10"/>
      <c r="X483" s="9"/>
      <c r="Y483" s="11"/>
      <c r="Z483" s="11"/>
      <c r="AC483" s="9"/>
    </row>
    <row r="484" spans="7:29" x14ac:dyDescent="0.4">
      <c r="G484" s="6"/>
      <c r="J484" s="9"/>
      <c r="K484" s="10"/>
      <c r="X484" s="9"/>
      <c r="Y484" s="11"/>
      <c r="Z484" s="11"/>
      <c r="AC484" s="9"/>
    </row>
    <row r="485" spans="7:29" x14ac:dyDescent="0.4">
      <c r="G485" s="6"/>
      <c r="J485" s="9"/>
      <c r="K485" s="10"/>
      <c r="X485" s="9"/>
      <c r="Y485" s="11"/>
      <c r="Z485" s="11"/>
      <c r="AC485" s="9"/>
    </row>
    <row r="486" spans="7:29" x14ac:dyDescent="0.4">
      <c r="G486" s="6"/>
      <c r="J486" s="9"/>
      <c r="K486" s="10"/>
      <c r="X486" s="9"/>
      <c r="Y486" s="11"/>
      <c r="Z486" s="11"/>
      <c r="AC486" s="9"/>
    </row>
    <row r="487" spans="7:29" x14ac:dyDescent="0.4">
      <c r="G487" s="6"/>
      <c r="J487" s="9"/>
      <c r="K487" s="10"/>
      <c r="X487" s="9"/>
      <c r="Y487" s="11"/>
      <c r="Z487" s="11"/>
      <c r="AC487" s="9"/>
    </row>
    <row r="488" spans="7:29" x14ac:dyDescent="0.4">
      <c r="G488" s="6"/>
      <c r="J488" s="9"/>
      <c r="K488" s="10"/>
      <c r="X488" s="9"/>
      <c r="Y488" s="11"/>
      <c r="Z488" s="11"/>
      <c r="AC488" s="9"/>
    </row>
    <row r="489" spans="7:29" x14ac:dyDescent="0.4">
      <c r="G489" s="6"/>
      <c r="J489" s="9"/>
      <c r="K489" s="10"/>
      <c r="X489" s="9"/>
      <c r="Y489" s="11"/>
      <c r="Z489" s="11"/>
      <c r="AC489" s="9"/>
    </row>
    <row r="490" spans="7:29" x14ac:dyDescent="0.4">
      <c r="G490" s="6"/>
      <c r="J490" s="9"/>
      <c r="K490" s="10"/>
      <c r="X490" s="9"/>
      <c r="Y490" s="11"/>
      <c r="Z490" s="11"/>
      <c r="AC490" s="9"/>
    </row>
    <row r="491" spans="7:29" x14ac:dyDescent="0.4">
      <c r="G491" s="6"/>
      <c r="J491" s="9"/>
      <c r="K491" s="10"/>
      <c r="X491" s="9"/>
      <c r="Y491" s="11"/>
      <c r="Z491" s="11"/>
      <c r="AC491" s="9"/>
    </row>
    <row r="492" spans="7:29" x14ac:dyDescent="0.4">
      <c r="G492" s="6"/>
      <c r="J492" s="9"/>
      <c r="K492" s="10"/>
      <c r="X492" s="9"/>
      <c r="Y492" s="11"/>
      <c r="Z492" s="11"/>
      <c r="AC492" s="9"/>
    </row>
    <row r="493" spans="7:29" x14ac:dyDescent="0.4">
      <c r="G493" s="6"/>
      <c r="J493" s="9"/>
      <c r="K493" s="10"/>
      <c r="X493" s="9"/>
      <c r="Y493" s="11"/>
      <c r="Z493" s="11"/>
      <c r="AC493" s="9"/>
    </row>
    <row r="494" spans="7:29" x14ac:dyDescent="0.4">
      <c r="G494" s="6"/>
      <c r="J494" s="9"/>
      <c r="K494" s="10"/>
      <c r="X494" s="9"/>
      <c r="Y494" s="11"/>
      <c r="Z494" s="11"/>
      <c r="AC494" s="9"/>
    </row>
    <row r="495" spans="7:29" x14ac:dyDescent="0.4">
      <c r="G495" s="6"/>
      <c r="J495" s="9"/>
      <c r="K495" s="10"/>
      <c r="X495" s="9"/>
      <c r="Y495" s="11"/>
      <c r="Z495" s="11"/>
      <c r="AC495" s="9"/>
    </row>
    <row r="496" spans="7:29" x14ac:dyDescent="0.4">
      <c r="G496" s="6"/>
      <c r="J496" s="9"/>
      <c r="K496" s="10"/>
      <c r="X496" s="9"/>
      <c r="Y496" s="11"/>
      <c r="Z496" s="11"/>
      <c r="AC496" s="9"/>
    </row>
    <row r="497" spans="7:29" x14ac:dyDescent="0.4">
      <c r="G497" s="6"/>
      <c r="J497" s="9"/>
      <c r="K497" s="10"/>
      <c r="X497" s="9"/>
      <c r="Y497" s="11"/>
      <c r="Z497" s="11"/>
      <c r="AC497" s="9"/>
    </row>
    <row r="498" spans="7:29" x14ac:dyDescent="0.4">
      <c r="G498" s="6"/>
      <c r="J498" s="9"/>
      <c r="K498" s="10"/>
      <c r="X498" s="9"/>
      <c r="Y498" s="11"/>
      <c r="Z498" s="11"/>
      <c r="AC498" s="9"/>
    </row>
    <row r="499" spans="7:29" x14ac:dyDescent="0.4">
      <c r="G499" s="6"/>
      <c r="J499" s="9"/>
      <c r="K499" s="10"/>
      <c r="X499" s="9"/>
      <c r="Y499" s="11"/>
      <c r="Z499" s="11"/>
      <c r="AC499" s="9"/>
    </row>
    <row r="500" spans="7:29" x14ac:dyDescent="0.4">
      <c r="G500" s="6"/>
      <c r="J500" s="9"/>
      <c r="K500" s="10"/>
      <c r="X500" s="9"/>
      <c r="Y500" s="11"/>
      <c r="Z500" s="11"/>
      <c r="AC500" s="9"/>
    </row>
    <row r="501" spans="7:29" x14ac:dyDescent="0.4">
      <c r="G501" s="6"/>
      <c r="J501" s="9"/>
      <c r="K501" s="10"/>
      <c r="X501" s="9"/>
      <c r="Y501" s="11"/>
      <c r="Z501" s="11"/>
      <c r="AC501" s="9"/>
    </row>
    <row r="502" spans="7:29" x14ac:dyDescent="0.4">
      <c r="G502" s="6"/>
      <c r="J502" s="9"/>
      <c r="K502" s="10"/>
      <c r="X502" s="9"/>
      <c r="Y502" s="11"/>
      <c r="Z502" s="11"/>
      <c r="AC502" s="9"/>
    </row>
    <row r="503" spans="7:29" x14ac:dyDescent="0.4">
      <c r="G503" s="6"/>
      <c r="J503" s="9"/>
      <c r="K503" s="10"/>
      <c r="X503" s="9"/>
      <c r="Y503" s="11"/>
      <c r="Z503" s="11"/>
      <c r="AC503" s="9"/>
    </row>
    <row r="504" spans="7:29" x14ac:dyDescent="0.4">
      <c r="G504" s="6"/>
      <c r="J504" s="9"/>
      <c r="K504" s="10"/>
      <c r="X504" s="9"/>
      <c r="Y504" s="11"/>
      <c r="Z504" s="11"/>
      <c r="AC504" s="9"/>
    </row>
    <row r="505" spans="7:29" x14ac:dyDescent="0.4">
      <c r="G505" s="6"/>
      <c r="J505" s="9"/>
      <c r="K505" s="10"/>
      <c r="X505" s="9"/>
      <c r="Y505" s="11"/>
      <c r="Z505" s="11"/>
      <c r="AC505" s="9"/>
    </row>
    <row r="506" spans="7:29" x14ac:dyDescent="0.4">
      <c r="G506" s="6"/>
      <c r="J506" s="9"/>
      <c r="K506" s="10"/>
      <c r="X506" s="9"/>
      <c r="Y506" s="11"/>
      <c r="Z506" s="11"/>
      <c r="AC506" s="9"/>
    </row>
    <row r="507" spans="7:29" x14ac:dyDescent="0.4">
      <c r="G507" s="6"/>
      <c r="J507" s="9"/>
      <c r="K507" s="10"/>
      <c r="X507" s="9"/>
      <c r="Y507" s="11"/>
      <c r="Z507" s="11"/>
      <c r="AC507" s="9"/>
    </row>
    <row r="508" spans="7:29" x14ac:dyDescent="0.4">
      <c r="G508" s="6"/>
      <c r="J508" s="9"/>
      <c r="K508" s="10"/>
      <c r="X508" s="9"/>
      <c r="Y508" s="11"/>
      <c r="Z508" s="11"/>
      <c r="AC508" s="9"/>
    </row>
    <row r="509" spans="7:29" x14ac:dyDescent="0.4">
      <c r="G509" s="6"/>
      <c r="J509" s="9"/>
      <c r="K509" s="10"/>
      <c r="X509" s="9"/>
      <c r="Y509" s="11"/>
      <c r="Z509" s="11"/>
      <c r="AC509" s="9"/>
    </row>
    <row r="510" spans="7:29" x14ac:dyDescent="0.4">
      <c r="G510" s="6"/>
      <c r="J510" s="9"/>
      <c r="K510" s="10"/>
      <c r="X510" s="9"/>
      <c r="Y510" s="11"/>
      <c r="Z510" s="11"/>
      <c r="AC510" s="9"/>
    </row>
    <row r="511" spans="7:29" x14ac:dyDescent="0.4">
      <c r="G511" s="6"/>
      <c r="J511" s="9"/>
      <c r="K511" s="10"/>
      <c r="X511" s="9"/>
      <c r="Y511" s="11"/>
      <c r="Z511" s="11"/>
      <c r="AC511" s="9"/>
    </row>
    <row r="512" spans="7:29" x14ac:dyDescent="0.4">
      <c r="G512" s="6"/>
      <c r="J512" s="9"/>
      <c r="K512" s="10"/>
      <c r="X512" s="9"/>
      <c r="Y512" s="11"/>
      <c r="Z512" s="11"/>
      <c r="AC512" s="9"/>
    </row>
    <row r="513" spans="7:29" x14ac:dyDescent="0.4">
      <c r="G513" s="6"/>
      <c r="J513" s="9"/>
      <c r="K513" s="10"/>
      <c r="X513" s="9"/>
      <c r="Y513" s="11"/>
      <c r="Z513" s="11"/>
      <c r="AC513" s="9"/>
    </row>
    <row r="514" spans="7:29" x14ac:dyDescent="0.4">
      <c r="G514" s="6"/>
      <c r="J514" s="9"/>
      <c r="K514" s="10"/>
      <c r="X514" s="9"/>
      <c r="Y514" s="11"/>
      <c r="Z514" s="11"/>
      <c r="AC514" s="9"/>
    </row>
    <row r="515" spans="7:29" x14ac:dyDescent="0.4">
      <c r="G515" s="6"/>
      <c r="J515" s="9"/>
      <c r="K515" s="10"/>
      <c r="X515" s="9"/>
      <c r="Y515" s="11"/>
      <c r="Z515" s="11"/>
      <c r="AC515" s="9"/>
    </row>
    <row r="516" spans="7:29" x14ac:dyDescent="0.4">
      <c r="G516" s="6"/>
      <c r="J516" s="9"/>
      <c r="K516" s="10"/>
      <c r="X516" s="9"/>
      <c r="Y516" s="11"/>
      <c r="Z516" s="11"/>
      <c r="AC516" s="9"/>
    </row>
    <row r="517" spans="7:29" x14ac:dyDescent="0.4">
      <c r="G517" s="6"/>
      <c r="J517" s="9"/>
      <c r="K517" s="10"/>
      <c r="X517" s="9"/>
      <c r="Y517" s="11"/>
      <c r="Z517" s="11"/>
      <c r="AC517" s="9"/>
    </row>
    <row r="518" spans="7:29" x14ac:dyDescent="0.4">
      <c r="G518" s="6"/>
      <c r="J518" s="9"/>
      <c r="K518" s="10"/>
      <c r="X518" s="9"/>
      <c r="Y518" s="11"/>
      <c r="Z518" s="11"/>
      <c r="AC518" s="9"/>
    </row>
    <row r="519" spans="7:29" x14ac:dyDescent="0.4">
      <c r="G519" s="6"/>
      <c r="J519" s="9"/>
      <c r="K519" s="10"/>
      <c r="X519" s="9"/>
      <c r="Y519" s="11"/>
      <c r="Z519" s="11"/>
      <c r="AC519" s="9"/>
    </row>
    <row r="520" spans="7:29" x14ac:dyDescent="0.4">
      <c r="G520" s="6"/>
      <c r="J520" s="9"/>
      <c r="K520" s="10"/>
      <c r="X520" s="9"/>
      <c r="Y520" s="11"/>
      <c r="Z520" s="11"/>
      <c r="AC520" s="9"/>
    </row>
    <row r="521" spans="7:29" x14ac:dyDescent="0.4">
      <c r="G521" s="6"/>
      <c r="J521" s="9"/>
      <c r="K521" s="10"/>
      <c r="X521" s="9"/>
      <c r="Y521" s="11"/>
      <c r="Z521" s="11"/>
      <c r="AC521" s="9"/>
    </row>
    <row r="522" spans="7:29" x14ac:dyDescent="0.4">
      <c r="G522" s="6"/>
      <c r="J522" s="9"/>
      <c r="K522" s="10"/>
      <c r="X522" s="9"/>
      <c r="Y522" s="11"/>
      <c r="Z522" s="11"/>
      <c r="AC522" s="9"/>
    </row>
    <row r="523" spans="7:29" x14ac:dyDescent="0.4">
      <c r="G523" s="6"/>
      <c r="J523" s="9"/>
      <c r="K523" s="10"/>
      <c r="X523" s="9"/>
      <c r="Y523" s="11"/>
      <c r="Z523" s="11"/>
      <c r="AC523" s="9"/>
    </row>
    <row r="524" spans="7:29" x14ac:dyDescent="0.4">
      <c r="G524" s="6"/>
      <c r="J524" s="9"/>
      <c r="K524" s="10"/>
      <c r="X524" s="9"/>
      <c r="Y524" s="11"/>
      <c r="Z524" s="11"/>
      <c r="AC524" s="9"/>
    </row>
    <row r="525" spans="7:29" x14ac:dyDescent="0.4">
      <c r="G525" s="6"/>
      <c r="J525" s="9"/>
      <c r="K525" s="10"/>
      <c r="X525" s="9"/>
      <c r="Y525" s="11"/>
      <c r="Z525" s="11"/>
      <c r="AC525" s="9"/>
    </row>
    <row r="526" spans="7:29" x14ac:dyDescent="0.4">
      <c r="G526" s="6"/>
      <c r="J526" s="9"/>
      <c r="K526" s="10"/>
      <c r="X526" s="9"/>
      <c r="Y526" s="11"/>
      <c r="Z526" s="11"/>
      <c r="AC526" s="9"/>
    </row>
    <row r="527" spans="7:29" x14ac:dyDescent="0.4">
      <c r="G527" s="6"/>
      <c r="J527" s="9"/>
      <c r="K527" s="10"/>
      <c r="X527" s="9"/>
      <c r="Y527" s="11"/>
      <c r="Z527" s="11"/>
      <c r="AC527" s="9"/>
    </row>
    <row r="528" spans="7:29" x14ac:dyDescent="0.4">
      <c r="G528" s="6"/>
      <c r="J528" s="9"/>
      <c r="K528" s="10"/>
      <c r="X528" s="9"/>
      <c r="Y528" s="11"/>
      <c r="Z528" s="11"/>
      <c r="AC528" s="9"/>
    </row>
    <row r="529" spans="7:29" x14ac:dyDescent="0.4">
      <c r="G529" s="6"/>
      <c r="J529" s="9"/>
      <c r="K529" s="10"/>
      <c r="X529" s="9"/>
      <c r="Y529" s="11"/>
      <c r="Z529" s="11"/>
      <c r="AC529" s="9"/>
    </row>
    <row r="530" spans="7:29" x14ac:dyDescent="0.4">
      <c r="G530" s="6"/>
      <c r="J530" s="9"/>
      <c r="K530" s="10"/>
      <c r="X530" s="9"/>
      <c r="Y530" s="11"/>
      <c r="Z530" s="11"/>
      <c r="AC530" s="9"/>
    </row>
    <row r="531" spans="7:29" x14ac:dyDescent="0.4">
      <c r="G531" s="6"/>
      <c r="J531" s="9"/>
      <c r="K531" s="10"/>
      <c r="X531" s="9"/>
      <c r="Y531" s="11"/>
      <c r="Z531" s="11"/>
      <c r="AC531" s="9"/>
    </row>
    <row r="532" spans="7:29" x14ac:dyDescent="0.4">
      <c r="G532" s="6"/>
      <c r="J532" s="9"/>
      <c r="K532" s="10"/>
      <c r="X532" s="9"/>
      <c r="Y532" s="11"/>
      <c r="Z532" s="11"/>
      <c r="AC532" s="9"/>
    </row>
    <row r="533" spans="7:29" x14ac:dyDescent="0.4">
      <c r="G533" s="6"/>
      <c r="J533" s="9"/>
      <c r="K533" s="10"/>
      <c r="X533" s="9"/>
      <c r="Y533" s="11"/>
      <c r="Z533" s="11"/>
      <c r="AC533" s="9"/>
    </row>
    <row r="534" spans="7:29" x14ac:dyDescent="0.4">
      <c r="G534" s="6"/>
      <c r="J534" s="9"/>
      <c r="K534" s="10"/>
      <c r="X534" s="9"/>
      <c r="Y534" s="11"/>
      <c r="Z534" s="11"/>
      <c r="AC534" s="9"/>
    </row>
    <row r="535" spans="7:29" x14ac:dyDescent="0.4">
      <c r="G535" s="6"/>
      <c r="J535" s="9"/>
      <c r="K535" s="10"/>
      <c r="X535" s="9"/>
      <c r="Y535" s="11"/>
      <c r="Z535" s="11"/>
      <c r="AC535" s="9"/>
    </row>
    <row r="536" spans="7:29" x14ac:dyDescent="0.4">
      <c r="G536" s="6"/>
      <c r="J536" s="9"/>
      <c r="K536" s="10"/>
      <c r="X536" s="9"/>
      <c r="Y536" s="11"/>
      <c r="Z536" s="11"/>
      <c r="AC536" s="9"/>
    </row>
    <row r="537" spans="7:29" x14ac:dyDescent="0.4">
      <c r="G537" s="6"/>
      <c r="J537" s="9"/>
      <c r="K537" s="10"/>
      <c r="X537" s="9"/>
      <c r="Y537" s="11"/>
      <c r="Z537" s="11"/>
      <c r="AC537" s="9"/>
    </row>
    <row r="538" spans="7:29" x14ac:dyDescent="0.4">
      <c r="G538" s="6"/>
      <c r="J538" s="9"/>
      <c r="K538" s="10"/>
      <c r="X538" s="9"/>
      <c r="Y538" s="11"/>
      <c r="Z538" s="11"/>
      <c r="AC538" s="9"/>
    </row>
    <row r="539" spans="7:29" x14ac:dyDescent="0.4">
      <c r="G539" s="6"/>
      <c r="J539" s="9"/>
      <c r="K539" s="10"/>
      <c r="X539" s="9"/>
      <c r="Y539" s="11"/>
      <c r="Z539" s="11"/>
      <c r="AC539" s="9"/>
    </row>
    <row r="540" spans="7:29" x14ac:dyDescent="0.4">
      <c r="G540" s="6"/>
      <c r="J540" s="9"/>
      <c r="K540" s="10"/>
      <c r="X540" s="9"/>
      <c r="Y540" s="11"/>
      <c r="Z540" s="11"/>
      <c r="AC540" s="9"/>
    </row>
    <row r="541" spans="7:29" x14ac:dyDescent="0.4">
      <c r="G541" s="6"/>
      <c r="J541" s="9"/>
      <c r="K541" s="10"/>
      <c r="X541" s="9"/>
      <c r="Y541" s="11"/>
      <c r="Z541" s="11"/>
      <c r="AC541" s="9"/>
    </row>
    <row r="542" spans="7:29" x14ac:dyDescent="0.4">
      <c r="G542" s="6"/>
      <c r="J542" s="9"/>
      <c r="K542" s="10"/>
      <c r="X542" s="9"/>
      <c r="Y542" s="11"/>
      <c r="Z542" s="11"/>
      <c r="AC542" s="9"/>
    </row>
    <row r="543" spans="7:29" x14ac:dyDescent="0.4">
      <c r="G543" s="6"/>
      <c r="J543" s="9"/>
      <c r="K543" s="10"/>
      <c r="X543" s="9"/>
      <c r="Y543" s="11"/>
      <c r="Z543" s="11"/>
      <c r="AC543" s="9"/>
    </row>
    <row r="544" spans="7:29" x14ac:dyDescent="0.4">
      <c r="G544" s="6"/>
      <c r="J544" s="9"/>
      <c r="K544" s="10"/>
      <c r="X544" s="9"/>
      <c r="Y544" s="11"/>
      <c r="Z544" s="11"/>
      <c r="AC544" s="9"/>
    </row>
    <row r="545" spans="7:29" x14ac:dyDescent="0.4">
      <c r="G545" s="6"/>
      <c r="J545" s="9"/>
      <c r="K545" s="10"/>
      <c r="X545" s="9"/>
      <c r="Y545" s="11"/>
      <c r="Z545" s="11"/>
      <c r="AC545" s="9"/>
    </row>
    <row r="546" spans="7:29" x14ac:dyDescent="0.4">
      <c r="G546" s="6"/>
      <c r="J546" s="9"/>
      <c r="K546" s="10"/>
      <c r="X546" s="9"/>
      <c r="Y546" s="11"/>
      <c r="Z546" s="11"/>
      <c r="AC546" s="9"/>
    </row>
    <row r="547" spans="7:29" x14ac:dyDescent="0.4">
      <c r="G547" s="6"/>
      <c r="J547" s="9"/>
      <c r="K547" s="10"/>
      <c r="X547" s="9"/>
      <c r="Y547" s="11"/>
      <c r="Z547" s="11"/>
      <c r="AC547" s="9"/>
    </row>
    <row r="548" spans="7:29" x14ac:dyDescent="0.4">
      <c r="G548" s="6"/>
      <c r="J548" s="9"/>
      <c r="K548" s="10"/>
      <c r="X548" s="9"/>
      <c r="Y548" s="11"/>
      <c r="Z548" s="11"/>
      <c r="AC548" s="9"/>
    </row>
    <row r="549" spans="7:29" x14ac:dyDescent="0.4">
      <c r="G549" s="6"/>
      <c r="J549" s="9"/>
      <c r="K549" s="10"/>
      <c r="X549" s="9"/>
      <c r="Y549" s="11"/>
      <c r="Z549" s="11"/>
      <c r="AC549" s="9"/>
    </row>
    <row r="550" spans="7:29" x14ac:dyDescent="0.4">
      <c r="G550" s="6"/>
      <c r="J550" s="9"/>
      <c r="K550" s="10"/>
      <c r="X550" s="9"/>
      <c r="Y550" s="11"/>
      <c r="Z550" s="11"/>
      <c r="AC550" s="9"/>
    </row>
    <row r="551" spans="7:29" x14ac:dyDescent="0.4">
      <c r="G551" s="6"/>
      <c r="J551" s="9"/>
      <c r="K551" s="10"/>
      <c r="X551" s="9"/>
      <c r="Y551" s="11"/>
      <c r="Z551" s="11"/>
      <c r="AC551" s="9"/>
    </row>
    <row r="552" spans="7:29" x14ac:dyDescent="0.4">
      <c r="G552" s="6"/>
      <c r="J552" s="9"/>
      <c r="K552" s="10"/>
      <c r="X552" s="9"/>
      <c r="Y552" s="11"/>
      <c r="Z552" s="11"/>
      <c r="AC552" s="9"/>
    </row>
    <row r="553" spans="7:29" x14ac:dyDescent="0.4">
      <c r="G553" s="6"/>
      <c r="J553" s="9"/>
      <c r="K553" s="10"/>
      <c r="X553" s="9"/>
      <c r="Y553" s="11"/>
      <c r="Z553" s="11"/>
      <c r="AC553" s="9"/>
    </row>
    <row r="554" spans="7:29" x14ac:dyDescent="0.4">
      <c r="G554" s="6"/>
      <c r="J554" s="9"/>
      <c r="K554" s="10"/>
      <c r="X554" s="9"/>
      <c r="Y554" s="11"/>
      <c r="Z554" s="11"/>
      <c r="AC554" s="9"/>
    </row>
    <row r="555" spans="7:29" x14ac:dyDescent="0.4">
      <c r="G555" s="6"/>
      <c r="J555" s="9"/>
      <c r="K555" s="10"/>
      <c r="X555" s="9"/>
      <c r="Y555" s="11"/>
      <c r="Z555" s="11"/>
      <c r="AC555" s="9"/>
    </row>
    <row r="556" spans="7:29" x14ac:dyDescent="0.4">
      <c r="G556" s="6"/>
      <c r="J556" s="9"/>
      <c r="K556" s="10"/>
      <c r="X556" s="9"/>
      <c r="Y556" s="11"/>
      <c r="Z556" s="11"/>
      <c r="AC556" s="9"/>
    </row>
    <row r="557" spans="7:29" x14ac:dyDescent="0.4">
      <c r="G557" s="6"/>
      <c r="J557" s="9"/>
      <c r="K557" s="10"/>
      <c r="X557" s="9"/>
      <c r="Y557" s="11"/>
      <c r="Z557" s="11"/>
      <c r="AC557" s="9"/>
    </row>
    <row r="558" spans="7:29" x14ac:dyDescent="0.4">
      <c r="G558" s="6"/>
      <c r="J558" s="9"/>
      <c r="K558" s="10"/>
      <c r="X558" s="9"/>
      <c r="Y558" s="11"/>
      <c r="Z558" s="11"/>
      <c r="AC558" s="9"/>
    </row>
    <row r="559" spans="7:29" x14ac:dyDescent="0.4">
      <c r="G559" s="6"/>
      <c r="J559" s="9"/>
      <c r="K559" s="10"/>
      <c r="X559" s="9"/>
      <c r="Y559" s="11"/>
      <c r="Z559" s="11"/>
      <c r="AC559" s="9"/>
    </row>
    <row r="560" spans="7:29" x14ac:dyDescent="0.4">
      <c r="G560" s="6"/>
      <c r="J560" s="9"/>
      <c r="K560" s="10"/>
      <c r="X560" s="9"/>
      <c r="Y560" s="11"/>
      <c r="Z560" s="11"/>
      <c r="AC560" s="9"/>
    </row>
    <row r="561" spans="7:29" x14ac:dyDescent="0.4">
      <c r="G561" s="6"/>
      <c r="J561" s="9"/>
      <c r="K561" s="10"/>
      <c r="X561" s="9"/>
      <c r="Y561" s="11"/>
      <c r="Z561" s="11"/>
      <c r="AC561" s="9"/>
    </row>
    <row r="562" spans="7:29" x14ac:dyDescent="0.4">
      <c r="G562" s="6"/>
      <c r="J562" s="9"/>
      <c r="K562" s="10"/>
      <c r="X562" s="9"/>
      <c r="Y562" s="11"/>
      <c r="Z562" s="11"/>
      <c r="AC562" s="9"/>
    </row>
    <row r="563" spans="7:29" x14ac:dyDescent="0.4">
      <c r="G563" s="6"/>
      <c r="J563" s="9"/>
      <c r="K563" s="10"/>
      <c r="X563" s="9"/>
      <c r="Y563" s="11"/>
      <c r="Z563" s="11"/>
      <c r="AC563" s="9"/>
    </row>
    <row r="564" spans="7:29" x14ac:dyDescent="0.4">
      <c r="G564" s="6"/>
      <c r="J564" s="9"/>
      <c r="K564" s="10"/>
      <c r="X564" s="9"/>
      <c r="Y564" s="11"/>
      <c r="Z564" s="11"/>
      <c r="AC564" s="9"/>
    </row>
    <row r="565" spans="7:29" x14ac:dyDescent="0.4">
      <c r="G565" s="6"/>
      <c r="J565" s="9"/>
      <c r="K565" s="10"/>
      <c r="X565" s="9"/>
      <c r="Y565" s="11"/>
      <c r="Z565" s="11"/>
      <c r="AC565" s="9"/>
    </row>
    <row r="566" spans="7:29" x14ac:dyDescent="0.4">
      <c r="G566" s="6"/>
      <c r="J566" s="9"/>
      <c r="K566" s="10"/>
      <c r="X566" s="9"/>
      <c r="Y566" s="11"/>
      <c r="Z566" s="11"/>
      <c r="AC566" s="9"/>
    </row>
    <row r="567" spans="7:29" x14ac:dyDescent="0.4">
      <c r="G567" s="6"/>
      <c r="J567" s="9"/>
      <c r="K567" s="10"/>
      <c r="X567" s="9"/>
      <c r="Y567" s="11"/>
      <c r="Z567" s="11"/>
      <c r="AC567" s="9"/>
    </row>
    <row r="568" spans="7:29" x14ac:dyDescent="0.4">
      <c r="G568" s="6"/>
      <c r="J568" s="9"/>
      <c r="K568" s="10"/>
      <c r="X568" s="9"/>
      <c r="Y568" s="11"/>
      <c r="Z568" s="11"/>
      <c r="AC568" s="9"/>
    </row>
    <row r="569" spans="7:29" x14ac:dyDescent="0.4">
      <c r="G569" s="6"/>
      <c r="J569" s="9"/>
      <c r="K569" s="10"/>
      <c r="X569" s="9"/>
      <c r="Y569" s="11"/>
      <c r="Z569" s="11"/>
      <c r="AC569" s="9"/>
    </row>
    <row r="570" spans="7:29" x14ac:dyDescent="0.4">
      <c r="G570" s="6"/>
      <c r="J570" s="9"/>
      <c r="K570" s="10"/>
      <c r="X570" s="9"/>
      <c r="Y570" s="11"/>
      <c r="Z570" s="11"/>
      <c r="AC570" s="9"/>
    </row>
    <row r="571" spans="7:29" x14ac:dyDescent="0.4">
      <c r="G571" s="6"/>
      <c r="J571" s="9"/>
      <c r="K571" s="10"/>
      <c r="X571" s="9"/>
      <c r="Y571" s="11"/>
      <c r="Z571" s="11"/>
      <c r="AC571" s="9"/>
    </row>
    <row r="572" spans="7:29" x14ac:dyDescent="0.4">
      <c r="G572" s="6"/>
      <c r="J572" s="9"/>
      <c r="K572" s="10"/>
      <c r="X572" s="9"/>
      <c r="Y572" s="11"/>
      <c r="Z572" s="11"/>
      <c r="AC572" s="9"/>
    </row>
    <row r="573" spans="7:29" x14ac:dyDescent="0.4">
      <c r="G573" s="6"/>
      <c r="J573" s="9"/>
      <c r="K573" s="10"/>
      <c r="X573" s="9"/>
      <c r="Y573" s="11"/>
      <c r="Z573" s="11"/>
      <c r="AC573" s="9"/>
    </row>
    <row r="574" spans="7:29" x14ac:dyDescent="0.4">
      <c r="G574" s="6"/>
      <c r="J574" s="9"/>
      <c r="K574" s="10"/>
      <c r="X574" s="9"/>
      <c r="Y574" s="11"/>
      <c r="Z574" s="11"/>
      <c r="AC574" s="9"/>
    </row>
    <row r="575" spans="7:29" x14ac:dyDescent="0.4">
      <c r="G575" s="6"/>
      <c r="J575" s="9"/>
      <c r="K575" s="10"/>
      <c r="X575" s="9"/>
      <c r="Y575" s="11"/>
      <c r="Z575" s="11"/>
      <c r="AC575" s="9"/>
    </row>
    <row r="576" spans="7:29" x14ac:dyDescent="0.4">
      <c r="G576" s="6"/>
      <c r="J576" s="9"/>
      <c r="K576" s="10"/>
      <c r="X576" s="9"/>
      <c r="Y576" s="11"/>
      <c r="Z576" s="11"/>
      <c r="AC576" s="9"/>
    </row>
    <row r="577" spans="7:29" x14ac:dyDescent="0.4">
      <c r="G577" s="6"/>
      <c r="J577" s="9"/>
      <c r="K577" s="10"/>
      <c r="X577" s="9"/>
      <c r="Y577" s="11"/>
      <c r="Z577" s="11"/>
      <c r="AC577" s="9"/>
    </row>
    <row r="578" spans="7:29" x14ac:dyDescent="0.4">
      <c r="G578" s="6"/>
      <c r="J578" s="9"/>
      <c r="K578" s="10"/>
      <c r="X578" s="9"/>
      <c r="Y578" s="11"/>
      <c r="Z578" s="11"/>
      <c r="AC578" s="9"/>
    </row>
    <row r="579" spans="7:29" x14ac:dyDescent="0.4">
      <c r="G579" s="6"/>
      <c r="J579" s="9"/>
      <c r="K579" s="10"/>
      <c r="X579" s="9"/>
      <c r="Y579" s="11"/>
      <c r="Z579" s="11"/>
      <c r="AC579" s="9"/>
    </row>
    <row r="580" spans="7:29" x14ac:dyDescent="0.4">
      <c r="G580" s="6"/>
      <c r="J580" s="9"/>
      <c r="K580" s="10"/>
      <c r="X580" s="9"/>
      <c r="Y580" s="11"/>
      <c r="Z580" s="11"/>
      <c r="AC580" s="9"/>
    </row>
    <row r="581" spans="7:29" x14ac:dyDescent="0.4">
      <c r="G581" s="6"/>
      <c r="J581" s="9"/>
      <c r="K581" s="10"/>
      <c r="X581" s="9"/>
      <c r="Y581" s="11"/>
      <c r="Z581" s="11"/>
      <c r="AC581" s="9"/>
    </row>
    <row r="582" spans="7:29" x14ac:dyDescent="0.4">
      <c r="G582" s="6"/>
      <c r="J582" s="9"/>
      <c r="K582" s="10"/>
      <c r="X582" s="9"/>
      <c r="Y582" s="11"/>
      <c r="Z582" s="11"/>
      <c r="AC582" s="9"/>
    </row>
    <row r="583" spans="7:29" x14ac:dyDescent="0.4">
      <c r="G583" s="6"/>
      <c r="J583" s="9"/>
      <c r="K583" s="10"/>
      <c r="X583" s="9"/>
      <c r="Y583" s="11"/>
      <c r="Z583" s="11"/>
      <c r="AC583" s="9"/>
    </row>
    <row r="584" spans="7:29" x14ac:dyDescent="0.4">
      <c r="G584" s="6"/>
      <c r="J584" s="9"/>
      <c r="K584" s="10"/>
      <c r="X584" s="9"/>
      <c r="Y584" s="11"/>
      <c r="Z584" s="11"/>
      <c r="AC584" s="9"/>
    </row>
    <row r="585" spans="7:29" x14ac:dyDescent="0.4">
      <c r="G585" s="6"/>
      <c r="J585" s="9"/>
      <c r="K585" s="10"/>
      <c r="X585" s="9"/>
      <c r="Y585" s="11"/>
      <c r="Z585" s="11"/>
      <c r="AC585" s="9"/>
    </row>
    <row r="586" spans="7:29" x14ac:dyDescent="0.4">
      <c r="G586" s="6"/>
      <c r="J586" s="9"/>
      <c r="K586" s="10"/>
      <c r="X586" s="9"/>
      <c r="Y586" s="11"/>
      <c r="Z586" s="11"/>
      <c r="AC586" s="9"/>
    </row>
    <row r="587" spans="7:29" x14ac:dyDescent="0.4">
      <c r="G587" s="6"/>
      <c r="J587" s="9"/>
      <c r="K587" s="10"/>
      <c r="X587" s="9"/>
      <c r="Y587" s="11"/>
      <c r="Z587" s="11"/>
      <c r="AC587" s="9"/>
    </row>
    <row r="588" spans="7:29" x14ac:dyDescent="0.4">
      <c r="G588" s="6"/>
      <c r="J588" s="9"/>
      <c r="K588" s="10"/>
      <c r="X588" s="9"/>
      <c r="Y588" s="11"/>
      <c r="Z588" s="11"/>
      <c r="AC588" s="9"/>
    </row>
    <row r="589" spans="7:29" x14ac:dyDescent="0.4">
      <c r="G589" s="6"/>
      <c r="J589" s="9"/>
      <c r="K589" s="10"/>
      <c r="X589" s="9"/>
      <c r="Y589" s="11"/>
      <c r="Z589" s="11"/>
      <c r="AC589" s="9"/>
    </row>
    <row r="590" spans="7:29" x14ac:dyDescent="0.4">
      <c r="G590" s="6"/>
      <c r="J590" s="9"/>
      <c r="K590" s="10"/>
      <c r="X590" s="9"/>
      <c r="Y590" s="11"/>
      <c r="Z590" s="11"/>
      <c r="AC590" s="9"/>
    </row>
    <row r="591" spans="7:29" x14ac:dyDescent="0.4">
      <c r="G591" s="6"/>
      <c r="J591" s="9"/>
      <c r="K591" s="10"/>
      <c r="X591" s="9"/>
      <c r="Y591" s="11"/>
      <c r="Z591" s="11"/>
      <c r="AC591" s="9"/>
    </row>
    <row r="592" spans="7:29" x14ac:dyDescent="0.4">
      <c r="G592" s="6"/>
      <c r="J592" s="9"/>
      <c r="K592" s="10"/>
      <c r="X592" s="9"/>
      <c r="Y592" s="11"/>
      <c r="Z592" s="11"/>
      <c r="AC592" s="9"/>
    </row>
    <row r="593" spans="7:29" x14ac:dyDescent="0.4">
      <c r="G593" s="6"/>
      <c r="J593" s="9"/>
      <c r="K593" s="10"/>
      <c r="X593" s="9"/>
      <c r="Y593" s="11"/>
      <c r="Z593" s="11"/>
      <c r="AC593" s="9"/>
    </row>
    <row r="594" spans="7:29" x14ac:dyDescent="0.4">
      <c r="G594" s="6"/>
      <c r="J594" s="9"/>
      <c r="K594" s="10"/>
      <c r="X594" s="9"/>
      <c r="Y594" s="11"/>
      <c r="Z594" s="11"/>
      <c r="AC594" s="9"/>
    </row>
    <row r="595" spans="7:29" x14ac:dyDescent="0.4">
      <c r="G595" s="6"/>
      <c r="J595" s="9"/>
      <c r="K595" s="10"/>
      <c r="X595" s="9"/>
      <c r="Y595" s="11"/>
      <c r="Z595" s="11"/>
      <c r="AC595" s="9"/>
    </row>
    <row r="596" spans="7:29" x14ac:dyDescent="0.4">
      <c r="G596" s="6"/>
      <c r="J596" s="9"/>
      <c r="K596" s="10"/>
      <c r="X596" s="9"/>
      <c r="Y596" s="11"/>
      <c r="Z596" s="11"/>
      <c r="AC596" s="9"/>
    </row>
    <row r="597" spans="7:29" x14ac:dyDescent="0.4">
      <c r="G597" s="6"/>
      <c r="J597" s="9"/>
      <c r="K597" s="10"/>
      <c r="X597" s="9"/>
      <c r="Y597" s="11"/>
      <c r="Z597" s="11"/>
      <c r="AC597" s="9"/>
    </row>
    <row r="598" spans="7:29" x14ac:dyDescent="0.4">
      <c r="G598" s="6"/>
      <c r="J598" s="9"/>
      <c r="K598" s="10"/>
      <c r="X598" s="9"/>
      <c r="Y598" s="11"/>
      <c r="Z598" s="11"/>
      <c r="AC598" s="9"/>
    </row>
    <row r="599" spans="7:29" x14ac:dyDescent="0.4">
      <c r="G599" s="6"/>
      <c r="J599" s="9"/>
      <c r="K599" s="10"/>
      <c r="X599" s="9"/>
      <c r="Y599" s="11"/>
      <c r="Z599" s="11"/>
      <c r="AC599" s="9"/>
    </row>
    <row r="600" spans="7:29" x14ac:dyDescent="0.4">
      <c r="G600" s="6"/>
      <c r="J600" s="9"/>
      <c r="K600" s="10"/>
      <c r="X600" s="9"/>
      <c r="Y600" s="11"/>
      <c r="Z600" s="11"/>
      <c r="AC600" s="9"/>
    </row>
    <row r="601" spans="7:29" x14ac:dyDescent="0.4">
      <c r="G601" s="6"/>
      <c r="J601" s="9"/>
      <c r="K601" s="10"/>
      <c r="X601" s="9"/>
      <c r="Y601" s="11"/>
      <c r="Z601" s="11"/>
      <c r="AC601" s="9"/>
    </row>
    <row r="602" spans="7:29" x14ac:dyDescent="0.4">
      <c r="G602" s="6"/>
      <c r="J602" s="9"/>
      <c r="K602" s="10"/>
      <c r="X602" s="9"/>
      <c r="Y602" s="11"/>
      <c r="Z602" s="11"/>
      <c r="AC602" s="9"/>
    </row>
    <row r="603" spans="7:29" x14ac:dyDescent="0.4">
      <c r="G603" s="6"/>
      <c r="J603" s="9"/>
      <c r="K603" s="10"/>
      <c r="X603" s="9"/>
      <c r="Y603" s="11"/>
      <c r="Z603" s="11"/>
      <c r="AC603" s="9"/>
    </row>
    <row r="604" spans="7:29" x14ac:dyDescent="0.4">
      <c r="G604" s="6"/>
      <c r="J604" s="9"/>
      <c r="K604" s="10"/>
      <c r="X604" s="9"/>
      <c r="Y604" s="11"/>
      <c r="Z604" s="11"/>
      <c r="AC604" s="9"/>
    </row>
    <row r="605" spans="7:29" x14ac:dyDescent="0.4">
      <c r="G605" s="6"/>
      <c r="J605" s="9"/>
      <c r="K605" s="10"/>
      <c r="X605" s="9"/>
      <c r="Y605" s="11"/>
      <c r="Z605" s="11"/>
      <c r="AC605" s="9"/>
    </row>
    <row r="606" spans="7:29" x14ac:dyDescent="0.4">
      <c r="G606" s="6"/>
      <c r="J606" s="9"/>
      <c r="K606" s="10"/>
      <c r="X606" s="9"/>
      <c r="Y606" s="11"/>
      <c r="Z606" s="11"/>
      <c r="AC606" s="9"/>
    </row>
    <row r="607" spans="7:29" x14ac:dyDescent="0.4">
      <c r="G607" s="6"/>
      <c r="J607" s="9"/>
      <c r="K607" s="10"/>
      <c r="X607" s="9"/>
      <c r="Y607" s="11"/>
      <c r="Z607" s="11"/>
      <c r="AC607" s="9"/>
    </row>
    <row r="608" spans="7:29" x14ac:dyDescent="0.4">
      <c r="G608" s="6"/>
      <c r="J608" s="9"/>
      <c r="K608" s="10"/>
      <c r="X608" s="9"/>
      <c r="Y608" s="11"/>
      <c r="Z608" s="11"/>
      <c r="AC608" s="9"/>
    </row>
    <row r="609" spans="7:29" x14ac:dyDescent="0.4">
      <c r="G609" s="6"/>
      <c r="J609" s="9"/>
      <c r="K609" s="10"/>
      <c r="X609" s="9"/>
      <c r="Y609" s="11"/>
      <c r="Z609" s="11"/>
      <c r="AC609" s="9"/>
    </row>
    <row r="610" spans="7:29" x14ac:dyDescent="0.4">
      <c r="G610" s="6"/>
      <c r="J610" s="9"/>
      <c r="K610" s="10"/>
      <c r="X610" s="9"/>
      <c r="Y610" s="11"/>
      <c r="Z610" s="11"/>
      <c r="AC610" s="9"/>
    </row>
    <row r="611" spans="7:29" x14ac:dyDescent="0.4">
      <c r="G611" s="6"/>
      <c r="J611" s="9"/>
      <c r="K611" s="10"/>
      <c r="X611" s="9"/>
      <c r="Y611" s="11"/>
      <c r="Z611" s="11"/>
      <c r="AC611" s="9"/>
    </row>
    <row r="612" spans="7:29" x14ac:dyDescent="0.4">
      <c r="G612" s="6"/>
      <c r="J612" s="9"/>
      <c r="K612" s="10"/>
      <c r="X612" s="9"/>
      <c r="Y612" s="11"/>
      <c r="Z612" s="11"/>
      <c r="AC612" s="9"/>
    </row>
    <row r="613" spans="7:29" x14ac:dyDescent="0.4">
      <c r="G613" s="6"/>
      <c r="J613" s="9"/>
      <c r="K613" s="10"/>
      <c r="X613" s="9"/>
      <c r="Y613" s="11"/>
      <c r="Z613" s="11"/>
      <c r="AC613" s="9"/>
    </row>
    <row r="614" spans="7:29" x14ac:dyDescent="0.4">
      <c r="G614" s="6"/>
      <c r="J614" s="9"/>
      <c r="K614" s="10"/>
      <c r="X614" s="9"/>
      <c r="Y614" s="11"/>
      <c r="Z614" s="11"/>
      <c r="AC614" s="9"/>
    </row>
    <row r="615" spans="7:29" x14ac:dyDescent="0.4">
      <c r="G615" s="6"/>
      <c r="J615" s="9"/>
      <c r="K615" s="10"/>
      <c r="X615" s="9"/>
      <c r="Y615" s="11"/>
      <c r="Z615" s="11"/>
      <c r="AC615" s="9"/>
    </row>
    <row r="616" spans="7:29" x14ac:dyDescent="0.4">
      <c r="G616" s="6"/>
      <c r="J616" s="9"/>
      <c r="K616" s="10"/>
      <c r="X616" s="9"/>
      <c r="Y616" s="11"/>
      <c r="Z616" s="11"/>
      <c r="AC616" s="9"/>
    </row>
    <row r="617" spans="7:29" x14ac:dyDescent="0.4">
      <c r="G617" s="6"/>
      <c r="J617" s="9"/>
      <c r="K617" s="10"/>
      <c r="X617" s="9"/>
      <c r="Y617" s="11"/>
      <c r="Z617" s="11"/>
      <c r="AC617" s="9"/>
    </row>
    <row r="618" spans="7:29" x14ac:dyDescent="0.4">
      <c r="G618" s="6"/>
      <c r="J618" s="9"/>
      <c r="K618" s="10"/>
      <c r="X618" s="9"/>
      <c r="Y618" s="11"/>
      <c r="Z618" s="11"/>
      <c r="AC618" s="9"/>
    </row>
    <row r="619" spans="7:29" x14ac:dyDescent="0.4">
      <c r="G619" s="6"/>
      <c r="J619" s="9"/>
      <c r="K619" s="10"/>
      <c r="X619" s="9"/>
      <c r="Y619" s="11"/>
      <c r="Z619" s="11"/>
      <c r="AC619" s="9"/>
    </row>
    <row r="620" spans="7:29" x14ac:dyDescent="0.4">
      <c r="G620" s="6"/>
      <c r="J620" s="9"/>
      <c r="K620" s="10"/>
      <c r="X620" s="9"/>
      <c r="Y620" s="11"/>
      <c r="Z620" s="11"/>
      <c r="AC620" s="9"/>
    </row>
    <row r="621" spans="7:29" x14ac:dyDescent="0.4">
      <c r="G621" s="6"/>
      <c r="J621" s="9"/>
      <c r="K621" s="10"/>
      <c r="X621" s="9"/>
      <c r="Y621" s="11"/>
      <c r="Z621" s="11"/>
      <c r="AC621" s="9"/>
    </row>
    <row r="622" spans="7:29" x14ac:dyDescent="0.4">
      <c r="G622" s="6"/>
      <c r="J622" s="9"/>
      <c r="K622" s="10"/>
      <c r="X622" s="9"/>
      <c r="Y622" s="11"/>
      <c r="Z622" s="11"/>
      <c r="AC622" s="9"/>
    </row>
    <row r="623" spans="7:29" x14ac:dyDescent="0.4">
      <c r="G623" s="6"/>
      <c r="J623" s="9"/>
      <c r="K623" s="10"/>
      <c r="X623" s="9"/>
      <c r="Y623" s="11"/>
      <c r="Z623" s="11"/>
      <c r="AC623" s="9"/>
    </row>
    <row r="624" spans="7:29" x14ac:dyDescent="0.4">
      <c r="G624" s="6"/>
      <c r="J624" s="9"/>
      <c r="K624" s="10"/>
      <c r="X624" s="9"/>
      <c r="Y624" s="11"/>
      <c r="Z624" s="11"/>
      <c r="AC624" s="9"/>
    </row>
    <row r="625" spans="7:29" x14ac:dyDescent="0.4">
      <c r="G625" s="6"/>
      <c r="J625" s="9"/>
      <c r="K625" s="10"/>
      <c r="X625" s="9"/>
      <c r="Y625" s="11"/>
      <c r="Z625" s="11"/>
      <c r="AC625" s="9"/>
    </row>
    <row r="626" spans="7:29" x14ac:dyDescent="0.4">
      <c r="G626" s="6"/>
      <c r="J626" s="9"/>
      <c r="K626" s="10"/>
      <c r="X626" s="9"/>
      <c r="Y626" s="11"/>
      <c r="Z626" s="11"/>
      <c r="AC626" s="9"/>
    </row>
    <row r="627" spans="7:29" x14ac:dyDescent="0.4">
      <c r="G627" s="6"/>
      <c r="J627" s="9"/>
      <c r="K627" s="10"/>
      <c r="X627" s="9"/>
      <c r="Y627" s="11"/>
      <c r="Z627" s="11"/>
      <c r="AC627" s="9"/>
    </row>
    <row r="628" spans="7:29" x14ac:dyDescent="0.4">
      <c r="G628" s="6"/>
      <c r="J628" s="9"/>
      <c r="K628" s="10"/>
      <c r="X628" s="9"/>
      <c r="Y628" s="11"/>
      <c r="Z628" s="11"/>
      <c r="AC628" s="9"/>
    </row>
    <row r="629" spans="7:29" x14ac:dyDescent="0.4">
      <c r="G629" s="6"/>
      <c r="J629" s="9"/>
      <c r="K629" s="10"/>
      <c r="X629" s="9"/>
      <c r="Y629" s="11"/>
      <c r="Z629" s="11"/>
      <c r="AC629" s="9"/>
    </row>
    <row r="630" spans="7:29" x14ac:dyDescent="0.4">
      <c r="G630" s="6"/>
      <c r="J630" s="9"/>
      <c r="K630" s="10"/>
      <c r="X630" s="9"/>
      <c r="Y630" s="11"/>
      <c r="Z630" s="11"/>
      <c r="AC630" s="9"/>
    </row>
    <row r="631" spans="7:29" x14ac:dyDescent="0.4">
      <c r="G631" s="6"/>
      <c r="J631" s="9"/>
      <c r="K631" s="10"/>
      <c r="X631" s="9"/>
      <c r="Y631" s="11"/>
      <c r="Z631" s="11"/>
      <c r="AC631" s="9"/>
    </row>
    <row r="632" spans="7:29" x14ac:dyDescent="0.4">
      <c r="G632" s="6"/>
      <c r="J632" s="9"/>
      <c r="K632" s="10"/>
      <c r="X632" s="9"/>
      <c r="Y632" s="11"/>
      <c r="Z632" s="11"/>
      <c r="AC632" s="9"/>
    </row>
    <row r="633" spans="7:29" x14ac:dyDescent="0.4">
      <c r="G633" s="6"/>
      <c r="J633" s="9"/>
      <c r="K633" s="10"/>
      <c r="X633" s="9"/>
      <c r="Y633" s="11"/>
      <c r="Z633" s="11"/>
      <c r="AC633" s="9"/>
    </row>
    <row r="634" spans="7:29" x14ac:dyDescent="0.4">
      <c r="G634" s="6"/>
      <c r="J634" s="9"/>
      <c r="K634" s="10"/>
      <c r="X634" s="9"/>
      <c r="Y634" s="11"/>
      <c r="Z634" s="11"/>
      <c r="AC634" s="9"/>
    </row>
    <row r="635" spans="7:29" x14ac:dyDescent="0.4">
      <c r="G635" s="6"/>
      <c r="J635" s="9"/>
      <c r="K635" s="10"/>
      <c r="X635" s="9"/>
      <c r="Y635" s="11"/>
      <c r="Z635" s="11"/>
      <c r="AC635" s="9"/>
    </row>
    <row r="636" spans="7:29" x14ac:dyDescent="0.4">
      <c r="G636" s="6"/>
      <c r="J636" s="9"/>
      <c r="K636" s="10"/>
      <c r="X636" s="9"/>
      <c r="Y636" s="11"/>
      <c r="Z636" s="11"/>
      <c r="AC636" s="9"/>
    </row>
    <row r="637" spans="7:29" x14ac:dyDescent="0.4">
      <c r="G637" s="6"/>
      <c r="J637" s="9"/>
      <c r="K637" s="10"/>
      <c r="X637" s="9"/>
      <c r="Y637" s="11"/>
      <c r="Z637" s="11"/>
      <c r="AC637" s="9"/>
    </row>
    <row r="638" spans="7:29" x14ac:dyDescent="0.4">
      <c r="G638" s="6"/>
      <c r="J638" s="9"/>
      <c r="K638" s="10"/>
      <c r="X638" s="9"/>
      <c r="Y638" s="11"/>
      <c r="Z638" s="11"/>
      <c r="AC638" s="9"/>
    </row>
    <row r="639" spans="7:29" x14ac:dyDescent="0.4">
      <c r="G639" s="6"/>
      <c r="J639" s="9"/>
      <c r="K639" s="10"/>
      <c r="X639" s="9"/>
      <c r="Y639" s="11"/>
      <c r="Z639" s="11"/>
      <c r="AC639" s="9"/>
    </row>
    <row r="640" spans="7:29" x14ac:dyDescent="0.4">
      <c r="G640" s="6"/>
      <c r="J640" s="9"/>
      <c r="K640" s="10"/>
      <c r="X640" s="9"/>
      <c r="Y640" s="11"/>
      <c r="Z640" s="11"/>
      <c r="AC640" s="9"/>
    </row>
    <row r="641" spans="7:29" x14ac:dyDescent="0.4">
      <c r="G641" s="6"/>
      <c r="J641" s="9"/>
      <c r="K641" s="10"/>
      <c r="X641" s="9"/>
      <c r="Y641" s="11"/>
      <c r="Z641" s="11"/>
      <c r="AC641" s="9"/>
    </row>
    <row r="642" spans="7:29" x14ac:dyDescent="0.4">
      <c r="G642" s="6"/>
      <c r="J642" s="9"/>
      <c r="K642" s="10"/>
      <c r="X642" s="9"/>
      <c r="Y642" s="11"/>
      <c r="Z642" s="11"/>
      <c r="AC642" s="9"/>
    </row>
    <row r="643" spans="7:29" x14ac:dyDescent="0.4">
      <c r="G643" s="6"/>
      <c r="J643" s="9"/>
      <c r="K643" s="10"/>
      <c r="X643" s="9"/>
      <c r="Y643" s="11"/>
      <c r="Z643" s="11"/>
      <c r="AC643" s="9"/>
    </row>
    <row r="644" spans="7:29" x14ac:dyDescent="0.4">
      <c r="G644" s="6"/>
      <c r="J644" s="9"/>
      <c r="K644" s="10"/>
      <c r="X644" s="9"/>
      <c r="Y644" s="11"/>
      <c r="Z644" s="11"/>
      <c r="AC644" s="9"/>
    </row>
    <row r="645" spans="7:29" x14ac:dyDescent="0.4">
      <c r="G645" s="6"/>
      <c r="J645" s="9"/>
      <c r="K645" s="10"/>
      <c r="X645" s="9"/>
      <c r="Y645" s="11"/>
      <c r="Z645" s="11"/>
      <c r="AC645" s="9"/>
    </row>
    <row r="646" spans="7:29" x14ac:dyDescent="0.4">
      <c r="G646" s="6"/>
      <c r="J646" s="9"/>
      <c r="K646" s="10"/>
      <c r="X646" s="9"/>
      <c r="Y646" s="11"/>
      <c r="Z646" s="11"/>
      <c r="AC646" s="9"/>
    </row>
    <row r="647" spans="7:29" x14ac:dyDescent="0.4">
      <c r="G647" s="6"/>
      <c r="J647" s="9"/>
      <c r="K647" s="10"/>
      <c r="X647" s="9"/>
      <c r="Y647" s="11"/>
      <c r="Z647" s="11"/>
      <c r="AC647" s="9"/>
    </row>
    <row r="648" spans="7:29" x14ac:dyDescent="0.4">
      <c r="G648" s="6"/>
      <c r="J648" s="9"/>
      <c r="K648" s="10"/>
      <c r="X648" s="9"/>
      <c r="Y648" s="11"/>
      <c r="Z648" s="11"/>
      <c r="AC648" s="9"/>
    </row>
    <row r="649" spans="7:29" x14ac:dyDescent="0.4">
      <c r="G649" s="6"/>
      <c r="J649" s="9"/>
      <c r="K649" s="10"/>
      <c r="X649" s="9"/>
      <c r="Y649" s="11"/>
      <c r="Z649" s="11"/>
      <c r="AC649" s="9"/>
    </row>
    <row r="650" spans="7:29" x14ac:dyDescent="0.4">
      <c r="G650" s="6"/>
      <c r="J650" s="9"/>
      <c r="K650" s="10"/>
      <c r="X650" s="9"/>
      <c r="Y650" s="11"/>
      <c r="Z650" s="11"/>
      <c r="AC650" s="9"/>
    </row>
    <row r="651" spans="7:29" x14ac:dyDescent="0.4">
      <c r="G651" s="6"/>
      <c r="J651" s="9"/>
      <c r="K651" s="10"/>
      <c r="X651" s="9"/>
      <c r="Y651" s="11"/>
      <c r="Z651" s="11"/>
      <c r="AC651" s="9"/>
    </row>
    <row r="652" spans="7:29" x14ac:dyDescent="0.4">
      <c r="G652" s="6"/>
      <c r="J652" s="9"/>
      <c r="K652" s="10"/>
      <c r="X652" s="9"/>
      <c r="Y652" s="11"/>
      <c r="Z652" s="11"/>
      <c r="AC652" s="9"/>
    </row>
    <row r="653" spans="7:29" x14ac:dyDescent="0.4">
      <c r="G653" s="6"/>
      <c r="J653" s="9"/>
      <c r="K653" s="10"/>
      <c r="X653" s="9"/>
      <c r="Y653" s="11"/>
      <c r="Z653" s="11"/>
      <c r="AC653" s="9"/>
    </row>
    <row r="654" spans="7:29" x14ac:dyDescent="0.4">
      <c r="G654" s="6"/>
      <c r="J654" s="9"/>
      <c r="K654" s="10"/>
      <c r="X654" s="9"/>
      <c r="Y654" s="11"/>
      <c r="Z654" s="11"/>
      <c r="AC654" s="9"/>
    </row>
    <row r="655" spans="7:29" x14ac:dyDescent="0.4">
      <c r="G655" s="6"/>
      <c r="J655" s="9"/>
      <c r="K655" s="10"/>
      <c r="X655" s="9"/>
      <c r="Y655" s="11"/>
      <c r="Z655" s="11"/>
      <c r="AC655" s="9"/>
    </row>
    <row r="656" spans="7:29" x14ac:dyDescent="0.4">
      <c r="G656" s="6"/>
      <c r="J656" s="9"/>
      <c r="K656" s="10"/>
      <c r="X656" s="9"/>
      <c r="Y656" s="11"/>
      <c r="Z656" s="11"/>
      <c r="AC656" s="9"/>
    </row>
    <row r="657" spans="7:29" x14ac:dyDescent="0.4">
      <c r="G657" s="6"/>
      <c r="J657" s="9"/>
      <c r="K657" s="10"/>
      <c r="X657" s="9"/>
      <c r="Y657" s="11"/>
      <c r="Z657" s="11"/>
      <c r="AC657" s="9"/>
    </row>
    <row r="658" spans="7:29" x14ac:dyDescent="0.4">
      <c r="G658" s="6"/>
      <c r="J658" s="9"/>
      <c r="K658" s="10"/>
      <c r="X658" s="9"/>
      <c r="Y658" s="11"/>
      <c r="Z658" s="11"/>
      <c r="AC658" s="9"/>
    </row>
    <row r="659" spans="7:29" x14ac:dyDescent="0.4">
      <c r="G659" s="6"/>
      <c r="J659" s="9"/>
      <c r="K659" s="10"/>
      <c r="X659" s="9"/>
      <c r="Y659" s="11"/>
      <c r="Z659" s="11"/>
      <c r="AC659" s="9"/>
    </row>
    <row r="660" spans="7:29" x14ac:dyDescent="0.4">
      <c r="G660" s="6"/>
      <c r="J660" s="9"/>
      <c r="K660" s="10"/>
      <c r="X660" s="9"/>
      <c r="Y660" s="11"/>
      <c r="Z660" s="11"/>
      <c r="AC660" s="9"/>
    </row>
    <row r="661" spans="7:29" x14ac:dyDescent="0.4">
      <c r="G661" s="6"/>
      <c r="J661" s="9"/>
      <c r="K661" s="10"/>
      <c r="X661" s="9"/>
      <c r="Y661" s="11"/>
      <c r="Z661" s="11"/>
      <c r="AC661" s="9"/>
    </row>
    <row r="662" spans="7:29" x14ac:dyDescent="0.4">
      <c r="G662" s="6"/>
      <c r="J662" s="9"/>
      <c r="K662" s="10"/>
      <c r="X662" s="9"/>
      <c r="Y662" s="11"/>
      <c r="Z662" s="11"/>
      <c r="AC662" s="9"/>
    </row>
    <row r="663" spans="7:29" x14ac:dyDescent="0.4">
      <c r="G663" s="6"/>
      <c r="J663" s="9"/>
      <c r="K663" s="10"/>
      <c r="X663" s="9"/>
      <c r="Y663" s="11"/>
      <c r="Z663" s="11"/>
      <c r="AC663" s="9"/>
    </row>
    <row r="664" spans="7:29" x14ac:dyDescent="0.4">
      <c r="G664" s="6"/>
      <c r="J664" s="9"/>
      <c r="K664" s="10"/>
      <c r="X664" s="9"/>
      <c r="Y664" s="11"/>
      <c r="Z664" s="11"/>
      <c r="AC664" s="9"/>
    </row>
    <row r="665" spans="7:29" x14ac:dyDescent="0.4">
      <c r="G665" s="6"/>
      <c r="J665" s="9"/>
      <c r="K665" s="10"/>
      <c r="X665" s="9"/>
      <c r="Y665" s="11"/>
      <c r="Z665" s="11"/>
      <c r="AC665" s="9"/>
    </row>
    <row r="666" spans="7:29" x14ac:dyDescent="0.4">
      <c r="G666" s="6"/>
      <c r="J666" s="9"/>
      <c r="K666" s="10"/>
      <c r="X666" s="9"/>
      <c r="Y666" s="11"/>
      <c r="Z666" s="11"/>
      <c r="AC666" s="9"/>
    </row>
    <row r="667" spans="7:29" x14ac:dyDescent="0.4">
      <c r="G667" s="6"/>
      <c r="J667" s="9"/>
      <c r="K667" s="10"/>
      <c r="X667" s="9"/>
      <c r="Y667" s="11"/>
      <c r="Z667" s="11"/>
      <c r="AC667" s="9"/>
    </row>
    <row r="668" spans="7:29" x14ac:dyDescent="0.4">
      <c r="G668" s="6"/>
      <c r="J668" s="9"/>
      <c r="K668" s="10"/>
      <c r="X668" s="9"/>
      <c r="Y668" s="11"/>
      <c r="Z668" s="11"/>
      <c r="AC668" s="9"/>
    </row>
    <row r="669" spans="7:29" x14ac:dyDescent="0.4">
      <c r="G669" s="6"/>
      <c r="J669" s="9"/>
      <c r="K669" s="10"/>
      <c r="X669" s="9"/>
      <c r="Y669" s="11"/>
      <c r="Z669" s="11"/>
      <c r="AC669" s="9"/>
    </row>
    <row r="670" spans="7:29" x14ac:dyDescent="0.4">
      <c r="G670" s="6"/>
      <c r="J670" s="9"/>
      <c r="K670" s="10"/>
      <c r="X670" s="9"/>
      <c r="Y670" s="11"/>
      <c r="Z670" s="11"/>
      <c r="AC670" s="9"/>
    </row>
    <row r="671" spans="7:29" x14ac:dyDescent="0.4">
      <c r="G671" s="6"/>
      <c r="J671" s="9"/>
      <c r="K671" s="10"/>
      <c r="X671" s="9"/>
      <c r="Y671" s="11"/>
      <c r="Z671" s="11"/>
      <c r="AC671" s="9"/>
    </row>
    <row r="672" spans="7:29" x14ac:dyDescent="0.4">
      <c r="G672" s="6"/>
      <c r="J672" s="9"/>
      <c r="K672" s="10"/>
      <c r="X672" s="9"/>
      <c r="Y672" s="11"/>
      <c r="Z672" s="11"/>
      <c r="AC672" s="9"/>
    </row>
    <row r="673" spans="7:29" x14ac:dyDescent="0.4">
      <c r="G673" s="6"/>
      <c r="J673" s="9"/>
      <c r="K673" s="10"/>
      <c r="X673" s="9"/>
      <c r="Y673" s="11"/>
      <c r="Z673" s="11"/>
      <c r="AC673" s="9"/>
    </row>
    <row r="674" spans="7:29" x14ac:dyDescent="0.4">
      <c r="G674" s="6"/>
      <c r="J674" s="9"/>
      <c r="K674" s="10"/>
      <c r="X674" s="9"/>
      <c r="Y674" s="11"/>
      <c r="Z674" s="11"/>
      <c r="AC674" s="9"/>
    </row>
    <row r="675" spans="7:29" x14ac:dyDescent="0.4">
      <c r="G675" s="6"/>
      <c r="J675" s="9"/>
      <c r="K675" s="10"/>
      <c r="X675" s="9"/>
      <c r="Y675" s="11"/>
      <c r="Z675" s="11"/>
      <c r="AC675" s="9"/>
    </row>
    <row r="676" spans="7:29" x14ac:dyDescent="0.4">
      <c r="G676" s="6"/>
      <c r="J676" s="9"/>
      <c r="K676" s="10"/>
      <c r="X676" s="9"/>
      <c r="Y676" s="11"/>
      <c r="Z676" s="11"/>
      <c r="AC676" s="9"/>
    </row>
    <row r="677" spans="7:29" x14ac:dyDescent="0.4">
      <c r="G677" s="6"/>
      <c r="J677" s="9"/>
      <c r="K677" s="10"/>
      <c r="X677" s="9"/>
      <c r="Y677" s="11"/>
      <c r="Z677" s="11"/>
      <c r="AC677" s="9"/>
    </row>
    <row r="678" spans="7:29" x14ac:dyDescent="0.4">
      <c r="G678" s="6"/>
      <c r="J678" s="9"/>
      <c r="K678" s="10"/>
      <c r="X678" s="9"/>
      <c r="Y678" s="11"/>
      <c r="Z678" s="11"/>
      <c r="AC678" s="9"/>
    </row>
    <row r="679" spans="7:29" x14ac:dyDescent="0.4">
      <c r="G679" s="6"/>
      <c r="J679" s="9"/>
      <c r="K679" s="10"/>
      <c r="X679" s="9"/>
      <c r="Y679" s="11"/>
      <c r="Z679" s="11"/>
      <c r="AC679" s="9"/>
    </row>
    <row r="680" spans="7:29" x14ac:dyDescent="0.4">
      <c r="G680" s="6"/>
      <c r="J680" s="9"/>
      <c r="K680" s="10"/>
      <c r="X680" s="9"/>
      <c r="Y680" s="11"/>
      <c r="Z680" s="11"/>
      <c r="AC680" s="9"/>
    </row>
    <row r="681" spans="7:29" x14ac:dyDescent="0.4">
      <c r="G681" s="6"/>
      <c r="J681" s="9"/>
      <c r="K681" s="10"/>
      <c r="X681" s="9"/>
      <c r="Y681" s="11"/>
      <c r="Z681" s="11"/>
      <c r="AC681" s="9"/>
    </row>
    <row r="682" spans="7:29" x14ac:dyDescent="0.4">
      <c r="G682" s="6"/>
      <c r="J682" s="9"/>
      <c r="K682" s="10"/>
      <c r="X682" s="9"/>
      <c r="Y682" s="11"/>
      <c r="Z682" s="11"/>
      <c r="AC682" s="9"/>
    </row>
    <row r="683" spans="7:29" x14ac:dyDescent="0.4">
      <c r="G683" s="6"/>
      <c r="J683" s="9"/>
      <c r="K683" s="10"/>
      <c r="X683" s="9"/>
      <c r="Y683" s="11"/>
      <c r="Z683" s="11"/>
      <c r="AC683" s="9"/>
    </row>
    <row r="684" spans="7:29" x14ac:dyDescent="0.4">
      <c r="G684" s="6"/>
      <c r="J684" s="9"/>
      <c r="K684" s="10"/>
      <c r="X684" s="9"/>
      <c r="Y684" s="11"/>
      <c r="Z684" s="11"/>
      <c r="AC684" s="9"/>
    </row>
    <row r="685" spans="7:29" x14ac:dyDescent="0.4">
      <c r="G685" s="6"/>
      <c r="J685" s="9"/>
      <c r="K685" s="10"/>
      <c r="X685" s="9"/>
      <c r="Y685" s="11"/>
      <c r="Z685" s="11"/>
      <c r="AC685" s="9"/>
    </row>
    <row r="686" spans="7:29" x14ac:dyDescent="0.4">
      <c r="G686" s="6"/>
      <c r="J686" s="9"/>
      <c r="K686" s="10"/>
      <c r="X686" s="9"/>
      <c r="Y686" s="11"/>
      <c r="Z686" s="11"/>
      <c r="AC686" s="9"/>
    </row>
    <row r="687" spans="7:29" x14ac:dyDescent="0.4">
      <c r="G687" s="6"/>
      <c r="J687" s="9"/>
      <c r="K687" s="10"/>
      <c r="X687" s="9"/>
      <c r="Y687" s="11"/>
      <c r="Z687" s="11"/>
      <c r="AC687" s="9"/>
    </row>
    <row r="688" spans="7:29" x14ac:dyDescent="0.4">
      <c r="G688" s="6"/>
      <c r="J688" s="9"/>
      <c r="K688" s="10"/>
      <c r="X688" s="9"/>
      <c r="Y688" s="11"/>
      <c r="Z688" s="11"/>
      <c r="AC688" s="9"/>
    </row>
    <row r="689" spans="7:29" x14ac:dyDescent="0.4">
      <c r="G689" s="6"/>
      <c r="J689" s="9"/>
      <c r="K689" s="10"/>
      <c r="X689" s="9"/>
      <c r="Y689" s="11"/>
      <c r="Z689" s="11"/>
      <c r="AC689" s="9"/>
    </row>
    <row r="690" spans="7:29" x14ac:dyDescent="0.4">
      <c r="G690" s="6"/>
      <c r="J690" s="9"/>
      <c r="K690" s="10"/>
      <c r="X690" s="9"/>
      <c r="Y690" s="11"/>
      <c r="Z690" s="11"/>
      <c r="AC690" s="9"/>
    </row>
    <row r="691" spans="7:29" x14ac:dyDescent="0.4">
      <c r="G691" s="6"/>
      <c r="J691" s="9"/>
      <c r="K691" s="10"/>
      <c r="X691" s="9"/>
      <c r="Y691" s="11"/>
      <c r="Z691" s="11"/>
      <c r="AC691" s="9"/>
    </row>
    <row r="692" spans="7:29" x14ac:dyDescent="0.4">
      <c r="G692" s="6"/>
      <c r="J692" s="9"/>
      <c r="K692" s="10"/>
      <c r="X692" s="9"/>
      <c r="Y692" s="11"/>
      <c r="Z692" s="11"/>
      <c r="AC692" s="9"/>
    </row>
    <row r="693" spans="7:29" x14ac:dyDescent="0.4">
      <c r="G693" s="6"/>
      <c r="J693" s="9"/>
      <c r="K693" s="10"/>
      <c r="X693" s="9"/>
      <c r="Y693" s="11"/>
      <c r="Z693" s="11"/>
      <c r="AC693" s="9"/>
    </row>
    <row r="694" spans="7:29" x14ac:dyDescent="0.4">
      <c r="G694" s="6"/>
      <c r="J694" s="9"/>
      <c r="K694" s="10"/>
      <c r="X694" s="9"/>
      <c r="Y694" s="11"/>
      <c r="Z694" s="11"/>
      <c r="AC694" s="9"/>
    </row>
    <row r="695" spans="7:29" x14ac:dyDescent="0.4">
      <c r="G695" s="6"/>
      <c r="J695" s="9"/>
      <c r="K695" s="10"/>
      <c r="X695" s="9"/>
      <c r="Y695" s="11"/>
      <c r="Z695" s="11"/>
      <c r="AC695" s="9"/>
    </row>
    <row r="696" spans="7:29" x14ac:dyDescent="0.4">
      <c r="G696" s="6"/>
      <c r="J696" s="9"/>
      <c r="K696" s="10"/>
      <c r="X696" s="9"/>
      <c r="Y696" s="11"/>
      <c r="Z696" s="11"/>
      <c r="AC696" s="9"/>
    </row>
    <row r="697" spans="7:29" x14ac:dyDescent="0.4">
      <c r="G697" s="6"/>
      <c r="J697" s="9"/>
      <c r="K697" s="10"/>
      <c r="X697" s="9"/>
      <c r="Y697" s="11"/>
      <c r="Z697" s="11"/>
      <c r="AC697" s="9"/>
    </row>
    <row r="698" spans="7:29" x14ac:dyDescent="0.4">
      <c r="G698" s="6"/>
      <c r="J698" s="9"/>
      <c r="K698" s="10"/>
      <c r="X698" s="9"/>
      <c r="Y698" s="11"/>
      <c r="Z698" s="11"/>
      <c r="AC698" s="9"/>
    </row>
    <row r="699" spans="7:29" x14ac:dyDescent="0.4">
      <c r="G699" s="6"/>
      <c r="J699" s="9"/>
      <c r="K699" s="10"/>
      <c r="X699" s="9"/>
      <c r="Y699" s="11"/>
      <c r="Z699" s="11"/>
      <c r="AC699" s="9"/>
    </row>
    <row r="700" spans="7:29" x14ac:dyDescent="0.4">
      <c r="G700" s="6"/>
      <c r="J700" s="9"/>
      <c r="K700" s="10"/>
      <c r="X700" s="9"/>
      <c r="Y700" s="11"/>
      <c r="Z700" s="11"/>
      <c r="AC700" s="9"/>
    </row>
    <row r="701" spans="7:29" x14ac:dyDescent="0.4">
      <c r="G701" s="6"/>
      <c r="J701" s="9"/>
      <c r="K701" s="10"/>
      <c r="X701" s="9"/>
      <c r="Y701" s="11"/>
      <c r="Z701" s="11"/>
      <c r="AC701" s="9"/>
    </row>
    <row r="702" spans="7:29" x14ac:dyDescent="0.4">
      <c r="G702" s="6"/>
      <c r="J702" s="9"/>
      <c r="K702" s="10"/>
      <c r="X702" s="9"/>
      <c r="Y702" s="11"/>
      <c r="Z702" s="11"/>
      <c r="AC702" s="9"/>
    </row>
    <row r="703" spans="7:29" x14ac:dyDescent="0.4">
      <c r="G703" s="6"/>
      <c r="J703" s="9"/>
      <c r="K703" s="10"/>
      <c r="X703" s="9"/>
      <c r="Y703" s="11"/>
      <c r="Z703" s="11"/>
      <c r="AC703" s="9"/>
    </row>
    <row r="704" spans="7:29" x14ac:dyDescent="0.4">
      <c r="G704" s="6"/>
      <c r="J704" s="9"/>
      <c r="K704" s="10"/>
      <c r="X704" s="9"/>
      <c r="Y704" s="11"/>
      <c r="Z704" s="11"/>
      <c r="AC704" s="9"/>
    </row>
    <row r="705" spans="7:29" x14ac:dyDescent="0.4">
      <c r="G705" s="6"/>
      <c r="J705" s="9"/>
      <c r="K705" s="10"/>
      <c r="X705" s="9"/>
      <c r="Y705" s="11"/>
      <c r="Z705" s="11"/>
      <c r="AC705" s="9"/>
    </row>
    <row r="706" spans="7:29" x14ac:dyDescent="0.4">
      <c r="G706" s="6"/>
      <c r="J706" s="9"/>
      <c r="K706" s="10"/>
      <c r="X706" s="9"/>
      <c r="Y706" s="11"/>
      <c r="Z706" s="11"/>
      <c r="AC706" s="9"/>
    </row>
    <row r="707" spans="7:29" x14ac:dyDescent="0.4">
      <c r="G707" s="6"/>
      <c r="J707" s="9"/>
      <c r="K707" s="10"/>
      <c r="X707" s="9"/>
      <c r="Y707" s="11"/>
      <c r="Z707" s="11"/>
      <c r="AC707" s="9"/>
    </row>
    <row r="708" spans="7:29" x14ac:dyDescent="0.4">
      <c r="G708" s="6"/>
      <c r="J708" s="9"/>
      <c r="K708" s="10"/>
      <c r="X708" s="9"/>
      <c r="Y708" s="11"/>
      <c r="Z708" s="11"/>
      <c r="AC708" s="9"/>
    </row>
    <row r="709" spans="7:29" x14ac:dyDescent="0.4">
      <c r="G709" s="6"/>
      <c r="J709" s="9"/>
      <c r="K709" s="10"/>
      <c r="X709" s="9"/>
      <c r="Y709" s="11"/>
      <c r="Z709" s="11"/>
      <c r="AC709" s="9"/>
    </row>
    <row r="710" spans="7:29" x14ac:dyDescent="0.4">
      <c r="G710" s="6"/>
      <c r="J710" s="9"/>
      <c r="K710" s="10"/>
      <c r="X710" s="9"/>
      <c r="Y710" s="11"/>
      <c r="Z710" s="11"/>
      <c r="AC710" s="9"/>
    </row>
    <row r="711" spans="7:29" x14ac:dyDescent="0.4">
      <c r="G711" s="6"/>
      <c r="J711" s="9"/>
      <c r="K711" s="10"/>
      <c r="X711" s="9"/>
      <c r="Y711" s="11"/>
      <c r="Z711" s="11"/>
      <c r="AC711" s="9"/>
    </row>
    <row r="712" spans="7:29" x14ac:dyDescent="0.4">
      <c r="G712" s="6"/>
      <c r="J712" s="9"/>
      <c r="K712" s="10"/>
      <c r="X712" s="9"/>
      <c r="Y712" s="11"/>
      <c r="Z712" s="11"/>
      <c r="AC712" s="9"/>
    </row>
    <row r="713" spans="7:29" x14ac:dyDescent="0.4">
      <c r="G713" s="6"/>
      <c r="J713" s="9"/>
      <c r="K713" s="10"/>
      <c r="X713" s="9"/>
      <c r="Y713" s="11"/>
      <c r="Z713" s="11"/>
      <c r="AC713" s="9"/>
    </row>
    <row r="714" spans="7:29" x14ac:dyDescent="0.4">
      <c r="G714" s="6"/>
      <c r="J714" s="9"/>
      <c r="K714" s="10"/>
      <c r="X714" s="9"/>
      <c r="Y714" s="11"/>
      <c r="Z714" s="11"/>
      <c r="AC714" s="9"/>
    </row>
    <row r="715" spans="7:29" x14ac:dyDescent="0.4">
      <c r="G715" s="6"/>
      <c r="J715" s="9"/>
      <c r="K715" s="10"/>
      <c r="X715" s="9"/>
      <c r="Y715" s="11"/>
      <c r="Z715" s="11"/>
      <c r="AC715" s="9"/>
    </row>
    <row r="716" spans="7:29" x14ac:dyDescent="0.4">
      <c r="G716" s="6"/>
      <c r="J716" s="9"/>
      <c r="K716" s="10"/>
      <c r="X716" s="9"/>
      <c r="Y716" s="11"/>
      <c r="Z716" s="11"/>
      <c r="AC716" s="9"/>
    </row>
    <row r="717" spans="7:29" x14ac:dyDescent="0.4">
      <c r="G717" s="6"/>
      <c r="J717" s="9"/>
      <c r="K717" s="10"/>
      <c r="X717" s="9"/>
      <c r="Y717" s="11"/>
      <c r="Z717" s="11"/>
      <c r="AC717" s="9"/>
    </row>
    <row r="718" spans="7:29" x14ac:dyDescent="0.4">
      <c r="G718" s="6"/>
      <c r="J718" s="9"/>
      <c r="K718" s="10"/>
      <c r="X718" s="9"/>
      <c r="Y718" s="11"/>
      <c r="Z718" s="11"/>
      <c r="AC718" s="9"/>
    </row>
    <row r="719" spans="7:29" x14ac:dyDescent="0.4">
      <c r="G719" s="6"/>
      <c r="J719" s="9"/>
      <c r="K719" s="10"/>
      <c r="X719" s="9"/>
      <c r="Y719" s="11"/>
      <c r="Z719" s="11"/>
      <c r="AC719" s="9"/>
    </row>
    <row r="720" spans="7:29" x14ac:dyDescent="0.4">
      <c r="G720" s="6"/>
      <c r="J720" s="9"/>
      <c r="K720" s="10"/>
      <c r="X720" s="9"/>
      <c r="Y720" s="11"/>
      <c r="Z720" s="11"/>
      <c r="AC720" s="9"/>
    </row>
    <row r="721" spans="7:29" x14ac:dyDescent="0.4">
      <c r="G721" s="6"/>
      <c r="J721" s="9"/>
      <c r="K721" s="10"/>
      <c r="X721" s="9"/>
      <c r="Y721" s="11"/>
      <c r="Z721" s="11"/>
      <c r="AC721" s="9"/>
    </row>
    <row r="722" spans="7:29" x14ac:dyDescent="0.4">
      <c r="G722" s="6"/>
      <c r="J722" s="9"/>
      <c r="K722" s="10"/>
      <c r="X722" s="9"/>
      <c r="Y722" s="11"/>
      <c r="Z722" s="11"/>
      <c r="AC722" s="9"/>
    </row>
    <row r="723" spans="7:29" x14ac:dyDescent="0.4">
      <c r="G723" s="6"/>
      <c r="J723" s="9"/>
      <c r="K723" s="10"/>
      <c r="X723" s="9"/>
      <c r="Y723" s="11"/>
      <c r="Z723" s="11"/>
      <c r="AC723" s="9"/>
    </row>
    <row r="724" spans="7:29" x14ac:dyDescent="0.4">
      <c r="G724" s="6"/>
      <c r="J724" s="9"/>
      <c r="K724" s="10"/>
      <c r="X724" s="9"/>
      <c r="Y724" s="11"/>
      <c r="Z724" s="11"/>
      <c r="AC724" s="9"/>
    </row>
    <row r="725" spans="7:29" x14ac:dyDescent="0.4">
      <c r="G725" s="6"/>
      <c r="J725" s="9"/>
      <c r="K725" s="10"/>
      <c r="X725" s="9"/>
      <c r="Y725" s="11"/>
      <c r="Z725" s="11"/>
      <c r="AC725" s="9"/>
    </row>
    <row r="726" spans="7:29" x14ac:dyDescent="0.4">
      <c r="G726" s="6"/>
      <c r="J726" s="9"/>
      <c r="K726" s="10"/>
      <c r="X726" s="9"/>
      <c r="Y726" s="11"/>
      <c r="Z726" s="11"/>
      <c r="AC726" s="9"/>
    </row>
    <row r="727" spans="7:29" x14ac:dyDescent="0.4">
      <c r="G727" s="6"/>
      <c r="J727" s="9"/>
      <c r="K727" s="10"/>
      <c r="X727" s="9"/>
      <c r="Y727" s="11"/>
      <c r="Z727" s="11"/>
      <c r="AC727" s="9"/>
    </row>
    <row r="728" spans="7:29" x14ac:dyDescent="0.4">
      <c r="G728" s="6"/>
      <c r="J728" s="9"/>
      <c r="K728" s="10"/>
      <c r="X728" s="9"/>
      <c r="Y728" s="11"/>
      <c r="Z728" s="11"/>
      <c r="AC728" s="9"/>
    </row>
    <row r="729" spans="7:29" x14ac:dyDescent="0.4">
      <c r="G729" s="6"/>
      <c r="J729" s="9"/>
      <c r="K729" s="10"/>
      <c r="X729" s="9"/>
      <c r="Y729" s="11"/>
      <c r="Z729" s="11"/>
      <c r="AC729" s="9"/>
    </row>
    <row r="730" spans="7:29" x14ac:dyDescent="0.4">
      <c r="G730" s="6"/>
      <c r="J730" s="9"/>
      <c r="K730" s="10"/>
      <c r="X730" s="9"/>
      <c r="Y730" s="11"/>
      <c r="Z730" s="11"/>
      <c r="AC730" s="9"/>
    </row>
    <row r="731" spans="7:29" x14ac:dyDescent="0.4">
      <c r="G731" s="6"/>
      <c r="J731" s="9"/>
      <c r="K731" s="10"/>
      <c r="X731" s="9"/>
      <c r="Y731" s="11"/>
      <c r="Z731" s="11"/>
      <c r="AC731" s="9"/>
    </row>
    <row r="732" spans="7:29" x14ac:dyDescent="0.4">
      <c r="G732" s="6"/>
      <c r="J732" s="9"/>
      <c r="K732" s="10"/>
      <c r="X732" s="9"/>
      <c r="Y732" s="11"/>
      <c r="Z732" s="11"/>
      <c r="AC732" s="9"/>
    </row>
    <row r="733" spans="7:29" x14ac:dyDescent="0.4">
      <c r="G733" s="6"/>
      <c r="J733" s="9"/>
      <c r="K733" s="10"/>
      <c r="X733" s="9"/>
      <c r="Y733" s="11"/>
      <c r="Z733" s="11"/>
      <c r="AC733" s="9"/>
    </row>
    <row r="734" spans="7:29" x14ac:dyDescent="0.4">
      <c r="G734" s="6"/>
      <c r="J734" s="9"/>
      <c r="K734" s="10"/>
      <c r="X734" s="9"/>
      <c r="Y734" s="11"/>
      <c r="Z734" s="11"/>
      <c r="AC734" s="9"/>
    </row>
    <row r="735" spans="7:29" x14ac:dyDescent="0.4">
      <c r="G735" s="6"/>
      <c r="J735" s="9"/>
      <c r="K735" s="10"/>
      <c r="X735" s="9"/>
      <c r="Y735" s="11"/>
      <c r="Z735" s="11"/>
      <c r="AC735" s="9"/>
    </row>
    <row r="736" spans="7:29" x14ac:dyDescent="0.4">
      <c r="G736" s="6"/>
      <c r="J736" s="9"/>
      <c r="K736" s="10"/>
      <c r="X736" s="9"/>
      <c r="Y736" s="11"/>
      <c r="Z736" s="11"/>
      <c r="AC736" s="9"/>
    </row>
    <row r="737" spans="7:29" x14ac:dyDescent="0.4">
      <c r="G737" s="6"/>
      <c r="J737" s="9"/>
      <c r="K737" s="10"/>
      <c r="X737" s="9"/>
      <c r="Y737" s="11"/>
      <c r="Z737" s="11"/>
      <c r="AC737" s="9"/>
    </row>
    <row r="738" spans="7:29" x14ac:dyDescent="0.4">
      <c r="G738" s="6"/>
      <c r="J738" s="9"/>
      <c r="K738" s="10"/>
      <c r="X738" s="9"/>
      <c r="Y738" s="11"/>
      <c r="Z738" s="11"/>
      <c r="AC738" s="9"/>
    </row>
    <row r="739" spans="7:29" x14ac:dyDescent="0.4">
      <c r="G739" s="6"/>
      <c r="J739" s="9"/>
      <c r="K739" s="10"/>
      <c r="X739" s="9"/>
      <c r="Y739" s="11"/>
      <c r="Z739" s="11"/>
      <c r="AC739" s="9"/>
    </row>
    <row r="740" spans="7:29" x14ac:dyDescent="0.4">
      <c r="G740" s="6"/>
      <c r="J740" s="9"/>
      <c r="K740" s="10"/>
      <c r="X740" s="9"/>
      <c r="Y740" s="11"/>
      <c r="Z740" s="11"/>
      <c r="AC740" s="9"/>
    </row>
    <row r="741" spans="7:29" x14ac:dyDescent="0.4">
      <c r="G741" s="6"/>
      <c r="J741" s="9"/>
      <c r="K741" s="10"/>
      <c r="X741" s="9"/>
      <c r="Y741" s="11"/>
      <c r="Z741" s="11"/>
      <c r="AC741" s="9"/>
    </row>
    <row r="742" spans="7:29" x14ac:dyDescent="0.4">
      <c r="G742" s="6"/>
      <c r="J742" s="9"/>
      <c r="K742" s="10"/>
      <c r="X742" s="9"/>
      <c r="Y742" s="11"/>
      <c r="Z742" s="11"/>
      <c r="AC742" s="9"/>
    </row>
    <row r="743" spans="7:29" x14ac:dyDescent="0.4">
      <c r="G743" s="6"/>
      <c r="J743" s="9"/>
      <c r="K743" s="10"/>
      <c r="X743" s="9"/>
      <c r="Y743" s="11"/>
      <c r="Z743" s="11"/>
      <c r="AC743" s="9"/>
    </row>
    <row r="744" spans="7:29" x14ac:dyDescent="0.4">
      <c r="G744" s="6"/>
      <c r="J744" s="9"/>
      <c r="K744" s="10"/>
      <c r="X744" s="9"/>
      <c r="Y744" s="11"/>
      <c r="Z744" s="11"/>
      <c r="AC744" s="9"/>
    </row>
    <row r="745" spans="7:29" x14ac:dyDescent="0.4">
      <c r="G745" s="6"/>
      <c r="J745" s="9"/>
      <c r="K745" s="10"/>
      <c r="X745" s="9"/>
      <c r="Y745" s="11"/>
      <c r="Z745" s="11"/>
      <c r="AC745" s="9"/>
    </row>
    <row r="746" spans="7:29" x14ac:dyDescent="0.4">
      <c r="G746" s="6"/>
      <c r="J746" s="9"/>
      <c r="K746" s="10"/>
      <c r="X746" s="9"/>
      <c r="Y746" s="11"/>
      <c r="Z746" s="11"/>
      <c r="AC746" s="9"/>
    </row>
    <row r="747" spans="7:29" x14ac:dyDescent="0.4">
      <c r="G747" s="6"/>
      <c r="J747" s="9"/>
      <c r="K747" s="10"/>
      <c r="X747" s="9"/>
      <c r="Y747" s="11"/>
      <c r="Z747" s="11"/>
      <c r="AC747" s="9"/>
    </row>
    <row r="748" spans="7:29" x14ac:dyDescent="0.4">
      <c r="G748" s="6"/>
      <c r="J748" s="9"/>
      <c r="K748" s="10"/>
      <c r="X748" s="9"/>
      <c r="Y748" s="11"/>
      <c r="Z748" s="11"/>
      <c r="AC748" s="9"/>
    </row>
    <row r="749" spans="7:29" x14ac:dyDescent="0.4">
      <c r="G749" s="6"/>
      <c r="J749" s="9"/>
      <c r="K749" s="10"/>
      <c r="X749" s="9"/>
      <c r="Y749" s="11"/>
      <c r="Z749" s="11"/>
      <c r="AC749" s="9"/>
    </row>
    <row r="750" spans="7:29" x14ac:dyDescent="0.4">
      <c r="G750" s="6"/>
      <c r="J750" s="9"/>
      <c r="K750" s="10"/>
      <c r="X750" s="9"/>
      <c r="Y750" s="11"/>
      <c r="Z750" s="11"/>
      <c r="AC750" s="9"/>
    </row>
    <row r="751" spans="7:29" x14ac:dyDescent="0.4">
      <c r="G751" s="6"/>
      <c r="J751" s="9"/>
      <c r="K751" s="10"/>
      <c r="X751" s="9"/>
      <c r="Y751" s="11"/>
      <c r="Z751" s="11"/>
      <c r="AC751" s="9"/>
    </row>
    <row r="752" spans="7:29" x14ac:dyDescent="0.4">
      <c r="G752" s="6"/>
      <c r="J752" s="9"/>
      <c r="K752" s="10"/>
      <c r="X752" s="9"/>
      <c r="Y752" s="11"/>
      <c r="Z752" s="11"/>
      <c r="AC752" s="9"/>
    </row>
    <row r="753" spans="7:29" x14ac:dyDescent="0.4">
      <c r="G753" s="6"/>
      <c r="J753" s="9"/>
      <c r="K753" s="10"/>
      <c r="X753" s="9"/>
      <c r="Y753" s="11"/>
      <c r="Z753" s="11"/>
      <c r="AC753" s="9"/>
    </row>
    <row r="754" spans="7:29" x14ac:dyDescent="0.4">
      <c r="G754" s="6"/>
      <c r="J754" s="9"/>
      <c r="K754" s="10"/>
      <c r="X754" s="9"/>
      <c r="Y754" s="11"/>
      <c r="Z754" s="11"/>
      <c r="AC754" s="9"/>
    </row>
    <row r="755" spans="7:29" x14ac:dyDescent="0.4">
      <c r="G755" s="6"/>
      <c r="J755" s="9"/>
      <c r="K755" s="10"/>
      <c r="X755" s="9"/>
      <c r="Y755" s="11"/>
      <c r="Z755" s="11"/>
      <c r="AC755" s="9"/>
    </row>
    <row r="756" spans="7:29" x14ac:dyDescent="0.4">
      <c r="G756" s="6"/>
      <c r="J756" s="9"/>
      <c r="K756" s="10"/>
      <c r="X756" s="9"/>
      <c r="Y756" s="11"/>
      <c r="Z756" s="11"/>
      <c r="AC756" s="9"/>
    </row>
    <row r="757" spans="7:29" x14ac:dyDescent="0.4">
      <c r="G757" s="6"/>
      <c r="J757" s="9"/>
      <c r="K757" s="10"/>
      <c r="X757" s="9"/>
      <c r="Y757" s="11"/>
      <c r="Z757" s="11"/>
      <c r="AC757" s="9"/>
    </row>
    <row r="758" spans="7:29" x14ac:dyDescent="0.4">
      <c r="G758" s="6"/>
      <c r="J758" s="9"/>
      <c r="K758" s="10"/>
      <c r="X758" s="9"/>
      <c r="Y758" s="11"/>
      <c r="Z758" s="11"/>
      <c r="AC758" s="9"/>
    </row>
    <row r="759" spans="7:29" x14ac:dyDescent="0.4">
      <c r="G759" s="6"/>
      <c r="J759" s="9"/>
      <c r="K759" s="10"/>
      <c r="X759" s="9"/>
      <c r="Y759" s="11"/>
      <c r="Z759" s="11"/>
      <c r="AC759" s="9"/>
    </row>
    <row r="760" spans="7:29" x14ac:dyDescent="0.4">
      <c r="G760" s="6"/>
      <c r="J760" s="9"/>
      <c r="K760" s="10"/>
      <c r="X760" s="9"/>
      <c r="Y760" s="11"/>
      <c r="Z760" s="11"/>
      <c r="AC760" s="9"/>
    </row>
    <row r="761" spans="7:29" x14ac:dyDescent="0.4">
      <c r="G761" s="6"/>
      <c r="J761" s="9"/>
      <c r="K761" s="10"/>
      <c r="X761" s="9"/>
      <c r="Y761" s="11"/>
      <c r="Z761" s="11"/>
      <c r="AC761" s="9"/>
    </row>
    <row r="762" spans="7:29" x14ac:dyDescent="0.4">
      <c r="G762" s="6"/>
      <c r="J762" s="9"/>
      <c r="K762" s="10"/>
      <c r="X762" s="9"/>
      <c r="Y762" s="11"/>
      <c r="Z762" s="11"/>
      <c r="AC762" s="9"/>
    </row>
    <row r="763" spans="7:29" x14ac:dyDescent="0.4">
      <c r="G763" s="6"/>
      <c r="J763" s="9"/>
      <c r="K763" s="10"/>
      <c r="X763" s="9"/>
      <c r="Y763" s="11"/>
      <c r="Z763" s="11"/>
      <c r="AC763" s="9"/>
    </row>
    <row r="764" spans="7:29" x14ac:dyDescent="0.4">
      <c r="G764" s="6"/>
      <c r="J764" s="9"/>
      <c r="K764" s="10"/>
      <c r="X764" s="9"/>
      <c r="Y764" s="11"/>
      <c r="Z764" s="11"/>
      <c r="AC764" s="9"/>
    </row>
    <row r="765" spans="7:29" x14ac:dyDescent="0.4">
      <c r="G765" s="6"/>
      <c r="J765" s="9"/>
      <c r="K765" s="10"/>
      <c r="X765" s="9"/>
      <c r="Y765" s="11"/>
      <c r="Z765" s="11"/>
      <c r="AC765" s="9"/>
    </row>
    <row r="766" spans="7:29" x14ac:dyDescent="0.4">
      <c r="G766" s="6"/>
      <c r="J766" s="9"/>
      <c r="K766" s="10"/>
      <c r="X766" s="9"/>
      <c r="Y766" s="11"/>
      <c r="Z766" s="11"/>
      <c r="AC766" s="9"/>
    </row>
    <row r="767" spans="7:29" x14ac:dyDescent="0.4">
      <c r="G767" s="6"/>
      <c r="J767" s="9"/>
      <c r="K767" s="10"/>
      <c r="X767" s="9"/>
      <c r="Y767" s="11"/>
      <c r="Z767" s="11"/>
      <c r="AC767" s="9"/>
    </row>
    <row r="768" spans="7:29" x14ac:dyDescent="0.4">
      <c r="G768" s="6"/>
      <c r="J768" s="9"/>
      <c r="K768" s="10"/>
      <c r="X768" s="9"/>
      <c r="Y768" s="11"/>
      <c r="Z768" s="11"/>
      <c r="AC768" s="9"/>
    </row>
    <row r="769" spans="7:29" x14ac:dyDescent="0.4">
      <c r="G769" s="6"/>
      <c r="J769" s="9"/>
      <c r="K769" s="10"/>
      <c r="X769" s="9"/>
      <c r="Y769" s="11"/>
      <c r="Z769" s="11"/>
      <c r="AC769" s="9"/>
    </row>
    <row r="770" spans="7:29" x14ac:dyDescent="0.4">
      <c r="G770" s="6"/>
      <c r="J770" s="9"/>
      <c r="K770" s="10"/>
      <c r="X770" s="9"/>
      <c r="Y770" s="11"/>
      <c r="Z770" s="11"/>
      <c r="AC770" s="9"/>
    </row>
    <row r="771" spans="7:29" x14ac:dyDescent="0.4">
      <c r="G771" s="6"/>
      <c r="J771" s="9"/>
      <c r="K771" s="10"/>
      <c r="X771" s="9"/>
      <c r="Y771" s="11"/>
      <c r="Z771" s="11"/>
      <c r="AC771" s="9"/>
    </row>
    <row r="772" spans="7:29" x14ac:dyDescent="0.4">
      <c r="G772" s="6"/>
      <c r="J772" s="9"/>
      <c r="K772" s="10"/>
      <c r="X772" s="9"/>
      <c r="Y772" s="11"/>
      <c r="Z772" s="11"/>
      <c r="AC772" s="9"/>
    </row>
    <row r="773" spans="7:29" x14ac:dyDescent="0.4">
      <c r="G773" s="6"/>
      <c r="J773" s="9"/>
      <c r="K773" s="10"/>
      <c r="X773" s="9"/>
      <c r="Y773" s="11"/>
      <c r="Z773" s="11"/>
      <c r="AC773" s="9"/>
    </row>
    <row r="774" spans="7:29" x14ac:dyDescent="0.4">
      <c r="G774" s="6"/>
      <c r="J774" s="9"/>
      <c r="K774" s="10"/>
      <c r="X774" s="9"/>
      <c r="Y774" s="11"/>
      <c r="Z774" s="11"/>
      <c r="AC774" s="9"/>
    </row>
    <row r="775" spans="7:29" x14ac:dyDescent="0.4">
      <c r="G775" s="6"/>
      <c r="J775" s="9"/>
      <c r="K775" s="10"/>
      <c r="X775" s="9"/>
      <c r="Y775" s="11"/>
      <c r="Z775" s="11"/>
      <c r="AC775" s="9"/>
    </row>
    <row r="776" spans="7:29" x14ac:dyDescent="0.4">
      <c r="G776" s="6"/>
      <c r="J776" s="9"/>
      <c r="K776" s="10"/>
      <c r="X776" s="9"/>
      <c r="Y776" s="11"/>
      <c r="Z776" s="11"/>
      <c r="AC776" s="9"/>
    </row>
    <row r="777" spans="7:29" x14ac:dyDescent="0.4">
      <c r="G777" s="6"/>
      <c r="J777" s="9"/>
      <c r="K777" s="10"/>
      <c r="X777" s="9"/>
      <c r="Y777" s="11"/>
      <c r="Z777" s="11"/>
      <c r="AC777" s="9"/>
    </row>
    <row r="778" spans="7:29" x14ac:dyDescent="0.4">
      <c r="G778" s="6"/>
      <c r="J778" s="9"/>
      <c r="K778" s="10"/>
      <c r="X778" s="9"/>
      <c r="Y778" s="11"/>
      <c r="Z778" s="11"/>
      <c r="AC778" s="9"/>
    </row>
    <row r="779" spans="7:29" x14ac:dyDescent="0.4">
      <c r="G779" s="6"/>
      <c r="J779" s="9"/>
      <c r="K779" s="10"/>
      <c r="X779" s="9"/>
      <c r="Y779" s="11"/>
      <c r="Z779" s="11"/>
      <c r="AC779" s="9"/>
    </row>
    <row r="780" spans="7:29" x14ac:dyDescent="0.4">
      <c r="G780" s="6"/>
      <c r="J780" s="9"/>
      <c r="K780" s="10"/>
      <c r="X780" s="9"/>
      <c r="Y780" s="11"/>
      <c r="Z780" s="11"/>
      <c r="AC780" s="9"/>
    </row>
    <row r="781" spans="7:29" x14ac:dyDescent="0.4">
      <c r="G781" s="6"/>
      <c r="J781" s="9"/>
      <c r="K781" s="10"/>
      <c r="X781" s="9"/>
      <c r="Y781" s="11"/>
      <c r="Z781" s="11"/>
      <c r="AC781" s="9"/>
    </row>
    <row r="782" spans="7:29" x14ac:dyDescent="0.4">
      <c r="G782" s="6"/>
      <c r="J782" s="9"/>
      <c r="K782" s="10"/>
      <c r="X782" s="9"/>
      <c r="Y782" s="11"/>
      <c r="Z782" s="11"/>
      <c r="AC782" s="9"/>
    </row>
    <row r="783" spans="7:29" x14ac:dyDescent="0.4">
      <c r="G783" s="6"/>
      <c r="J783" s="9"/>
      <c r="K783" s="10"/>
      <c r="X783" s="9"/>
      <c r="Y783" s="11"/>
      <c r="Z783" s="11"/>
      <c r="AC783" s="9"/>
    </row>
    <row r="784" spans="7:29" x14ac:dyDescent="0.4">
      <c r="G784" s="6"/>
      <c r="J784" s="9"/>
      <c r="K784" s="10"/>
      <c r="X784" s="9"/>
      <c r="Y784" s="11"/>
      <c r="Z784" s="11"/>
      <c r="AC784" s="9"/>
    </row>
    <row r="785" spans="7:29" x14ac:dyDescent="0.4">
      <c r="G785" s="6"/>
      <c r="J785" s="9"/>
      <c r="K785" s="10"/>
      <c r="X785" s="9"/>
      <c r="Y785" s="11"/>
      <c r="Z785" s="11"/>
      <c r="AC785" s="9"/>
    </row>
    <row r="786" spans="7:29" x14ac:dyDescent="0.4">
      <c r="G786" s="6"/>
      <c r="J786" s="9"/>
      <c r="K786" s="10"/>
      <c r="X786" s="9"/>
      <c r="Y786" s="11"/>
      <c r="Z786" s="11"/>
      <c r="AC786" s="9"/>
    </row>
    <row r="787" spans="7:29" x14ac:dyDescent="0.4">
      <c r="G787" s="6"/>
      <c r="J787" s="9"/>
      <c r="K787" s="10"/>
      <c r="X787" s="9"/>
      <c r="Y787" s="11"/>
      <c r="Z787" s="11"/>
      <c r="AC787" s="9"/>
    </row>
    <row r="788" spans="7:29" x14ac:dyDescent="0.4">
      <c r="G788" s="6"/>
      <c r="J788" s="9"/>
      <c r="K788" s="10"/>
      <c r="X788" s="9"/>
      <c r="Y788" s="11"/>
      <c r="Z788" s="11"/>
      <c r="AC788" s="9"/>
    </row>
    <row r="789" spans="7:29" x14ac:dyDescent="0.4">
      <c r="G789" s="6"/>
      <c r="J789" s="9"/>
      <c r="K789" s="10"/>
      <c r="X789" s="9"/>
      <c r="Y789" s="11"/>
      <c r="Z789" s="11"/>
      <c r="AC789" s="9"/>
    </row>
    <row r="790" spans="7:29" x14ac:dyDescent="0.4">
      <c r="G790" s="6"/>
      <c r="J790" s="9"/>
      <c r="K790" s="10"/>
      <c r="X790" s="9"/>
      <c r="Y790" s="11"/>
      <c r="Z790" s="11"/>
      <c r="AC790" s="9"/>
    </row>
    <row r="791" spans="7:29" x14ac:dyDescent="0.4">
      <c r="G791" s="6"/>
      <c r="J791" s="9"/>
      <c r="K791" s="10"/>
      <c r="X791" s="9"/>
      <c r="Y791" s="11"/>
      <c r="Z791" s="11"/>
      <c r="AC791" s="9"/>
    </row>
    <row r="792" spans="7:29" x14ac:dyDescent="0.4">
      <c r="G792" s="6"/>
      <c r="J792" s="9"/>
      <c r="K792" s="10"/>
      <c r="X792" s="9"/>
      <c r="Y792" s="11"/>
      <c r="Z792" s="11"/>
      <c r="AC792" s="9"/>
    </row>
    <row r="793" spans="7:29" x14ac:dyDescent="0.4">
      <c r="G793" s="6"/>
      <c r="J793" s="9"/>
      <c r="K793" s="10"/>
      <c r="X793" s="9"/>
      <c r="Y793" s="11"/>
      <c r="Z793" s="11"/>
      <c r="AC793" s="9"/>
    </row>
    <row r="794" spans="7:29" x14ac:dyDescent="0.4">
      <c r="G794" s="6"/>
      <c r="J794" s="9"/>
      <c r="K794" s="10"/>
      <c r="X794" s="9"/>
      <c r="Y794" s="11"/>
      <c r="Z794" s="11"/>
      <c r="AC794" s="9"/>
    </row>
    <row r="795" spans="7:29" x14ac:dyDescent="0.4">
      <c r="G795" s="6"/>
      <c r="J795" s="9"/>
      <c r="K795" s="10"/>
      <c r="X795" s="9"/>
      <c r="Y795" s="11"/>
      <c r="Z795" s="11"/>
      <c r="AC795" s="9"/>
    </row>
    <row r="796" spans="7:29" x14ac:dyDescent="0.4">
      <c r="G796" s="6"/>
      <c r="J796" s="9"/>
      <c r="K796" s="10"/>
      <c r="X796" s="9"/>
      <c r="Y796" s="11"/>
      <c r="Z796" s="11"/>
      <c r="AC796" s="9"/>
    </row>
    <row r="797" spans="7:29" x14ac:dyDescent="0.4">
      <c r="G797" s="6"/>
      <c r="J797" s="9"/>
      <c r="K797" s="10"/>
      <c r="X797" s="9"/>
      <c r="Y797" s="11"/>
      <c r="Z797" s="11"/>
      <c r="AC797" s="9"/>
    </row>
    <row r="798" spans="7:29" x14ac:dyDescent="0.4">
      <c r="G798" s="6"/>
      <c r="J798" s="9"/>
      <c r="K798" s="10"/>
      <c r="X798" s="9"/>
      <c r="Y798" s="11"/>
      <c r="Z798" s="11"/>
      <c r="AC798" s="9"/>
    </row>
    <row r="799" spans="7:29" x14ac:dyDescent="0.4">
      <c r="G799" s="6"/>
      <c r="J799" s="9"/>
      <c r="K799" s="10"/>
      <c r="X799" s="9"/>
      <c r="Y799" s="11"/>
      <c r="Z799" s="11"/>
      <c r="AC799" s="9"/>
    </row>
    <row r="800" spans="7:29" x14ac:dyDescent="0.4">
      <c r="G800" s="6"/>
      <c r="J800" s="9"/>
      <c r="K800" s="10"/>
      <c r="X800" s="9"/>
      <c r="Y800" s="11"/>
      <c r="Z800" s="11"/>
      <c r="AC800" s="9"/>
    </row>
    <row r="801" spans="7:29" x14ac:dyDescent="0.4">
      <c r="G801" s="6"/>
      <c r="J801" s="9"/>
      <c r="K801" s="10"/>
      <c r="X801" s="9"/>
      <c r="Y801" s="11"/>
      <c r="Z801" s="11"/>
      <c r="AC801" s="9"/>
    </row>
    <row r="802" spans="7:29" x14ac:dyDescent="0.4">
      <c r="G802" s="6"/>
      <c r="J802" s="9"/>
      <c r="K802" s="10"/>
      <c r="X802" s="9"/>
      <c r="Y802" s="11"/>
      <c r="Z802" s="11"/>
      <c r="AC802" s="9"/>
    </row>
    <row r="803" spans="7:29" x14ac:dyDescent="0.4">
      <c r="G803" s="6"/>
      <c r="J803" s="9"/>
      <c r="K803" s="10"/>
      <c r="X803" s="9"/>
      <c r="Y803" s="11"/>
      <c r="Z803" s="11"/>
      <c r="AC803" s="9"/>
    </row>
    <row r="804" spans="7:29" x14ac:dyDescent="0.4">
      <c r="G804" s="6"/>
      <c r="J804" s="9"/>
      <c r="K804" s="10"/>
      <c r="X804" s="9"/>
      <c r="Y804" s="11"/>
      <c r="Z804" s="11"/>
      <c r="AC804" s="9"/>
    </row>
    <row r="805" spans="7:29" x14ac:dyDescent="0.4">
      <c r="G805" s="6"/>
      <c r="J805" s="9"/>
      <c r="K805" s="10"/>
      <c r="X805" s="9"/>
      <c r="Y805" s="11"/>
      <c r="Z805" s="11"/>
      <c r="AC805" s="9"/>
    </row>
    <row r="806" spans="7:29" x14ac:dyDescent="0.4">
      <c r="G806" s="6"/>
      <c r="J806" s="9"/>
      <c r="K806" s="10"/>
      <c r="X806" s="9"/>
      <c r="Y806" s="11"/>
      <c r="Z806" s="11"/>
      <c r="AC806" s="9"/>
    </row>
    <row r="807" spans="7:29" x14ac:dyDescent="0.4">
      <c r="G807" s="6"/>
      <c r="J807" s="9"/>
      <c r="K807" s="10"/>
      <c r="X807" s="9"/>
      <c r="Y807" s="11"/>
      <c r="Z807" s="11"/>
      <c r="AC807" s="9"/>
    </row>
    <row r="808" spans="7:29" x14ac:dyDescent="0.4">
      <c r="G808" s="6"/>
      <c r="J808" s="9"/>
      <c r="K808" s="10"/>
      <c r="X808" s="9"/>
      <c r="Y808" s="11"/>
      <c r="Z808" s="11"/>
      <c r="AC808" s="9"/>
    </row>
    <row r="809" spans="7:29" x14ac:dyDescent="0.4">
      <c r="G809" s="6"/>
      <c r="J809" s="9"/>
      <c r="K809" s="10"/>
      <c r="X809" s="9"/>
      <c r="Y809" s="11"/>
      <c r="Z809" s="11"/>
      <c r="AC809" s="9"/>
    </row>
    <row r="810" spans="7:29" x14ac:dyDescent="0.4">
      <c r="G810" s="6"/>
      <c r="J810" s="9"/>
      <c r="K810" s="10"/>
      <c r="X810" s="9"/>
      <c r="Y810" s="11"/>
      <c r="Z810" s="11"/>
      <c r="AC810" s="9"/>
    </row>
    <row r="811" spans="7:29" x14ac:dyDescent="0.4">
      <c r="G811" s="6"/>
      <c r="J811" s="9"/>
      <c r="K811" s="10"/>
      <c r="X811" s="9"/>
      <c r="Y811" s="11"/>
      <c r="Z811" s="11"/>
      <c r="AC811" s="9"/>
    </row>
    <row r="812" spans="7:29" x14ac:dyDescent="0.4">
      <c r="G812" s="6"/>
      <c r="J812" s="9"/>
      <c r="K812" s="10"/>
      <c r="X812" s="9"/>
      <c r="Y812" s="11"/>
      <c r="Z812" s="11"/>
      <c r="AC812" s="9"/>
    </row>
    <row r="813" spans="7:29" x14ac:dyDescent="0.4">
      <c r="G813" s="6"/>
      <c r="J813" s="9"/>
      <c r="K813" s="10"/>
      <c r="X813" s="9"/>
      <c r="Y813" s="11"/>
      <c r="Z813" s="11"/>
      <c r="AC813" s="9"/>
    </row>
    <row r="814" spans="7:29" x14ac:dyDescent="0.4">
      <c r="G814" s="6"/>
      <c r="J814" s="9"/>
      <c r="K814" s="10"/>
      <c r="X814" s="9"/>
      <c r="Y814" s="11"/>
      <c r="Z814" s="11"/>
      <c r="AC814" s="9"/>
    </row>
    <row r="815" spans="7:29" x14ac:dyDescent="0.4">
      <c r="G815" s="6"/>
      <c r="J815" s="9"/>
      <c r="K815" s="10"/>
      <c r="X815" s="9"/>
      <c r="Y815" s="11"/>
      <c r="Z815" s="11"/>
      <c r="AC815" s="9"/>
    </row>
    <row r="816" spans="7:29" x14ac:dyDescent="0.4">
      <c r="G816" s="6"/>
      <c r="J816" s="9"/>
      <c r="K816" s="10"/>
      <c r="X816" s="9"/>
      <c r="Y816" s="11"/>
      <c r="Z816" s="11"/>
      <c r="AC816" s="9"/>
    </row>
    <row r="817" spans="7:29" x14ac:dyDescent="0.4">
      <c r="G817" s="6"/>
      <c r="J817" s="9"/>
      <c r="K817" s="10"/>
      <c r="X817" s="9"/>
      <c r="Y817" s="11"/>
      <c r="Z817" s="11"/>
      <c r="AC817" s="9"/>
    </row>
    <row r="818" spans="7:29" x14ac:dyDescent="0.4">
      <c r="G818" s="6"/>
      <c r="J818" s="9"/>
      <c r="K818" s="10"/>
      <c r="X818" s="9"/>
      <c r="Y818" s="11"/>
      <c r="Z818" s="11"/>
      <c r="AC818" s="9"/>
    </row>
    <row r="819" spans="7:29" x14ac:dyDescent="0.4">
      <c r="G819" s="6"/>
      <c r="J819" s="9"/>
      <c r="K819" s="10"/>
      <c r="X819" s="9"/>
      <c r="Y819" s="11"/>
      <c r="Z819" s="11"/>
      <c r="AC819" s="9"/>
    </row>
    <row r="820" spans="7:29" x14ac:dyDescent="0.4">
      <c r="G820" s="6"/>
      <c r="J820" s="9"/>
      <c r="K820" s="10"/>
      <c r="X820" s="9"/>
      <c r="Y820" s="11"/>
      <c r="Z820" s="11"/>
      <c r="AC820" s="9"/>
    </row>
    <row r="821" spans="7:29" x14ac:dyDescent="0.4">
      <c r="G821" s="6"/>
      <c r="J821" s="9"/>
      <c r="K821" s="10"/>
      <c r="X821" s="9"/>
      <c r="Y821" s="11"/>
      <c r="Z821" s="11"/>
      <c r="AC821" s="9"/>
    </row>
    <row r="822" spans="7:29" x14ac:dyDescent="0.4">
      <c r="G822" s="6"/>
      <c r="J822" s="9"/>
      <c r="K822" s="10"/>
      <c r="X822" s="9"/>
      <c r="Y822" s="11"/>
      <c r="Z822" s="11"/>
      <c r="AC822" s="9"/>
    </row>
    <row r="823" spans="7:29" x14ac:dyDescent="0.4">
      <c r="G823" s="6"/>
      <c r="J823" s="9"/>
      <c r="K823" s="10"/>
      <c r="X823" s="9"/>
      <c r="Y823" s="11"/>
      <c r="Z823" s="11"/>
      <c r="AC823" s="9"/>
    </row>
    <row r="824" spans="7:29" x14ac:dyDescent="0.4">
      <c r="G824" s="6"/>
      <c r="J824" s="9"/>
      <c r="K824" s="10"/>
      <c r="X824" s="9"/>
      <c r="Y824" s="11"/>
      <c r="Z824" s="11"/>
      <c r="AC824" s="9"/>
    </row>
    <row r="825" spans="7:29" x14ac:dyDescent="0.4">
      <c r="G825" s="6"/>
      <c r="J825" s="9"/>
      <c r="K825" s="10"/>
      <c r="X825" s="9"/>
      <c r="Y825" s="11"/>
      <c r="Z825" s="11"/>
      <c r="AC825" s="9"/>
    </row>
    <row r="826" spans="7:29" x14ac:dyDescent="0.4">
      <c r="G826" s="6"/>
      <c r="J826" s="9"/>
      <c r="K826" s="10"/>
      <c r="X826" s="9"/>
      <c r="Y826" s="11"/>
      <c r="Z826" s="11"/>
      <c r="AC826" s="9"/>
    </row>
    <row r="827" spans="7:29" x14ac:dyDescent="0.4">
      <c r="G827" s="6"/>
      <c r="J827" s="9"/>
      <c r="K827" s="10"/>
      <c r="X827" s="9"/>
      <c r="Y827" s="11"/>
      <c r="Z827" s="11"/>
      <c r="AC827" s="9"/>
    </row>
    <row r="828" spans="7:29" x14ac:dyDescent="0.4">
      <c r="G828" s="6"/>
      <c r="J828" s="9"/>
      <c r="K828" s="10"/>
      <c r="X828" s="9"/>
      <c r="Y828" s="11"/>
      <c r="Z828" s="11"/>
      <c r="AC828" s="9"/>
    </row>
    <row r="829" spans="7:29" x14ac:dyDescent="0.4">
      <c r="G829" s="6"/>
      <c r="J829" s="9"/>
      <c r="K829" s="10"/>
      <c r="X829" s="9"/>
      <c r="Y829" s="11"/>
      <c r="Z829" s="11"/>
      <c r="AC829" s="9"/>
    </row>
    <row r="830" spans="7:29" x14ac:dyDescent="0.4">
      <c r="G830" s="6"/>
      <c r="J830" s="9"/>
      <c r="K830" s="10"/>
      <c r="X830" s="9"/>
      <c r="Y830" s="11"/>
      <c r="Z830" s="11"/>
      <c r="AC830" s="9"/>
    </row>
    <row r="831" spans="7:29" x14ac:dyDescent="0.4">
      <c r="G831" s="6"/>
      <c r="J831" s="9"/>
      <c r="K831" s="10"/>
      <c r="X831" s="9"/>
      <c r="Y831" s="11"/>
      <c r="Z831" s="11"/>
      <c r="AC831" s="9"/>
    </row>
    <row r="832" spans="7:29" x14ac:dyDescent="0.4">
      <c r="G832" s="6"/>
      <c r="J832" s="9"/>
      <c r="K832" s="10"/>
      <c r="X832" s="9"/>
      <c r="Y832" s="11"/>
      <c r="Z832" s="11"/>
      <c r="AC832" s="9"/>
    </row>
    <row r="833" spans="7:29" x14ac:dyDescent="0.4">
      <c r="G833" s="6"/>
      <c r="J833" s="9"/>
      <c r="K833" s="10"/>
      <c r="X833" s="9"/>
      <c r="Y833" s="11"/>
      <c r="Z833" s="11"/>
      <c r="AC833" s="9"/>
    </row>
    <row r="834" spans="7:29" x14ac:dyDescent="0.4">
      <c r="G834" s="6"/>
      <c r="J834" s="9"/>
      <c r="K834" s="10"/>
      <c r="X834" s="9"/>
      <c r="Y834" s="11"/>
      <c r="Z834" s="11"/>
      <c r="AC834" s="9"/>
    </row>
    <row r="835" spans="7:29" x14ac:dyDescent="0.4">
      <c r="G835" s="6"/>
      <c r="J835" s="9"/>
      <c r="K835" s="10"/>
      <c r="X835" s="9"/>
      <c r="Y835" s="11"/>
      <c r="Z835" s="11"/>
      <c r="AC835" s="9"/>
    </row>
    <row r="836" spans="7:29" x14ac:dyDescent="0.4">
      <c r="G836" s="6"/>
      <c r="J836" s="9"/>
      <c r="K836" s="10"/>
      <c r="X836" s="9"/>
      <c r="Y836" s="11"/>
      <c r="Z836" s="11"/>
      <c r="AC836" s="9"/>
    </row>
    <row r="837" spans="7:29" x14ac:dyDescent="0.4">
      <c r="G837" s="6"/>
      <c r="J837" s="9"/>
      <c r="K837" s="10"/>
      <c r="X837" s="9"/>
      <c r="Y837" s="11"/>
      <c r="Z837" s="11"/>
      <c r="AC837" s="9"/>
    </row>
    <row r="838" spans="7:29" x14ac:dyDescent="0.4">
      <c r="G838" s="6"/>
      <c r="J838" s="9"/>
      <c r="K838" s="10"/>
      <c r="X838" s="9"/>
      <c r="Y838" s="11"/>
      <c r="Z838" s="11"/>
      <c r="AC838" s="9"/>
    </row>
    <row r="839" spans="7:29" x14ac:dyDescent="0.4">
      <c r="G839" s="6"/>
      <c r="J839" s="9"/>
      <c r="K839" s="10"/>
      <c r="X839" s="9"/>
      <c r="Y839" s="11"/>
      <c r="Z839" s="11"/>
      <c r="AC839" s="9"/>
    </row>
    <row r="840" spans="7:29" x14ac:dyDescent="0.4">
      <c r="G840" s="6"/>
      <c r="J840" s="9"/>
      <c r="K840" s="10"/>
      <c r="X840" s="9"/>
      <c r="Y840" s="11"/>
      <c r="Z840" s="11"/>
      <c r="AC840" s="9"/>
    </row>
    <row r="841" spans="7:29" x14ac:dyDescent="0.4">
      <c r="G841" s="6"/>
      <c r="J841" s="9"/>
      <c r="K841" s="10"/>
      <c r="X841" s="9"/>
      <c r="Y841" s="11"/>
      <c r="Z841" s="11"/>
      <c r="AC841" s="9"/>
    </row>
    <row r="842" spans="7:29" x14ac:dyDescent="0.4">
      <c r="G842" s="6"/>
      <c r="J842" s="9"/>
      <c r="K842" s="10"/>
      <c r="X842" s="9"/>
      <c r="Y842" s="11"/>
      <c r="Z842" s="11"/>
      <c r="AC842" s="9"/>
    </row>
    <row r="843" spans="7:29" x14ac:dyDescent="0.4">
      <c r="G843" s="6"/>
      <c r="J843" s="9"/>
      <c r="K843" s="10"/>
      <c r="X843" s="9"/>
      <c r="Y843" s="11"/>
      <c r="Z843" s="11"/>
      <c r="AC843" s="9"/>
    </row>
    <row r="844" spans="7:29" x14ac:dyDescent="0.4">
      <c r="G844" s="6"/>
      <c r="J844" s="9"/>
      <c r="K844" s="10"/>
      <c r="X844" s="9"/>
      <c r="Y844" s="11"/>
      <c r="Z844" s="11"/>
      <c r="AC844" s="9"/>
    </row>
    <row r="845" spans="7:29" x14ac:dyDescent="0.4">
      <c r="G845" s="6"/>
      <c r="J845" s="9"/>
      <c r="K845" s="10"/>
      <c r="X845" s="9"/>
      <c r="Y845" s="11"/>
      <c r="Z845" s="11"/>
      <c r="AC845" s="9"/>
    </row>
    <row r="846" spans="7:29" x14ac:dyDescent="0.4">
      <c r="G846" s="6"/>
      <c r="J846" s="9"/>
      <c r="K846" s="10"/>
      <c r="X846" s="9"/>
      <c r="Y846" s="11"/>
      <c r="Z846" s="11"/>
      <c r="AC846" s="9"/>
    </row>
    <row r="847" spans="7:29" x14ac:dyDescent="0.4">
      <c r="G847" s="6"/>
      <c r="J847" s="9"/>
      <c r="K847" s="10"/>
      <c r="X847" s="9"/>
      <c r="Y847" s="11"/>
      <c r="Z847" s="11"/>
      <c r="AC847" s="9"/>
    </row>
    <row r="848" spans="7:29" x14ac:dyDescent="0.4">
      <c r="G848" s="6"/>
      <c r="J848" s="9"/>
      <c r="K848" s="10"/>
      <c r="X848" s="9"/>
      <c r="Y848" s="11"/>
      <c r="Z848" s="11"/>
      <c r="AC848" s="9"/>
    </row>
    <row r="849" spans="7:29" x14ac:dyDescent="0.4">
      <c r="G849" s="6"/>
      <c r="J849" s="9"/>
      <c r="K849" s="10"/>
      <c r="X849" s="9"/>
      <c r="Y849" s="11"/>
      <c r="Z849" s="11"/>
      <c r="AC849" s="9"/>
    </row>
    <row r="850" spans="7:29" x14ac:dyDescent="0.4">
      <c r="G850" s="6"/>
      <c r="J850" s="9"/>
      <c r="K850" s="10"/>
      <c r="X850" s="9"/>
      <c r="Y850" s="11"/>
      <c r="Z850" s="11"/>
      <c r="AC850" s="9"/>
    </row>
    <row r="851" spans="7:29" x14ac:dyDescent="0.4">
      <c r="G851" s="6"/>
      <c r="J851" s="9"/>
      <c r="K851" s="10"/>
      <c r="X851" s="9"/>
      <c r="Y851" s="11"/>
      <c r="Z851" s="11"/>
      <c r="AC851" s="9"/>
    </row>
    <row r="852" spans="7:29" x14ac:dyDescent="0.4">
      <c r="G852" s="6"/>
      <c r="J852" s="9"/>
      <c r="K852" s="10"/>
      <c r="X852" s="9"/>
      <c r="Y852" s="11"/>
      <c r="Z852" s="11"/>
      <c r="AC852" s="9"/>
    </row>
    <row r="853" spans="7:29" x14ac:dyDescent="0.4">
      <c r="G853" s="6"/>
      <c r="J853" s="9"/>
      <c r="K853" s="10"/>
      <c r="X853" s="9"/>
      <c r="Y853" s="11"/>
      <c r="Z853" s="11"/>
      <c r="AC853" s="9"/>
    </row>
    <row r="854" spans="7:29" x14ac:dyDescent="0.4">
      <c r="G854" s="6"/>
      <c r="J854" s="9"/>
      <c r="K854" s="10"/>
      <c r="X854" s="9"/>
      <c r="Y854" s="11"/>
      <c r="Z854" s="11"/>
      <c r="AC854" s="9"/>
    </row>
    <row r="855" spans="7:29" x14ac:dyDescent="0.4">
      <c r="G855" s="6"/>
      <c r="J855" s="9"/>
      <c r="K855" s="10"/>
      <c r="X855" s="9"/>
      <c r="Y855" s="11"/>
      <c r="Z855" s="11"/>
      <c r="AC855" s="9"/>
    </row>
    <row r="856" spans="7:29" x14ac:dyDescent="0.4">
      <c r="G856" s="6"/>
      <c r="J856" s="9"/>
      <c r="K856" s="10"/>
      <c r="X856" s="9"/>
      <c r="Y856" s="11"/>
      <c r="Z856" s="11"/>
      <c r="AC856" s="9"/>
    </row>
    <row r="857" spans="7:29" x14ac:dyDescent="0.4">
      <c r="G857" s="6"/>
      <c r="J857" s="9"/>
      <c r="K857" s="10"/>
      <c r="X857" s="9"/>
      <c r="Y857" s="11"/>
      <c r="Z857" s="11"/>
      <c r="AC857" s="9"/>
    </row>
    <row r="858" spans="7:29" x14ac:dyDescent="0.4">
      <c r="G858" s="6"/>
      <c r="J858" s="9"/>
      <c r="K858" s="10"/>
      <c r="X858" s="9"/>
      <c r="Y858" s="11"/>
      <c r="Z858" s="11"/>
      <c r="AC858" s="9"/>
    </row>
    <row r="859" spans="7:29" x14ac:dyDescent="0.4">
      <c r="G859" s="6"/>
      <c r="J859" s="9"/>
      <c r="K859" s="10"/>
      <c r="X859" s="9"/>
      <c r="Y859" s="11"/>
      <c r="Z859" s="11"/>
      <c r="AC859" s="9"/>
    </row>
    <row r="860" spans="7:29" x14ac:dyDescent="0.4">
      <c r="G860" s="6"/>
      <c r="J860" s="9"/>
      <c r="K860" s="10"/>
      <c r="X860" s="9"/>
      <c r="Y860" s="11"/>
      <c r="Z860" s="11"/>
      <c r="AC860" s="9"/>
    </row>
    <row r="861" spans="7:29" x14ac:dyDescent="0.4">
      <c r="G861" s="6"/>
      <c r="J861" s="9"/>
      <c r="K861" s="10"/>
      <c r="X861" s="9"/>
      <c r="Y861" s="11"/>
      <c r="Z861" s="11"/>
      <c r="AC861" s="9"/>
    </row>
    <row r="862" spans="7:29" x14ac:dyDescent="0.4">
      <c r="G862" s="6"/>
      <c r="J862" s="9"/>
      <c r="K862" s="10"/>
      <c r="X862" s="9"/>
      <c r="Y862" s="11"/>
      <c r="Z862" s="11"/>
      <c r="AC862" s="9"/>
    </row>
    <row r="863" spans="7:29" x14ac:dyDescent="0.4">
      <c r="G863" s="6"/>
      <c r="J863" s="9"/>
      <c r="K863" s="10"/>
      <c r="X863" s="9"/>
      <c r="Y863" s="11"/>
      <c r="Z863" s="11"/>
      <c r="AC863" s="9"/>
    </row>
    <row r="864" spans="7:29" x14ac:dyDescent="0.4">
      <c r="G864" s="6"/>
      <c r="J864" s="9"/>
      <c r="K864" s="10"/>
      <c r="X864" s="9"/>
      <c r="Y864" s="11"/>
      <c r="Z864" s="11"/>
      <c r="AC864" s="9"/>
    </row>
    <row r="865" spans="7:29" x14ac:dyDescent="0.4">
      <c r="G865" s="6"/>
      <c r="J865" s="9"/>
      <c r="K865" s="10"/>
      <c r="X865" s="9"/>
      <c r="Y865" s="11"/>
      <c r="Z865" s="11"/>
      <c r="AC865" s="9"/>
    </row>
    <row r="866" spans="7:29" x14ac:dyDescent="0.4">
      <c r="G866" s="6"/>
      <c r="J866" s="9"/>
      <c r="K866" s="10"/>
      <c r="X866" s="9"/>
      <c r="Y866" s="11"/>
      <c r="Z866" s="11"/>
      <c r="AC866" s="9"/>
    </row>
    <row r="867" spans="7:29" x14ac:dyDescent="0.4">
      <c r="G867" s="6"/>
      <c r="J867" s="9"/>
      <c r="K867" s="10"/>
      <c r="X867" s="9"/>
      <c r="Y867" s="11"/>
      <c r="Z867" s="11"/>
      <c r="AC867" s="9"/>
    </row>
    <row r="868" spans="7:29" x14ac:dyDescent="0.4">
      <c r="G868" s="6"/>
      <c r="J868" s="9"/>
      <c r="K868" s="10"/>
      <c r="X868" s="9"/>
      <c r="Y868" s="11"/>
      <c r="Z868" s="11"/>
      <c r="AC868" s="9"/>
    </row>
    <row r="869" spans="7:29" x14ac:dyDescent="0.4">
      <c r="G869" s="6"/>
      <c r="J869" s="9"/>
      <c r="K869" s="10"/>
      <c r="X869" s="9"/>
      <c r="Y869" s="11"/>
      <c r="Z869" s="11"/>
      <c r="AC869" s="9"/>
    </row>
    <row r="870" spans="7:29" x14ac:dyDescent="0.4">
      <c r="G870" s="6"/>
      <c r="J870" s="9"/>
      <c r="K870" s="10"/>
      <c r="X870" s="9"/>
      <c r="Y870" s="11"/>
      <c r="Z870" s="11"/>
      <c r="AC870" s="9"/>
    </row>
    <row r="871" spans="7:29" x14ac:dyDescent="0.4">
      <c r="G871" s="6"/>
      <c r="J871" s="9"/>
      <c r="K871" s="10"/>
      <c r="X871" s="9"/>
      <c r="Y871" s="11"/>
      <c r="Z871" s="11"/>
      <c r="AC871" s="9"/>
    </row>
    <row r="872" spans="7:29" x14ac:dyDescent="0.4">
      <c r="G872" s="6"/>
      <c r="J872" s="9"/>
      <c r="K872" s="10"/>
      <c r="X872" s="9"/>
      <c r="Y872" s="11"/>
      <c r="Z872" s="11"/>
      <c r="AC872" s="9"/>
    </row>
    <row r="873" spans="7:29" x14ac:dyDescent="0.4">
      <c r="G873" s="6"/>
      <c r="J873" s="9"/>
      <c r="K873" s="10"/>
      <c r="X873" s="9"/>
      <c r="Y873" s="11"/>
      <c r="Z873" s="11"/>
      <c r="AC873" s="9"/>
    </row>
    <row r="874" spans="7:29" x14ac:dyDescent="0.4">
      <c r="G874" s="6"/>
      <c r="J874" s="9"/>
      <c r="K874" s="10"/>
      <c r="X874" s="9"/>
      <c r="Y874" s="11"/>
      <c r="Z874" s="11"/>
      <c r="AC874" s="9"/>
    </row>
    <row r="875" spans="7:29" x14ac:dyDescent="0.4">
      <c r="G875" s="6"/>
      <c r="J875" s="9"/>
      <c r="K875" s="10"/>
      <c r="X875" s="9"/>
      <c r="Y875" s="11"/>
      <c r="Z875" s="11"/>
      <c r="AC875" s="9"/>
    </row>
    <row r="876" spans="7:29" x14ac:dyDescent="0.4">
      <c r="G876" s="6"/>
      <c r="J876" s="9"/>
      <c r="K876" s="10"/>
      <c r="X876" s="9"/>
      <c r="Y876" s="11"/>
      <c r="Z876" s="11"/>
      <c r="AC876" s="9"/>
    </row>
    <row r="877" spans="7:29" x14ac:dyDescent="0.4">
      <c r="G877" s="6"/>
      <c r="J877" s="9"/>
      <c r="K877" s="10"/>
      <c r="X877" s="9"/>
      <c r="Y877" s="11"/>
      <c r="Z877" s="11"/>
      <c r="AC877" s="9"/>
    </row>
    <row r="878" spans="7:29" x14ac:dyDescent="0.4">
      <c r="G878" s="6"/>
      <c r="J878" s="9"/>
      <c r="K878" s="10"/>
      <c r="X878" s="9"/>
      <c r="Y878" s="11"/>
      <c r="Z878" s="11"/>
      <c r="AC878" s="9"/>
    </row>
    <row r="879" spans="7:29" x14ac:dyDescent="0.4">
      <c r="G879" s="6"/>
      <c r="J879" s="9"/>
      <c r="K879" s="10"/>
      <c r="X879" s="9"/>
      <c r="Y879" s="11"/>
      <c r="Z879" s="11"/>
      <c r="AC879" s="9"/>
    </row>
    <row r="880" spans="7:29" x14ac:dyDescent="0.4">
      <c r="G880" s="6"/>
      <c r="J880" s="9"/>
      <c r="K880" s="10"/>
      <c r="X880" s="9"/>
      <c r="Y880" s="11"/>
      <c r="Z880" s="11"/>
      <c r="AC880" s="9"/>
    </row>
    <row r="881" spans="7:29" x14ac:dyDescent="0.4">
      <c r="G881" s="6"/>
      <c r="J881" s="9"/>
      <c r="K881" s="10"/>
      <c r="X881" s="9"/>
      <c r="Y881" s="11"/>
      <c r="Z881" s="11"/>
      <c r="AC881" s="9"/>
    </row>
    <row r="882" spans="7:29" x14ac:dyDescent="0.4">
      <c r="G882" s="6"/>
      <c r="J882" s="9"/>
      <c r="K882" s="10"/>
      <c r="X882" s="9"/>
      <c r="Y882" s="11"/>
      <c r="Z882" s="11"/>
      <c r="AC882" s="9"/>
    </row>
    <row r="883" spans="7:29" x14ac:dyDescent="0.4">
      <c r="G883" s="6"/>
      <c r="J883" s="9"/>
      <c r="K883" s="10"/>
      <c r="X883" s="9"/>
      <c r="Y883" s="11"/>
      <c r="Z883" s="11"/>
      <c r="AC883" s="9"/>
    </row>
    <row r="884" spans="7:29" x14ac:dyDescent="0.4">
      <c r="G884" s="6"/>
      <c r="J884" s="9"/>
      <c r="K884" s="10"/>
      <c r="X884" s="9"/>
      <c r="Y884" s="11"/>
      <c r="Z884" s="11"/>
      <c r="AC884" s="9"/>
    </row>
    <row r="885" spans="7:29" x14ac:dyDescent="0.4">
      <c r="G885" s="6"/>
      <c r="J885" s="9"/>
      <c r="K885" s="10"/>
      <c r="X885" s="9"/>
      <c r="Y885" s="11"/>
      <c r="Z885" s="11"/>
      <c r="AC885" s="9"/>
    </row>
    <row r="886" spans="7:29" x14ac:dyDescent="0.4">
      <c r="G886" s="6"/>
      <c r="J886" s="9"/>
      <c r="K886" s="10"/>
      <c r="X886" s="9"/>
      <c r="Y886" s="11"/>
      <c r="Z886" s="11"/>
      <c r="AC886" s="9"/>
    </row>
    <row r="887" spans="7:29" x14ac:dyDescent="0.4">
      <c r="G887" s="6"/>
      <c r="J887" s="9"/>
      <c r="K887" s="10"/>
      <c r="X887" s="9"/>
      <c r="Y887" s="11"/>
      <c r="Z887" s="11"/>
      <c r="AC887" s="9"/>
    </row>
    <row r="888" spans="7:29" x14ac:dyDescent="0.4">
      <c r="G888" s="6"/>
      <c r="J888" s="9"/>
      <c r="K888" s="10"/>
      <c r="X888" s="9"/>
      <c r="Y888" s="11"/>
      <c r="Z888" s="11"/>
      <c r="AC888" s="9"/>
    </row>
    <row r="889" spans="7:29" x14ac:dyDescent="0.4">
      <c r="G889" s="6"/>
      <c r="J889" s="9"/>
      <c r="K889" s="10"/>
      <c r="X889" s="9"/>
      <c r="Y889" s="11"/>
      <c r="Z889" s="11"/>
      <c r="AC889" s="9"/>
    </row>
    <row r="890" spans="7:29" x14ac:dyDescent="0.4">
      <c r="G890" s="6"/>
      <c r="J890" s="9"/>
      <c r="K890" s="10"/>
      <c r="X890" s="9"/>
      <c r="Y890" s="11"/>
      <c r="Z890" s="11"/>
      <c r="AC890" s="9"/>
    </row>
    <row r="891" spans="7:29" x14ac:dyDescent="0.4">
      <c r="G891" s="6"/>
      <c r="J891" s="9"/>
      <c r="K891" s="10"/>
      <c r="X891" s="9"/>
      <c r="Y891" s="11"/>
      <c r="Z891" s="11"/>
      <c r="AC891" s="9"/>
    </row>
    <row r="892" spans="7:29" x14ac:dyDescent="0.4">
      <c r="G892" s="6"/>
      <c r="J892" s="9"/>
      <c r="K892" s="10"/>
      <c r="X892" s="9"/>
      <c r="Y892" s="11"/>
      <c r="Z892" s="11"/>
      <c r="AC892" s="9"/>
    </row>
    <row r="893" spans="7:29" x14ac:dyDescent="0.4">
      <c r="G893" s="6"/>
      <c r="J893" s="9"/>
      <c r="K893" s="10"/>
      <c r="X893" s="9"/>
      <c r="Y893" s="11"/>
      <c r="Z893" s="11"/>
      <c r="AC893" s="9"/>
    </row>
    <row r="894" spans="7:29" x14ac:dyDescent="0.4">
      <c r="G894" s="6"/>
      <c r="J894" s="9"/>
      <c r="K894" s="10"/>
      <c r="X894" s="9"/>
      <c r="Y894" s="11"/>
      <c r="Z894" s="11"/>
      <c r="AC894" s="9"/>
    </row>
    <row r="895" spans="7:29" x14ac:dyDescent="0.4">
      <c r="G895" s="6"/>
      <c r="J895" s="9"/>
      <c r="K895" s="10"/>
      <c r="X895" s="9"/>
      <c r="Y895" s="11"/>
      <c r="Z895" s="11"/>
      <c r="AC895" s="9"/>
    </row>
    <row r="896" spans="7:29" x14ac:dyDescent="0.4">
      <c r="G896" s="6"/>
      <c r="J896" s="9"/>
      <c r="K896" s="10"/>
      <c r="X896" s="9"/>
      <c r="Y896" s="11"/>
      <c r="Z896" s="11"/>
      <c r="AC896" s="9"/>
    </row>
    <row r="897" spans="7:29" x14ac:dyDescent="0.4">
      <c r="G897" s="6"/>
      <c r="J897" s="9"/>
      <c r="K897" s="10"/>
      <c r="X897" s="9"/>
      <c r="Y897" s="11"/>
      <c r="Z897" s="11"/>
      <c r="AC897" s="9"/>
    </row>
    <row r="898" spans="7:29" x14ac:dyDescent="0.4">
      <c r="G898" s="6"/>
      <c r="J898" s="9"/>
      <c r="K898" s="10"/>
      <c r="X898" s="9"/>
      <c r="Y898" s="11"/>
      <c r="Z898" s="11"/>
      <c r="AC898" s="9"/>
    </row>
    <row r="899" spans="7:29" x14ac:dyDescent="0.4">
      <c r="G899" s="6"/>
      <c r="J899" s="9"/>
      <c r="K899" s="10"/>
      <c r="X899" s="9"/>
      <c r="Y899" s="11"/>
      <c r="Z899" s="11"/>
      <c r="AC899" s="9"/>
    </row>
    <row r="900" spans="7:29" x14ac:dyDescent="0.4">
      <c r="G900" s="6"/>
      <c r="J900" s="9"/>
      <c r="K900" s="10"/>
      <c r="X900" s="9"/>
      <c r="Y900" s="11"/>
      <c r="Z900" s="11"/>
      <c r="AC900" s="9"/>
    </row>
    <row r="901" spans="7:29" x14ac:dyDescent="0.4">
      <c r="G901" s="6"/>
      <c r="J901" s="9"/>
      <c r="K901" s="10"/>
      <c r="X901" s="9"/>
      <c r="Y901" s="11"/>
      <c r="Z901" s="11"/>
      <c r="AC901" s="9"/>
    </row>
    <row r="902" spans="7:29" x14ac:dyDescent="0.4">
      <c r="G902" s="6"/>
      <c r="J902" s="9"/>
      <c r="K902" s="10"/>
      <c r="X902" s="9"/>
      <c r="Y902" s="11"/>
      <c r="Z902" s="11"/>
      <c r="AC902" s="9"/>
    </row>
    <row r="903" spans="7:29" x14ac:dyDescent="0.4">
      <c r="G903" s="6"/>
      <c r="J903" s="9"/>
      <c r="K903" s="10"/>
      <c r="X903" s="9"/>
      <c r="Y903" s="11"/>
      <c r="Z903" s="11"/>
      <c r="AC903" s="9"/>
    </row>
    <row r="904" spans="7:29" x14ac:dyDescent="0.4">
      <c r="G904" s="6"/>
      <c r="J904" s="9"/>
      <c r="K904" s="10"/>
      <c r="X904" s="9"/>
      <c r="Y904" s="11"/>
      <c r="Z904" s="11"/>
      <c r="AC904" s="9"/>
    </row>
    <row r="905" spans="7:29" x14ac:dyDescent="0.4">
      <c r="G905" s="6"/>
      <c r="J905" s="9"/>
      <c r="K905" s="10"/>
      <c r="X905" s="9"/>
      <c r="Y905" s="11"/>
      <c r="Z905" s="11"/>
      <c r="AC905" s="9"/>
    </row>
    <row r="906" spans="7:29" x14ac:dyDescent="0.4">
      <c r="G906" s="6"/>
      <c r="J906" s="9"/>
      <c r="K906" s="10"/>
      <c r="X906" s="9"/>
      <c r="Y906" s="11"/>
      <c r="Z906" s="11"/>
      <c r="AC906" s="9"/>
    </row>
    <row r="907" spans="7:29" x14ac:dyDescent="0.4">
      <c r="G907" s="6"/>
      <c r="J907" s="9"/>
      <c r="K907" s="10"/>
      <c r="X907" s="9"/>
      <c r="Y907" s="11"/>
      <c r="Z907" s="11"/>
      <c r="AC907" s="9"/>
    </row>
    <row r="908" spans="7:29" x14ac:dyDescent="0.4">
      <c r="G908" s="6"/>
      <c r="J908" s="9"/>
      <c r="K908" s="10"/>
      <c r="X908" s="9"/>
      <c r="Y908" s="11"/>
      <c r="Z908" s="11"/>
      <c r="AC908" s="9"/>
    </row>
    <row r="909" spans="7:29" x14ac:dyDescent="0.4">
      <c r="G909" s="6"/>
      <c r="J909" s="9"/>
      <c r="K909" s="10"/>
      <c r="X909" s="9"/>
      <c r="Y909" s="11"/>
      <c r="Z909" s="11"/>
      <c r="AC909" s="9"/>
    </row>
    <row r="910" spans="7:29" x14ac:dyDescent="0.4">
      <c r="G910" s="6"/>
      <c r="J910" s="9"/>
      <c r="K910" s="10"/>
      <c r="X910" s="9"/>
      <c r="Y910" s="11"/>
      <c r="Z910" s="11"/>
      <c r="AC910" s="9"/>
    </row>
    <row r="911" spans="7:29" x14ac:dyDescent="0.4">
      <c r="G911" s="6"/>
      <c r="J911" s="9"/>
      <c r="K911" s="10"/>
      <c r="X911" s="9"/>
      <c r="Y911" s="11"/>
      <c r="Z911" s="11"/>
      <c r="AC911" s="9"/>
    </row>
    <row r="912" spans="7:29" x14ac:dyDescent="0.4">
      <c r="G912" s="6"/>
      <c r="J912" s="9"/>
      <c r="K912" s="10"/>
      <c r="X912" s="9"/>
      <c r="Y912" s="11"/>
      <c r="Z912" s="11"/>
      <c r="AC912" s="9"/>
    </row>
    <row r="913" spans="7:29" x14ac:dyDescent="0.4">
      <c r="G913" s="6"/>
      <c r="J913" s="9"/>
      <c r="K913" s="10"/>
      <c r="X913" s="9"/>
      <c r="Y913" s="11"/>
      <c r="Z913" s="11"/>
      <c r="AC913" s="9"/>
    </row>
    <row r="914" spans="7:29" x14ac:dyDescent="0.4">
      <c r="G914" s="6"/>
      <c r="J914" s="9"/>
      <c r="K914" s="10"/>
      <c r="X914" s="9"/>
      <c r="Y914" s="11"/>
      <c r="Z914" s="11"/>
      <c r="AC914" s="9"/>
    </row>
    <row r="915" spans="7:29" x14ac:dyDescent="0.4">
      <c r="G915" s="6"/>
      <c r="J915" s="9"/>
      <c r="K915" s="10"/>
      <c r="X915" s="9"/>
      <c r="Y915" s="11"/>
      <c r="Z915" s="11"/>
      <c r="AC915" s="9"/>
    </row>
    <row r="916" spans="7:29" x14ac:dyDescent="0.4">
      <c r="G916" s="6"/>
      <c r="J916" s="9"/>
      <c r="K916" s="10"/>
      <c r="X916" s="9"/>
      <c r="Y916" s="11"/>
      <c r="Z916" s="11"/>
      <c r="AC916" s="9"/>
    </row>
    <row r="917" spans="7:29" x14ac:dyDescent="0.4">
      <c r="G917" s="6"/>
      <c r="J917" s="9"/>
      <c r="K917" s="10"/>
      <c r="X917" s="9"/>
      <c r="Y917" s="11"/>
      <c r="Z917" s="11"/>
      <c r="AC917" s="9"/>
    </row>
    <row r="918" spans="7:29" x14ac:dyDescent="0.4">
      <c r="G918" s="6"/>
      <c r="J918" s="9"/>
      <c r="K918" s="10"/>
      <c r="X918" s="9"/>
      <c r="Y918" s="11"/>
      <c r="Z918" s="11"/>
      <c r="AC918" s="9"/>
    </row>
    <row r="919" spans="7:29" x14ac:dyDescent="0.4">
      <c r="G919" s="6"/>
      <c r="J919" s="9"/>
      <c r="K919" s="10"/>
      <c r="X919" s="9"/>
      <c r="Y919" s="11"/>
      <c r="Z919" s="11"/>
      <c r="AC919" s="9"/>
    </row>
    <row r="920" spans="7:29" x14ac:dyDescent="0.4">
      <c r="G920" s="6"/>
      <c r="J920" s="9"/>
      <c r="K920" s="10"/>
      <c r="X920" s="9"/>
      <c r="Y920" s="11"/>
      <c r="Z920" s="11"/>
      <c r="AC920" s="9"/>
    </row>
    <row r="921" spans="7:29" x14ac:dyDescent="0.4">
      <c r="G921" s="6"/>
      <c r="J921" s="9"/>
      <c r="K921" s="10"/>
      <c r="X921" s="9"/>
      <c r="Y921" s="11"/>
      <c r="Z921" s="11"/>
      <c r="AC921" s="9"/>
    </row>
    <row r="922" spans="7:29" x14ac:dyDescent="0.4">
      <c r="G922" s="6"/>
      <c r="J922" s="9"/>
      <c r="K922" s="10"/>
      <c r="X922" s="9"/>
      <c r="Y922" s="11"/>
      <c r="Z922" s="11"/>
      <c r="AC922" s="9"/>
    </row>
    <row r="923" spans="7:29" x14ac:dyDescent="0.4">
      <c r="G923" s="6"/>
      <c r="J923" s="9"/>
      <c r="K923" s="10"/>
      <c r="X923" s="9"/>
      <c r="Y923" s="11"/>
      <c r="Z923" s="11"/>
      <c r="AC923" s="9"/>
    </row>
    <row r="924" spans="7:29" x14ac:dyDescent="0.4">
      <c r="G924" s="6"/>
      <c r="J924" s="9"/>
      <c r="K924" s="10"/>
      <c r="X924" s="9"/>
      <c r="Y924" s="11"/>
      <c r="Z924" s="11"/>
      <c r="AC924" s="9"/>
    </row>
    <row r="925" spans="7:29" x14ac:dyDescent="0.4">
      <c r="G925" s="6"/>
      <c r="J925" s="9"/>
      <c r="K925" s="10"/>
      <c r="X925" s="9"/>
      <c r="Y925" s="11"/>
      <c r="Z925" s="11"/>
      <c r="AC925" s="9"/>
    </row>
    <row r="926" spans="7:29" x14ac:dyDescent="0.4">
      <c r="G926" s="6"/>
      <c r="J926" s="9"/>
      <c r="K926" s="10"/>
      <c r="X926" s="9"/>
      <c r="Y926" s="11"/>
      <c r="Z926" s="11"/>
      <c r="AC926" s="9"/>
    </row>
    <row r="927" spans="7:29" x14ac:dyDescent="0.4">
      <c r="G927" s="6"/>
      <c r="J927" s="9"/>
      <c r="K927" s="10"/>
      <c r="X927" s="9"/>
      <c r="Y927" s="11"/>
      <c r="Z927" s="11"/>
      <c r="AC927" s="9"/>
    </row>
    <row r="928" spans="7:29" x14ac:dyDescent="0.4">
      <c r="G928" s="6"/>
      <c r="J928" s="9"/>
      <c r="K928" s="10"/>
      <c r="X928" s="9"/>
      <c r="Y928" s="11"/>
      <c r="Z928" s="11"/>
      <c r="AC928" s="9"/>
    </row>
    <row r="929" spans="7:29" x14ac:dyDescent="0.4">
      <c r="G929" s="6"/>
      <c r="J929" s="9"/>
      <c r="K929" s="10"/>
      <c r="X929" s="9"/>
      <c r="Y929" s="11"/>
      <c r="Z929" s="11"/>
      <c r="AC929" s="9"/>
    </row>
    <row r="930" spans="7:29" x14ac:dyDescent="0.4">
      <c r="G930" s="6"/>
      <c r="J930" s="9"/>
      <c r="K930" s="10"/>
      <c r="X930" s="9"/>
      <c r="Y930" s="11"/>
      <c r="Z930" s="11"/>
      <c r="AC930" s="9"/>
    </row>
    <row r="931" spans="7:29" x14ac:dyDescent="0.4">
      <c r="G931" s="6"/>
      <c r="J931" s="9"/>
      <c r="K931" s="10"/>
      <c r="X931" s="9"/>
      <c r="Y931" s="11"/>
      <c r="Z931" s="11"/>
      <c r="AC931" s="9"/>
    </row>
    <row r="932" spans="7:29" x14ac:dyDescent="0.4">
      <c r="G932" s="6"/>
      <c r="J932" s="9"/>
      <c r="K932" s="10"/>
      <c r="X932" s="9"/>
      <c r="Y932" s="11"/>
      <c r="Z932" s="11"/>
      <c r="AC932" s="9"/>
    </row>
    <row r="933" spans="7:29" x14ac:dyDescent="0.4">
      <c r="G933" s="6"/>
      <c r="J933" s="9"/>
      <c r="K933" s="10"/>
      <c r="X933" s="9"/>
      <c r="Y933" s="11"/>
      <c r="Z933" s="11"/>
      <c r="AC933" s="9"/>
    </row>
    <row r="934" spans="7:29" x14ac:dyDescent="0.4">
      <c r="G934" s="6"/>
      <c r="J934" s="9"/>
      <c r="K934" s="10"/>
      <c r="X934" s="9"/>
      <c r="Y934" s="11"/>
      <c r="Z934" s="11"/>
      <c r="AC934" s="9"/>
    </row>
    <row r="935" spans="7:29" x14ac:dyDescent="0.4">
      <c r="G935" s="6"/>
      <c r="J935" s="9"/>
      <c r="K935" s="10"/>
      <c r="X935" s="9"/>
      <c r="Y935" s="11"/>
      <c r="Z935" s="11"/>
      <c r="AC935" s="9"/>
    </row>
    <row r="936" spans="7:29" x14ac:dyDescent="0.4">
      <c r="G936" s="6"/>
      <c r="J936" s="9"/>
      <c r="K936" s="10"/>
      <c r="X936" s="9"/>
      <c r="Y936" s="11"/>
      <c r="Z936" s="11"/>
      <c r="AC936" s="9"/>
    </row>
    <row r="937" spans="7:29" x14ac:dyDescent="0.4">
      <c r="G937" s="6"/>
      <c r="J937" s="9"/>
      <c r="K937" s="10"/>
      <c r="X937" s="9"/>
      <c r="Y937" s="11"/>
      <c r="Z937" s="11"/>
      <c r="AC937" s="9"/>
    </row>
    <row r="938" spans="7:29" x14ac:dyDescent="0.4">
      <c r="G938" s="6"/>
      <c r="J938" s="9"/>
      <c r="K938" s="10"/>
      <c r="X938" s="9"/>
      <c r="Y938" s="11"/>
      <c r="Z938" s="11"/>
      <c r="AC938" s="9"/>
    </row>
    <row r="939" spans="7:29" x14ac:dyDescent="0.4">
      <c r="G939" s="6"/>
      <c r="J939" s="9"/>
      <c r="K939" s="10"/>
      <c r="X939" s="9"/>
      <c r="Y939" s="11"/>
      <c r="Z939" s="11"/>
      <c r="AC939" s="9"/>
    </row>
    <row r="940" spans="7:29" x14ac:dyDescent="0.4">
      <c r="G940" s="6"/>
      <c r="J940" s="9"/>
      <c r="K940" s="10"/>
      <c r="X940" s="9"/>
      <c r="Y940" s="11"/>
      <c r="Z940" s="11"/>
      <c r="AC940" s="9"/>
    </row>
    <row r="941" spans="7:29" x14ac:dyDescent="0.4">
      <c r="G941" s="6"/>
      <c r="J941" s="9"/>
      <c r="K941" s="10"/>
      <c r="X941" s="9"/>
      <c r="Y941" s="11"/>
      <c r="Z941" s="11"/>
      <c r="AC941" s="9"/>
    </row>
    <row r="942" spans="7:29" x14ac:dyDescent="0.4">
      <c r="G942" s="6"/>
      <c r="J942" s="9"/>
      <c r="K942" s="10"/>
      <c r="X942" s="9"/>
      <c r="Y942" s="11"/>
      <c r="Z942" s="11"/>
      <c r="AC942" s="9"/>
    </row>
    <row r="943" spans="7:29" x14ac:dyDescent="0.4">
      <c r="G943" s="6"/>
      <c r="J943" s="9"/>
      <c r="K943" s="10"/>
      <c r="X943" s="9"/>
      <c r="Y943" s="11"/>
      <c r="Z943" s="11"/>
      <c r="AC943" s="9"/>
    </row>
    <row r="944" spans="7:29" x14ac:dyDescent="0.4">
      <c r="G944" s="6"/>
      <c r="J944" s="9"/>
      <c r="K944" s="10"/>
      <c r="X944" s="9"/>
      <c r="Y944" s="11"/>
      <c r="Z944" s="11"/>
      <c r="AC944" s="9"/>
    </row>
    <row r="945" spans="7:29" x14ac:dyDescent="0.4">
      <c r="G945" s="6"/>
      <c r="J945" s="9"/>
      <c r="K945" s="10"/>
      <c r="X945" s="9"/>
      <c r="Y945" s="11"/>
      <c r="Z945" s="11"/>
      <c r="AC945" s="9"/>
    </row>
    <row r="946" spans="7:29" x14ac:dyDescent="0.4">
      <c r="G946" s="6"/>
      <c r="J946" s="9"/>
      <c r="K946" s="10"/>
      <c r="X946" s="9"/>
      <c r="Y946" s="11"/>
      <c r="Z946" s="11"/>
      <c r="AC946" s="9"/>
    </row>
    <row r="947" spans="7:29" x14ac:dyDescent="0.4">
      <c r="G947" s="6"/>
      <c r="J947" s="9"/>
      <c r="K947" s="10"/>
      <c r="X947" s="9"/>
      <c r="Y947" s="11"/>
      <c r="Z947" s="11"/>
      <c r="AC947" s="9"/>
    </row>
    <row r="948" spans="7:29" x14ac:dyDescent="0.4">
      <c r="G948" s="6"/>
      <c r="J948" s="9"/>
      <c r="K948" s="10"/>
      <c r="X948" s="9"/>
      <c r="Y948" s="11"/>
      <c r="Z948" s="11"/>
      <c r="AC948" s="9"/>
    </row>
    <row r="949" spans="7:29" x14ac:dyDescent="0.4">
      <c r="G949" s="6"/>
      <c r="J949" s="9"/>
      <c r="K949" s="10"/>
      <c r="X949" s="9"/>
      <c r="Y949" s="11"/>
      <c r="Z949" s="11"/>
      <c r="AC949" s="9"/>
    </row>
    <row r="950" spans="7:29" x14ac:dyDescent="0.4">
      <c r="G950" s="6"/>
      <c r="J950" s="9"/>
      <c r="K950" s="10"/>
      <c r="X950" s="9"/>
      <c r="Y950" s="11"/>
      <c r="Z950" s="11"/>
      <c r="AC950" s="9"/>
    </row>
    <row r="951" spans="7:29" x14ac:dyDescent="0.4">
      <c r="G951" s="6"/>
      <c r="J951" s="9"/>
      <c r="K951" s="10"/>
      <c r="X951" s="9"/>
      <c r="Y951" s="11"/>
      <c r="Z951" s="11"/>
      <c r="AC951" s="9"/>
    </row>
    <row r="952" spans="7:29" x14ac:dyDescent="0.4">
      <c r="G952" s="6"/>
      <c r="J952" s="9"/>
      <c r="K952" s="10"/>
      <c r="X952" s="9"/>
      <c r="Y952" s="11"/>
      <c r="Z952" s="11"/>
      <c r="AC952" s="9"/>
    </row>
    <row r="953" spans="7:29" x14ac:dyDescent="0.4">
      <c r="G953" s="6"/>
      <c r="J953" s="9"/>
      <c r="K953" s="10"/>
      <c r="X953" s="9"/>
      <c r="Y953" s="11"/>
      <c r="Z953" s="11"/>
      <c r="AC953" s="9"/>
    </row>
    <row r="954" spans="7:29" x14ac:dyDescent="0.4">
      <c r="G954" s="6"/>
      <c r="J954" s="9"/>
      <c r="K954" s="10"/>
      <c r="X954" s="9"/>
      <c r="Y954" s="11"/>
      <c r="Z954" s="11"/>
      <c r="AC954" s="9"/>
    </row>
    <row r="955" spans="7:29" x14ac:dyDescent="0.4">
      <c r="G955" s="6"/>
      <c r="J955" s="9"/>
      <c r="K955" s="10"/>
      <c r="X955" s="9"/>
      <c r="Y955" s="11"/>
      <c r="Z955" s="11"/>
      <c r="AC955" s="9"/>
    </row>
    <row r="956" spans="7:29" x14ac:dyDescent="0.4">
      <c r="G956" s="6"/>
      <c r="J956" s="9"/>
      <c r="K956" s="10"/>
      <c r="X956" s="9"/>
      <c r="Y956" s="11"/>
      <c r="Z956" s="11"/>
      <c r="AC956" s="9"/>
    </row>
    <row r="957" spans="7:29" x14ac:dyDescent="0.4">
      <c r="G957" s="6"/>
      <c r="J957" s="9"/>
      <c r="K957" s="10"/>
      <c r="X957" s="9"/>
      <c r="Y957" s="11"/>
      <c r="Z957" s="11"/>
      <c r="AC957" s="9"/>
    </row>
    <row r="958" spans="7:29" x14ac:dyDescent="0.4">
      <c r="G958" s="6"/>
      <c r="J958" s="9"/>
      <c r="K958" s="10"/>
      <c r="X958" s="9"/>
      <c r="Y958" s="11"/>
      <c r="Z958" s="11"/>
      <c r="AC958" s="9"/>
    </row>
    <row r="959" spans="7:29" x14ac:dyDescent="0.4">
      <c r="G959" s="6"/>
      <c r="J959" s="9"/>
      <c r="K959" s="10"/>
      <c r="X959" s="9"/>
      <c r="Y959" s="11"/>
      <c r="Z959" s="11"/>
      <c r="AC959" s="9"/>
    </row>
    <row r="960" spans="7:29" x14ac:dyDescent="0.4">
      <c r="G960" s="6"/>
      <c r="J960" s="9"/>
      <c r="K960" s="10"/>
      <c r="X960" s="9"/>
      <c r="Y960" s="11"/>
      <c r="Z960" s="11"/>
      <c r="AC960" s="9"/>
    </row>
    <row r="961" spans="7:29" x14ac:dyDescent="0.4">
      <c r="G961" s="6"/>
      <c r="J961" s="9"/>
      <c r="K961" s="10"/>
      <c r="X961" s="9"/>
      <c r="Y961" s="11"/>
      <c r="Z961" s="11"/>
      <c r="AC961" s="9"/>
    </row>
    <row r="962" spans="7:29" x14ac:dyDescent="0.4">
      <c r="G962" s="6"/>
      <c r="J962" s="9"/>
      <c r="K962" s="10"/>
      <c r="X962" s="9"/>
      <c r="Y962" s="11"/>
      <c r="Z962" s="11"/>
      <c r="AC962" s="9"/>
    </row>
    <row r="963" spans="7:29" x14ac:dyDescent="0.4">
      <c r="G963" s="6"/>
      <c r="J963" s="9"/>
      <c r="K963" s="10"/>
      <c r="X963" s="9"/>
      <c r="Y963" s="11"/>
      <c r="Z963" s="11"/>
      <c r="AC963" s="9"/>
    </row>
    <row r="964" spans="7:29" x14ac:dyDescent="0.4">
      <c r="G964" s="6"/>
      <c r="J964" s="9"/>
      <c r="K964" s="10"/>
      <c r="X964" s="9"/>
      <c r="Y964" s="11"/>
      <c r="Z964" s="11"/>
      <c r="AC964" s="9"/>
    </row>
    <row r="965" spans="7:29" x14ac:dyDescent="0.4">
      <c r="G965" s="6"/>
      <c r="J965" s="9"/>
      <c r="K965" s="10"/>
      <c r="X965" s="9"/>
      <c r="Y965" s="11"/>
      <c r="Z965" s="11"/>
      <c r="AC965" s="9"/>
    </row>
    <row r="966" spans="7:29" x14ac:dyDescent="0.4">
      <c r="G966" s="6"/>
      <c r="J966" s="9"/>
      <c r="K966" s="10"/>
      <c r="X966" s="9"/>
      <c r="Y966" s="11"/>
      <c r="Z966" s="11"/>
      <c r="AC966" s="9"/>
    </row>
    <row r="967" spans="7:29" x14ac:dyDescent="0.4">
      <c r="G967" s="6"/>
      <c r="J967" s="9"/>
      <c r="K967" s="10"/>
      <c r="X967" s="9"/>
      <c r="Y967" s="11"/>
      <c r="Z967" s="11"/>
      <c r="AC967" s="9"/>
    </row>
    <row r="968" spans="7:29" x14ac:dyDescent="0.4">
      <c r="G968" s="6"/>
      <c r="J968" s="9"/>
      <c r="K968" s="10"/>
      <c r="X968" s="9"/>
      <c r="Y968" s="11"/>
      <c r="Z968" s="11"/>
      <c r="AC968" s="9"/>
    </row>
    <row r="969" spans="7:29" x14ac:dyDescent="0.4">
      <c r="G969" s="6"/>
      <c r="J969" s="9"/>
      <c r="K969" s="10"/>
      <c r="X969" s="9"/>
      <c r="Y969" s="11"/>
      <c r="Z969" s="11"/>
      <c r="AC969" s="9"/>
    </row>
    <row r="970" spans="7:29" x14ac:dyDescent="0.4">
      <c r="G970" s="6"/>
      <c r="J970" s="9"/>
      <c r="K970" s="10"/>
      <c r="X970" s="9"/>
      <c r="Y970" s="11"/>
      <c r="Z970" s="11"/>
      <c r="AC970" s="9"/>
    </row>
    <row r="971" spans="7:29" x14ac:dyDescent="0.4">
      <c r="G971" s="6"/>
      <c r="J971" s="9"/>
      <c r="K971" s="10"/>
      <c r="X971" s="9"/>
      <c r="Y971" s="11"/>
      <c r="Z971" s="11"/>
      <c r="AC971" s="9"/>
    </row>
    <row r="972" spans="7:29" x14ac:dyDescent="0.4">
      <c r="G972" s="6"/>
      <c r="J972" s="9"/>
      <c r="K972" s="10"/>
      <c r="X972" s="9"/>
      <c r="Y972" s="11"/>
      <c r="Z972" s="11"/>
      <c r="AC972" s="9"/>
    </row>
    <row r="973" spans="7:29" x14ac:dyDescent="0.4">
      <c r="G973" s="6"/>
      <c r="J973" s="9"/>
      <c r="K973" s="10"/>
      <c r="X973" s="9"/>
      <c r="Y973" s="11"/>
      <c r="Z973" s="11"/>
      <c r="AC973" s="9"/>
    </row>
    <row r="974" spans="7:29" x14ac:dyDescent="0.4">
      <c r="G974" s="6"/>
      <c r="J974" s="9"/>
      <c r="K974" s="10"/>
      <c r="X974" s="9"/>
      <c r="Y974" s="11"/>
      <c r="Z974" s="11"/>
      <c r="AC974" s="9"/>
    </row>
    <row r="975" spans="7:29" x14ac:dyDescent="0.4">
      <c r="G975" s="6"/>
      <c r="J975" s="9"/>
      <c r="K975" s="10"/>
      <c r="X975" s="9"/>
      <c r="Y975" s="11"/>
      <c r="Z975" s="11"/>
      <c r="AC975" s="9"/>
    </row>
    <row r="976" spans="7:29" x14ac:dyDescent="0.4">
      <c r="G976" s="6"/>
      <c r="J976" s="9"/>
      <c r="K976" s="10"/>
      <c r="X976" s="9"/>
      <c r="Y976" s="11"/>
      <c r="Z976" s="11"/>
      <c r="AC976" s="9"/>
    </row>
    <row r="977" spans="7:29" x14ac:dyDescent="0.4">
      <c r="G977" s="6"/>
      <c r="J977" s="9"/>
      <c r="K977" s="10"/>
      <c r="X977" s="9"/>
      <c r="Y977" s="11"/>
      <c r="Z977" s="11"/>
      <c r="AC977" s="9"/>
    </row>
    <row r="978" spans="7:29" x14ac:dyDescent="0.4">
      <c r="G978" s="6"/>
      <c r="J978" s="9"/>
      <c r="K978" s="10"/>
      <c r="X978" s="9"/>
      <c r="Y978" s="11"/>
      <c r="Z978" s="11"/>
      <c r="AC978" s="9"/>
    </row>
    <row r="979" spans="7:29" x14ac:dyDescent="0.4">
      <c r="G979" s="6"/>
      <c r="J979" s="9"/>
      <c r="K979" s="10"/>
      <c r="X979" s="9"/>
      <c r="Y979" s="11"/>
      <c r="Z979" s="11"/>
      <c r="AC979" s="9"/>
    </row>
    <row r="980" spans="7:29" x14ac:dyDescent="0.4">
      <c r="G980" s="6"/>
      <c r="J980" s="9"/>
      <c r="K980" s="10"/>
      <c r="X980" s="9"/>
      <c r="Y980" s="11"/>
      <c r="Z980" s="11"/>
      <c r="AC980" s="9"/>
    </row>
    <row r="981" spans="7:29" x14ac:dyDescent="0.4">
      <c r="G981" s="6"/>
      <c r="J981" s="9"/>
      <c r="K981" s="10"/>
      <c r="X981" s="9"/>
      <c r="Y981" s="11"/>
      <c r="Z981" s="11"/>
      <c r="AC981" s="9"/>
    </row>
    <row r="982" spans="7:29" x14ac:dyDescent="0.4">
      <c r="G982" s="6"/>
      <c r="J982" s="9"/>
      <c r="K982" s="10"/>
      <c r="X982" s="9"/>
      <c r="Y982" s="11"/>
      <c r="Z982" s="11"/>
      <c r="AC982" s="9"/>
    </row>
    <row r="983" spans="7:29" x14ac:dyDescent="0.4">
      <c r="G983" s="6"/>
      <c r="J983" s="9"/>
      <c r="K983" s="10"/>
      <c r="X983" s="9"/>
      <c r="Y983" s="11"/>
      <c r="Z983" s="11"/>
      <c r="AC983" s="9"/>
    </row>
    <row r="984" spans="7:29" x14ac:dyDescent="0.4">
      <c r="G984" s="6"/>
      <c r="J984" s="9"/>
      <c r="K984" s="10"/>
      <c r="X984" s="9"/>
      <c r="Y984" s="11"/>
      <c r="Z984" s="11"/>
      <c r="AC984" s="9"/>
    </row>
    <row r="985" spans="7:29" x14ac:dyDescent="0.4">
      <c r="G985" s="6"/>
      <c r="J985" s="9"/>
      <c r="K985" s="10"/>
      <c r="X985" s="9"/>
      <c r="Y985" s="11"/>
      <c r="Z985" s="11"/>
      <c r="AC985" s="9"/>
    </row>
    <row r="986" spans="7:29" x14ac:dyDescent="0.4">
      <c r="G986" s="6"/>
      <c r="J986" s="9"/>
      <c r="K986" s="10"/>
      <c r="X986" s="9"/>
      <c r="Y986" s="11"/>
      <c r="Z986" s="11"/>
      <c r="AC986" s="9"/>
    </row>
    <row r="987" spans="7:29" x14ac:dyDescent="0.4">
      <c r="G987" s="6"/>
      <c r="J987" s="9"/>
      <c r="K987" s="10"/>
      <c r="X987" s="9"/>
      <c r="Y987" s="11"/>
      <c r="Z987" s="11"/>
      <c r="AC987" s="9"/>
    </row>
    <row r="988" spans="7:29" x14ac:dyDescent="0.4">
      <c r="G988" s="6"/>
      <c r="J988" s="9"/>
      <c r="K988" s="10"/>
      <c r="X988" s="9"/>
      <c r="Y988" s="11"/>
      <c r="Z988" s="11"/>
      <c r="AC988" s="9"/>
    </row>
    <row r="989" spans="7:29" x14ac:dyDescent="0.4">
      <c r="G989" s="6"/>
      <c r="J989" s="9"/>
      <c r="K989" s="10"/>
      <c r="X989" s="9"/>
      <c r="Y989" s="11"/>
      <c r="Z989" s="11"/>
      <c r="AC989" s="9"/>
    </row>
    <row r="990" spans="7:29" x14ac:dyDescent="0.4">
      <c r="G990" s="6"/>
      <c r="J990" s="9"/>
      <c r="K990" s="10"/>
      <c r="X990" s="9"/>
      <c r="Y990" s="11"/>
      <c r="Z990" s="11"/>
      <c r="AC990" s="9"/>
    </row>
    <row r="991" spans="7:29" x14ac:dyDescent="0.4">
      <c r="G991" s="6"/>
      <c r="J991" s="9"/>
      <c r="K991" s="10"/>
      <c r="X991" s="9"/>
      <c r="Y991" s="11"/>
      <c r="Z991" s="11"/>
      <c r="AC991" s="9"/>
    </row>
    <row r="992" spans="7:29" x14ac:dyDescent="0.4">
      <c r="G992" s="6"/>
      <c r="J992" s="9"/>
      <c r="K992" s="10"/>
      <c r="X992" s="9"/>
      <c r="Y992" s="11"/>
      <c r="Z992" s="11"/>
      <c r="AC992" s="9"/>
    </row>
    <row r="993" spans="7:29" x14ac:dyDescent="0.4">
      <c r="G993" s="6"/>
      <c r="J993" s="9"/>
      <c r="K993" s="10"/>
      <c r="X993" s="9"/>
      <c r="Y993" s="11"/>
      <c r="Z993" s="11"/>
      <c r="AC993" s="9"/>
    </row>
    <row r="994" spans="7:29" x14ac:dyDescent="0.4">
      <c r="G994" s="6"/>
      <c r="J994" s="9"/>
      <c r="K994" s="10"/>
      <c r="X994" s="9"/>
      <c r="Y994" s="11"/>
      <c r="Z994" s="11"/>
      <c r="AC994" s="9"/>
    </row>
    <row r="995" spans="7:29" x14ac:dyDescent="0.4">
      <c r="G995" s="6"/>
      <c r="J995" s="9"/>
      <c r="K995" s="10"/>
      <c r="X995" s="9"/>
      <c r="Y995" s="11"/>
      <c r="Z995" s="11"/>
      <c r="AC995" s="9"/>
    </row>
    <row r="996" spans="7:29" x14ac:dyDescent="0.4">
      <c r="G996" s="6"/>
      <c r="J996" s="9"/>
      <c r="K996" s="10"/>
      <c r="X996" s="9"/>
      <c r="Y996" s="11"/>
      <c r="Z996" s="11"/>
      <c r="AC996" s="9"/>
    </row>
    <row r="997" spans="7:29" x14ac:dyDescent="0.4">
      <c r="G997" s="6"/>
      <c r="J997" s="9"/>
      <c r="K997" s="10"/>
      <c r="X997" s="9"/>
      <c r="Y997" s="11"/>
      <c r="Z997" s="11"/>
      <c r="AC997" s="9"/>
    </row>
    <row r="998" spans="7:29" x14ac:dyDescent="0.4">
      <c r="G998" s="6"/>
      <c r="J998" s="9"/>
      <c r="K998" s="10"/>
      <c r="X998" s="9"/>
      <c r="Y998" s="11"/>
      <c r="Z998" s="11"/>
      <c r="AC998" s="9"/>
    </row>
    <row r="999" spans="7:29" x14ac:dyDescent="0.4">
      <c r="G999" s="6"/>
      <c r="J999" s="9"/>
      <c r="K999" s="10"/>
      <c r="X999" s="9"/>
      <c r="Y999" s="11"/>
      <c r="Z999" s="11"/>
      <c r="AC999" s="9"/>
    </row>
  </sheetData>
  <autoFilter ref="B4:AC305"/>
  <customSheetViews>
    <customSheetView guid="{AC73F0AC-3B6F-451B-A834-DCB871243EC7}" filter="1" showAutoFilter="1">
      <pageMargins left="0.7" right="0.7" top="0.75" bottom="0.75" header="0.3" footer="0.3"/>
      <autoFilter ref="A4:AC305"/>
    </customSheetView>
  </customSheetViews>
  <mergeCells count="2">
    <mergeCell ref="V3:Z3"/>
    <mergeCell ref="X80:X84"/>
  </mergeCells>
  <phoneticPr fontId="2"/>
  <conditionalFormatting sqref="B5:T999">
    <cfRule type="expression" dxfId="3" priority="1">
      <formula>$C5="起票済"</formula>
    </cfRule>
    <cfRule type="expression" dxfId="2" priority="2">
      <formula>$C5="対応済"</formula>
    </cfRule>
    <cfRule type="expression" dxfId="1" priority="3">
      <formula>OR($C5="完了",$C5="取り下げ",$C5="申し送り")</formula>
    </cfRule>
    <cfRule type="expression" dxfId="0" priority="4">
      <formula>$C5="再修正依頼"</formula>
    </cfRule>
  </conditionalFormatting>
  <dataValidations count="2">
    <dataValidation type="list" allowBlank="1" showErrorMessage="1" sqref="F5:F304">
      <formula1>"不具合,問い合わせ"</formula1>
    </dataValidation>
    <dataValidation type="list" allowBlank="1" showErrorMessage="1" sqref="C5:C304">
      <formula1>"起票中,起票済,対応済,完了,申し送り,取り下げ,再修正依頼"</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運用方法</vt:lpstr>
      <vt:lpstr>不具合表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2024-10-06T08:00:52Z</dcterms:modified>
</cp:coreProperties>
</file>