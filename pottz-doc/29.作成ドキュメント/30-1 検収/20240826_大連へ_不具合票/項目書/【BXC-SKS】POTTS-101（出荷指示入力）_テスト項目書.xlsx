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1（出荷指示入力）" sheetId="2" r:id="rId5"/>
    <sheet state="visible" name="変更履歴" sheetId="3" r:id="rId6"/>
    <sheet state="hidden" name="template" sheetId="4" r:id="rId7"/>
  </sheets>
  <definedNames>
    <definedName name="AA">#REF!</definedName>
    <definedName name="ｚｚｚ">#REF!</definedName>
    <definedName name="ｘｘｘ">#REF!</definedName>
    <definedName name="DDD">#REF!</definedName>
    <definedName name="EEE">#REF!</definedName>
    <definedName name="QQQ">#REF!</definedName>
    <definedName name="UUU">#REF!</definedName>
    <definedName name="実施結果">#REF!</definedName>
    <definedName name="BB">#REF!</definedName>
    <definedName name="ｘ">#REF!</definedName>
    <definedName name="HTML1_15">#REF!</definedName>
    <definedName name="いい">#REF!</definedName>
    <definedName name="いいい">#REF!</definedName>
    <definedName name="HTML1_13">#REF!</definedName>
    <definedName name="CC">#REF!</definedName>
    <definedName name="ｊｊｊ">#REF!</definedName>
    <definedName name="W">#REF!</definedName>
    <definedName name="TTT">#REF!</definedName>
    <definedName name="wrn.追加ＰＣ見積.">#REF!</definedName>
    <definedName name="RRR">#REF!</definedName>
    <definedName name="ああああ">#REF!</definedName>
    <definedName name="abc">#REF!</definedName>
    <definedName name="wrn.2050保守作業.">#REF!</definedName>
    <definedName name="I">#REF!</definedName>
    <definedName name="テスト観点">#REF!</definedName>
    <definedName name="だ">#REF!</definedName>
    <definedName name="aaaaa">#REF!</definedName>
    <definedName name="ｙｙｙ">#REF!</definedName>
    <definedName name="画面名">#REF!</definedName>
    <definedName name="AAAA">#REF!</definedName>
    <definedName name="A">#REF!</definedName>
    <definedName name="か">#REF!</definedName>
    <definedName name="うう">#REF!</definedName>
    <definedName name="NNN">#REF!</definedName>
    <definedName name="CCC">#REF!</definedName>
    <definedName name="QQ">#REF!</definedName>
    <definedName name="XX">#REF!</definedName>
    <definedName name="wrn.見積・注文.">#REF!</definedName>
    <definedName name="い">#REF!</definedName>
    <definedName name="Ｄ">#REF!</definedName>
    <definedName name="ええ">#REF!</definedName>
    <definedName name="HTML1_14">#REF!</definedName>
    <definedName name="PP">#REF!</definedName>
    <definedName name="あああ">#REF!</definedName>
    <definedName name="CCCC">#REF!</definedName>
    <definedName name="ううう">#REF!</definedName>
    <definedName name="ｖｖｖ">#REF!</definedName>
    <definedName name="B">#REF!</definedName>
    <definedName name="RR">#REF!</definedName>
    <definedName name="SSS">#REF!</definedName>
    <definedName name="PPP">#REF!</definedName>
    <definedName name="ｚ">#REF!</definedName>
    <definedName name="んｎ">#REF!</definedName>
    <definedName name="FFF">#REF!</definedName>
    <definedName name="ざ">#REF!</definedName>
    <definedName hidden="1" localSheetId="1" name="Z_B22AEDDB_2FCB_4B15_8AD7_2F5C6041BC01_.wvu.FilterData">'POTTS-101（出荷指示入力）'!$A$10:$R$142</definedName>
    <definedName hidden="1" localSheetId="3" name="Z_B22AEDDB_2FCB_4B15_8AD7_2F5C6041BC01_.wvu.FilterData">template!$A$9:$S$110</definedName>
  </definedNames>
  <calcPr/>
  <customWorkbookViews>
    <customWorkbookView activeSheetId="0" maximized="1" windowHeight="0" windowWidth="0" guid="{B22AEDDB-2FCB-4B15-8AD7-2F5C6041BC01}" name="フィルタ 1"/>
  </customWorkbookViews>
</workbook>
</file>

<file path=xl/sharedStrings.xml><?xml version="1.0" encoding="utf-8"?>
<sst xmlns="http://schemas.openxmlformats.org/spreadsheetml/2006/main" count="1344" uniqueCount="273">
  <si>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</si>
  <si>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</si>
  <si>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</si>
  <si>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</si>
  <si>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</si>
  <si>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</si>
  <si>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</si>
  <si>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</si>
  <si>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</si>
  <si>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</si>
  <si>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</si>
  <si>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</si>
  <si>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</si>
  <si>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</si>
  <si>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</si>
  <si>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</si>
  <si>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</si>
  <si>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</si>
  <si>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</si>
  <si>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</si>
  <si>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</si>
  <si>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</si>
  <si>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</si>
  <si>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</si>
  <si>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POTTS-101（出荷指示入力）</t>
  </si>
  <si>
    <t>Ver.1.0.1</t>
  </si>
  <si>
    <t>検証環境</t>
  </si>
  <si>
    <t>Windows10</t>
  </si>
  <si>
    <t>Android(TB)</t>
  </si>
  <si>
    <t>Android(SP)</t>
  </si>
  <si>
    <t>アプリ.Ver</t>
  </si>
  <si>
    <t>1.0.1</t>
  </si>
  <si>
    <t>端末名</t>
  </si>
  <si>
    <t>Pixel7a</t>
  </si>
  <si>
    <t>OS.Ver</t>
  </si>
  <si>
    <t>対象外</t>
  </si>
  <si>
    <t>イベント</t>
  </si>
  <si>
    <t>画面項目</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</si>
  <si>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</si>
  <si>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</si>
  <si>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</si>
  <si>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</si>
  <si>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</si>
  <si>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</si>
  <si>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</si>
  <si>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</si>
  <si>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</si>
  <si>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</si>
  <si>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</si>
  <si>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</si>
  <si>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</si>
  <si>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</si>
  <si>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3.「出荷指示入力」を押下する</t>
  </si>
  <si>
    <t>画面の項目欄が空白で表示されること</t>
  </si>
  <si>
    <t>AG芹川</t>
  </si>
  <si>
    <t>明細一覧に値が表示されないこと</t>
  </si>
  <si>
    <t>基本情報入力タブが選択されていること</t>
  </si>
  <si>
    <t>1.ログインする
2.「MENU」より「出荷」を押下する 
3.「出荷指示照会」を押下する
4.一覧に表示されている行のミートボールメニューを押下する
5.「修正」を押下する</t>
  </si>
  <si>
    <t>画面の項目欄に「出荷指示照会」で選択した「出荷指示」データが表示されていること</t>
  </si>
  <si>
    <t>1.選択した出荷指示入力に紐づく出荷明細が存在しない</t>
  </si>
  <si>
    <t>1.選択した出荷指示入力に紐づく出荷明細が存在する</t>
  </si>
  <si>
    <t>明細一覧に値が表示されること</t>
  </si>
  <si>
    <t>CSVインポート</t>
  </si>
  <si>
    <t>1.ログインする
2.「MENU」より「出荷」を押下する 
3.「出荷指示入力」を押下する
4.「csv出荷指示取込」ボタンを押下する</t>
  </si>
  <si>
    <t>アップロードするファイルを選択できること</t>
  </si>
  <si>
    <t>1.ログインする
2.「MENU」より「出荷」を押下する 
3.「基本情報入力」を押下する
4.「csv出荷指示取込」ボタンを押下する
5.取込可能なファイルを選択する（備考に参考記載あり）</t>
  </si>
  <si>
    <t>csvに記入しているデータがインポートされること</t>
  </si>
  <si>
    <t>参照ファイル：出荷指示入力テンプレート.csv
8/23:CSVが取り込めなくなっている為、再修正依頼</t>
  </si>
  <si>
    <t>1.CSVファイルの以下を空にしておく
・product_id
・product_price
・ship_num</t>
  </si>
  <si>
    <t>1.ログインする
2.「MENU」より「出荷」を押下する 
3.「基本情報入力」を押下する
4.「csv出荷指示取込」ボタンを押下する
5.前提条件に沿うファイルを選択する</t>
  </si>
  <si>
    <t>エラーとなること</t>
  </si>
  <si>
    <t>エラーメッセージの記載はありませんでしたのでこのような記載とさせていただいております</t>
  </si>
  <si>
    <t>出荷指示日</t>
  </si>
  <si>
    <t>基本情報入力</t>
  </si>
  <si>
    <t>1.登録操作中であること</t>
  </si>
  <si>
    <t>1.ログインする
2.「MENU」より「出荷」を押下する 
3.「出荷指示入力」を押下する
4.「基本情報入力」を押下する
5.「出荷指示日」欄のプルダウンを押下する</t>
  </si>
  <si>
    <t>押下時にカレンダーが表示され、値が設定出来ること</t>
  </si>
  <si>
    <t>納入日</t>
  </si>
  <si>
    <t>1.ログインする
2.「MENU」より「出荷」を押下する 
3.「出荷指示入力」を押下する
4.「基本情報入力」を押下する
5.「納入日」を押下する</t>
  </si>
  <si>
    <t>得意先備考</t>
  </si>
  <si>
    <t>1.ログインする
2.「MENU」より「出荷」を押下する 
3.「出荷指示入力」を押下する
4.「基本情報入力」を押下する
5.「得意先備考」欄のテキストボックスに文字を入力する</t>
  </si>
  <si>
    <t>「得意先備考」欄のテキストボックスに文字が入力できること</t>
  </si>
  <si>
    <t>社内備考</t>
  </si>
  <si>
    <t>出荷先情報入力</t>
  </si>
  <si>
    <t>1.ログインする
2.「MENU」より「出荷」を押下する 
3.「出荷指示入力」を押下する
4.「基本情報入力」を押下する
5.「社内備考」欄のテキストボックスに文字を入力する</t>
  </si>
  <si>
    <t>「社内備考」欄のテキストボックスに文字が入力できること</t>
  </si>
  <si>
    <t>1.ログインする
2.「MENU」より「出荷」を押下する 
3.「出荷指示入力」を押下する
4.「出荷先情報入力」を押下する</t>
  </si>
  <si>
    <t>「出荷先情報入力」画面に切り替わること</t>
  </si>
  <si>
    <t>得意先注文番号</t>
  </si>
  <si>
    <t>1.ログインする
2.「MENU」より「出荷」を押下する 
3.「出荷指示入力」を押下する
4.「出荷先情報入力」を押下する
5.「得意先注文番号」欄のテキストボックスに文字を入力する</t>
  </si>
  <si>
    <t>「得意先注文番号」欄のテキストボックスに文字を入力できること</t>
  </si>
  <si>
    <t>得意先名</t>
  </si>
  <si>
    <t>1.ログインする
2.「MENU」より「出荷」を押下する 
3.「出荷指示入力」を押下する
4.「出荷先情報入力」を押下する
5.「得意先名」欄のプルダウンを押下する</t>
  </si>
  <si>
    <t>「得意先名」欄のプルダウン押下時に値が表示されること</t>
  </si>
  <si>
    <t>得意先ID</t>
  </si>
  <si>
    <t>1.ログインする
2.「MENU」より「出荷」を押下する 
3.「出荷指示入力」を押下する
4.「出荷先情報入力」を押下する
5.「得意先名」欄のプルダウンを押下する
6.「得意先ID」欄を確認する</t>
  </si>
  <si>
    <t>選択した「得意先名」の「得意先ID」が表示されていること</t>
  </si>
  <si>
    <t>得意先カナ名称</t>
  </si>
  <si>
    <t>1.ログインする
2.「MENU」より「出荷」を押下する 
3.「出荷指示入力」を押下する
4.「出荷先情報入力」を押下する
5.「得意先カナ名称」欄のテキストボックスに文字を入力する</t>
  </si>
  <si>
    <t>「得意先カナ名称」欄のテキストボックスに文字を入力できること</t>
  </si>
  <si>
    <t>得意先郵便番号</t>
  </si>
  <si>
    <t>1.ログインする
2.「MENU」より「出荷」を押下する 
3.「出荷指示入力」を押下する
4.「出荷先情報入力」を押下する
5.「得意先郵便番号」欄のテキストボックスに文字を入力する</t>
  </si>
  <si>
    <t>「得意先郵便番号」欄のテキストボックスに文字を入力できること</t>
  </si>
  <si>
    <t>得意先都道府県</t>
  </si>
  <si>
    <t>1.ログインする
2.「MENU」より「出荷」を押下する 
3.「出荷指示入力」を押下する
4.「出荷先情報入力」を押下する
5.「得意先都道府県」欄のテキストボックスに文字を入力する</t>
  </si>
  <si>
    <t>「得意先都道府県」欄のテキストボックスに文字を入力できること</t>
  </si>
  <si>
    <t>得意先市区町村</t>
  </si>
  <si>
    <t>1.ログインする
2.「MENU」より「出荷」を押下する 
3.「出荷指示入力」を押下する
4.「出荷先情報入力」を押下する
5.「得意先市区町村」欄のテキストボックスに文字を入力する</t>
  </si>
  <si>
    <t>「得意先市区町村」欄のテキストボックスに文字を入力できること</t>
  </si>
  <si>
    <t>得意先住所詳細</t>
  </si>
  <si>
    <t>1.ログインする
2.「MENU」より「出荷」を押下する 
3.「出荷指示入力」を押下する
4.「出荷先情報入力」を押下する
5.「得意先住所詳細」欄のテキストボックスに文字を入力する</t>
  </si>
  <si>
    <t>「得意先住所詳細」欄のテキストボックスに文字を入力できること</t>
  </si>
  <si>
    <t>得意先電話番号</t>
  </si>
  <si>
    <t>1.ログインする
2.「MENU」より「出荷」を押下する 
3.「出荷指示入力」を押下する
4.「出荷先情報入力」を押下する
5.「得意先電話番号」欄のテキストボックスに文字を入力する</t>
  </si>
  <si>
    <t>「得意先電話番号」欄のテキストボックスに文字を入力できること</t>
  </si>
  <si>
    <t>得意先FAX番号</t>
  </si>
  <si>
    <t>1.ログインする
2.「MENU」より「出荷」を押下する 
3.「出荷指示入力」を押下する
4.「出荷先情報入力」を押下する
5.「得意先FAX番号」欄のテキストボックスに文字を入力する</t>
  </si>
  <si>
    <t>「得意先FAX番号」欄のテキストボックスに文字を入力できること</t>
  </si>
  <si>
    <t>納入先名</t>
  </si>
  <si>
    <t>1.ログインする
2.「MENU」より「出荷」を押下する 
3.「出荷指示入力」を押下する
4.「出荷先情報入力」を押下する
5.「納入先名」欄のプルダウンを押下する</t>
  </si>
  <si>
    <t>「納入先名」欄のプルダウン押下時に値が表示されること</t>
  </si>
  <si>
    <t>納入先ID</t>
  </si>
  <si>
    <t>1.ログインする
2.「MENU」より「出荷」を押下する 
3.「出荷指示入力」を押下する
4.「出荷先情報入力」を押下する
5.「納入先名」欄のプルダウンを押下する
6.「納入先ID」欄を確認する</t>
  </si>
  <si>
    <t>選択した「納入先名」の「納入先ID」が表示されていること</t>
  </si>
  <si>
    <t>納入先カナ名称</t>
  </si>
  <si>
    <t>1.ログインする
2.「MENU」より「出荷」を押下する 
3.「出荷指示入力」を押下する
4.「出荷先情報入力」を押下する
5.「納入先カナ名称」欄のテキストボックスに文字を入力する</t>
  </si>
  <si>
    <t>「納入先カナ名称」欄のテキストボックスに文字を入力できること</t>
  </si>
  <si>
    <t xml:space="preserve">納入先郵便番号								</t>
  </si>
  <si>
    <t>1.ログインする
2.「MENU」より「出荷」を押下する 
3.「出荷指示入力」を押下する
4.「出荷先情報入力」を押下する
5.「納入先郵便番号」欄のテキストボックスに文字を入力する</t>
  </si>
  <si>
    <t>「納入先郵便番号」欄のテキストボックスに文字を入力できること</t>
  </si>
  <si>
    <t>納入先都道府県</t>
  </si>
  <si>
    <t>1.ログインする
2.「MENU」より「出荷」を押下する 
3.「出荷指示入力」を押下する
4.「出荷先情報入力」を押下する
5.「納入先都道府県」欄のテキストボックスに文字を入力する</t>
  </si>
  <si>
    <t>「納入先都道府県」欄のテキストボックスに文字を入力できること</t>
  </si>
  <si>
    <t>納入先市区町村</t>
  </si>
  <si>
    <t>1.ログインする
2.「MENU」より「出荷」を押下する 
3.「出荷指示入力」を押下する
4.「出荷先情報入力」を押下する
5.「納入先市区町村」欄のテキストボックスに文字を入力する</t>
  </si>
  <si>
    <t>「納入先市区町村」欄のテキストボックスに文字を入力できること</t>
  </si>
  <si>
    <t>納入先住所詳細</t>
  </si>
  <si>
    <t>1.ログインする
2.「MENU」より「出荷」を押下する 
3.「出荷指示入力」を押下する
4.「出荷先情報入力」を押下する
5.「納入先住所詳細」欄のテキストボックスに文字を入力する</t>
  </si>
  <si>
    <t>「納入先住所詳細」欄のテキストボックスに文字を入力できること</t>
  </si>
  <si>
    <t>納入先電話番号</t>
  </si>
  <si>
    <t>1.ログインする
2.「MENU」より「出荷」を押下する 
3.「出荷指示入力」を押下する
4.「出荷先情報入力」を押下する
5.「納入先電話番号」欄のテキストボックスに文字を入力する</t>
  </si>
  <si>
    <t>「納入先電話番号」欄のテキストボックスに文字を入力できること</t>
  </si>
  <si>
    <t>納入先_FAX番号</t>
  </si>
  <si>
    <t>1.ログインする
2.「MENU」より「出荷」を押下する 
3.「出荷指示入力」を押下する
4.「出荷先情報入力」を押下する
5.「納入先_FAX番号」欄のテキストボックスに文字を入力する</t>
  </si>
  <si>
    <t>「納入先_FAX番号」欄のテキストボックスに文字を入力できること</t>
  </si>
  <si>
    <t>納入先担当者</t>
  </si>
  <si>
    <t>1.ログインする
2.「MENU」より「出荷」を押下する 
3.「出荷指示入力」を押下する
4.「出荷先情報入力」を押下する
5.「納入先担当者」欄のテキストボックスに文字を入力する</t>
  </si>
  <si>
    <t>「納入先担当者」欄のテキストボックスに文字を入力できること</t>
  </si>
  <si>
    <t>登録</t>
  </si>
  <si>
    <t>1.ログインする
2.「MENU」より「出荷」を押下する 
3.「出荷指示入力」を押下する
4.「基本情報」と「出荷先情報」に正しい値をすべて入力する
5.「登録」ボタンを押下する</t>
  </si>
  <si>
    <t>登録可能なこと</t>
  </si>
  <si>
    <t>バリデーションチェック</t>
  </si>
  <si>
    <r>
      <rPr>
        <rFont val="Meiryo"/>
        <color theme="1"/>
      </rPr>
      <t xml:space="preserve">1.ログインする
2.「MENU」より「出荷」を押下する 
3.「出荷指示入力」を押下する
4.「基本情報」と「出荷先情報」に以下の文字をすべて入力する。
</t>
    </r>
    <r>
      <rPr>
        <rFont val="Meiryo"/>
        <color theme="1"/>
      </rPr>
      <t>※「出荷指示日」「納入日」は正しい値を入力する</t>
    </r>
    <r>
      <rPr>
        <rFont val="Meiryo"/>
        <color theme="1"/>
      </rPr>
      <t xml:space="preserve">
・SELECT * FROM dual
5.「登録」ボタンを押下する</t>
    </r>
  </si>
  <si>
    <t>出荷指示番号</t>
  </si>
  <si>
    <t>1.修正操作中であること</t>
  </si>
  <si>
    <t>1.ログインする
2.「MENU」より「出荷」を押下する
3.「出荷指示照会」を押下する
4.一覧に表示されている行のミートボールメニューを押下する
5.「修正」を押下する
6.「出荷指示入力」に遷移する
7.「基本情報入力」を押下する
8.「出荷指示番号」を確認する</t>
  </si>
  <si>
    <t>「出荷指示番号」が表示されていること</t>
  </si>
  <si>
    <t>1.ログインする
2.「MENU」より「出荷」を押下する
3.「出荷指示照会」を押下する
4.一覧に表示されている行のミートボールメニューを押下する
5.「修正」を押下する
6.「出荷指示入力」に遷移する
7.「基本情報入力」を押下する
8.「出荷指示日」を押下する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</si>
  <si>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8.「納入日」を押下する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</si>
  <si>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8.「得意先備考」欄のテキストボックスに文字を入力する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</si>
  <si>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8.「社内備考」欄のテキストボックスに文字を入力する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</si>
  <si>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t>
  </si>
  <si>
    <t>1.ログインする
2.「MENU」より「出荷」を押下する
3.「出荷指示照会」を押下する
4.一覧に表示されている行のミートボールメニューを押下する
5.「修正」を押下する
6.「出荷先情報入力」を押下する
7.「得意先注文番号」欄のテキストボックスに文字を入力する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</si>
  <si>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7.「得意先名」欄のプルダウンを押下する</t>
  </si>
  <si>
    <t>1.ログインする
2.「MENU」より「出荷」を押下する
3.「出荷指示照会」を押下する
4.一覧に表示されている行のミートボールメニューを押下する
5.「修正」を押下する
6.「出荷先情報入力」を押下する
7.「得意先名」欄のプルダウンを押下する
8.「得意先ID」欄の表示を確認する</t>
  </si>
  <si>
    <t>1.ログインする
2.「MENU」より「出荷」を押下する
3.「出荷指示照会」を押下する
4.一覧に表示されている行のミートボールメニューを押下する
5.「修正」を押下する
6.「出荷先情報入力」を押下する
7.「得意先カナ名称」欄のテキストボックスに文字を入力する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</si>
  <si>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7.「得意先郵便番号」欄のテキストボックスに文字を入力する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</si>
  <si>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7.「得意先都道府県」欄のテキストボックスに文字を入力する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</si>
  <si>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7.「得意先市区町村」欄のテキストボックスに文字を入力する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</si>
  <si>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7.「得意先住所詳細」欄のテキストボックスに文字を入力する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</si>
  <si>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7.「得意先電話番号」欄のテキストボックスに文字を入力する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</si>
  <si>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7.「得意先FAX番号」欄のテキストボックスに文字を入力する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</si>
  <si>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7.「納入先名」欄のプルダウンを押下する</t>
  </si>
  <si>
    <t>1.ログインする
2.「MENU」より「出荷」を押下する
3.「出荷指示照会」を押下する
4.一覧に表示されている行のミートボールメニューを押下する
5.「修正」を押下する
6.「出荷先情報入力」を押下する
7.「納入先名」欄のプルダウンを押下する
8.「納入先ID」欄を確認する</t>
  </si>
  <si>
    <t>1.ログインする
2.「MENU」より「出荷」を押下する
3.「出荷指示照会」を押下する
4.一覧に表示されている行のミートボールメニューを押下する
5.「修正」を押下する
6.「出荷先情報入力」を押下する
7.「納入先カナ名称」欄のテキストボックスに文字を入力する</t>
  </si>
  <si>
    <t xml:space="preserve">納入先郵便番号                                                                </t>
  </si>
  <si>
    <t>1.ログインする
2.「MENU」より「出荷」を押下する
3.「出荷指示照会」を押下する
4.一覧に表示されている行のミートボールメニューを押下する
5.「修正」を押下する
6.「出荷先情報入力」を押下する
7.「納入先郵便番号」欄のテキストボックスに文字を入力する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</si>
  <si>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7.「納入先都道府県」欄のテキストボックスに文字を入力する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</si>
  <si>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7.「納入先市区町村」欄のテキストボックスに文字を入力する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</si>
  <si>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7.「納入先住所詳細」欄のテキストボックスに文字を入力する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</si>
  <si>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7.「納入先電話番号」欄のテキストボックスに文字を入力する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</si>
  <si>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7.「納入先_FAX番号」欄のテキストボックスに文字を入力する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</si>
  <si>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7.「納入先担当者」欄のテキストボックスに文字を入力する</t>
  </si>
  <si>
    <t>修正</t>
  </si>
  <si>
    <t>1.ログインする
2.「MENU」より「出荷」を押下する
3.「出荷指示照会」を押下する
4.一覧に表示されている行のミートボールメニューを押下する
5.「修正」を押下する
6.「基本情報」と「出荷先情報」に正しい値をすべて入力する
7.「修正」ボタンを押下する</t>
  </si>
  <si>
    <t>修正可能なこと</t>
  </si>
  <si>
    <t>1.ログインする
2.「MENU」より「出荷」を押下する
3.「出荷指示照会」を押下する
4.一覧に表示されている行のミートボールメニューを押下する
5.「修正」を押下する
6.「基本情報」と「出荷先情報」に以下の文字をすべて入力する。
※「出荷指示日」「納入日」は正しい値を入力する
・SELECT * FROM dual
7.「修正」ボタンを押下する</t>
  </si>
  <si>
    <t xml:space="preserve">全選択                                                    </t>
  </si>
  <si>
    <t>1.ログインする
2.「MENU」より「出荷」を押下する
3.「出荷指示照会」を押下する
4.一覧に表示されている行のミートボールメニューを押下する
5.「修正」を押下する
4.「全選択」ボタンを押下する</t>
  </si>
  <si>
    <t>一覧に表示されている「出荷指示入力」がすべて選択されること（チェックが入ること）</t>
  </si>
  <si>
    <t xml:space="preserve">全解除                                                                                </t>
  </si>
  <si>
    <r>
      <rPr>
        <rFont val="Meiryo"/>
        <color theme="1"/>
      </rPr>
      <t xml:space="preserve">1.ログインする
2.「MENU」より「出荷」を押下する
3.「出荷指示照会」を押下する
4.一覧に表示されている行のミートボールメニューを押下する
5.「修正」を押下する
</t>
    </r>
    <r>
      <rPr>
        <rFont val="Meiryo"/>
        <color theme="1"/>
      </rPr>
      <t>6.一覧に表示されている行を全選択あるいは一部を選択する
7.「全解除」ボタンを押下する</t>
    </r>
  </si>
  <si>
    <t>一覧に表示されている「出荷指示入力」がすべて解除されること（チェックが外れること）</t>
  </si>
  <si>
    <t>明細行追加</t>
  </si>
  <si>
    <t>1.ログインする
2.「MENU」より「出荷」を押下する 
3.「出荷指示入力」を押下する
4.「明細行を追加」ボタンを押下する</t>
  </si>
  <si>
    <t>出荷明細ダイアログが表示されること</t>
  </si>
  <si>
    <t>出荷明細</t>
  </si>
  <si>
    <t>1.ログインする
2.「MENU」より「出荷」を押下する 
3.「出荷指示入力」を押下する
4.「出荷明細」ボタンを押下する</t>
  </si>
  <si>
    <t>出荷明細ダイアログ初期化</t>
  </si>
  <si>
    <t>1.削除する際に指定したデータの出荷指示が引当済ではないこと</t>
  </si>
  <si>
    <t>1.ログインする
2.「MENU」より「出荷」を押下する 
3.「出荷指示入力」を押下する
4.「明細行追加」ボタンを押下する</t>
  </si>
  <si>
    <t>「出荷明細ダイアログ」が表示され、選択した出荷指示の内容が表示されていること</t>
  </si>
  <si>
    <t>設計書に明細追加には必要な条件が記載されておりませんが、登録が必要となっております。登録をしてから押下してください。</t>
  </si>
  <si>
    <t>出荷明細ダイアログ登録/修正</t>
  </si>
  <si>
    <t>「出荷明細ダイアログ」が表示され右上隅に「登録」「閉じる」ボタンが表示されていること</t>
  </si>
  <si>
    <t>イベント：出荷明細ダイアログ初期化
前提条件：「出荷指示データが存在する事」が正しいです</t>
  </si>
  <si>
    <t>商品コード</t>
  </si>
  <si>
    <t>1.削除する際に指定したデータの出荷指示が引当済</t>
  </si>
  <si>
    <t>1.ログインする
2.「MENU」より「出荷」を押下する 
3.「出荷指示入力」を押下する
4.「明細行追加」ボタンを押下する
5.「商品コード」欄のテキストボックスに文字を入力する</t>
  </si>
  <si>
    <t>「商品コード」欄のテキストボックスに文字を入力できること</t>
  </si>
  <si>
    <t>商品コード欄は非活性状態で、
選択した商品名に紐づく情報が自動で入力される</t>
  </si>
  <si>
    <t>商品名</t>
  </si>
  <si>
    <t>1.ログインする
2.「MENU」より「出荷」を押下する 
3.「出荷指示入力」を押下する
4.「明細行追加」ボタンを押下する
5.「商品名」欄のプルダウンを押下する</t>
  </si>
  <si>
    <t>「商品名」欄のプルダウン押下時に値が表示されること</t>
  </si>
  <si>
    <t>単価</t>
  </si>
  <si>
    <t>1.ログインする
2.「MENU」より「出荷」を押下する 
3.「出荷指示入力」を押下する
4.「明細行追加」ボタンを押下する
5.「単価」欄のテキストボックスに文字を入力する</t>
  </si>
  <si>
    <t>「単価」欄のテキストボックスに文字を入力できること</t>
  </si>
  <si>
    <t>出荷指示数</t>
  </si>
  <si>
    <t>1.ログインする
2.「MENU」より「出荷」を押下する 
3.「出荷指示入力」を押下する
4.「明細行追加」ボタンを押下する
5.「出荷指示数」欄のテキストボックスに文字を入力する</t>
  </si>
  <si>
    <t>「出荷指示数」欄のテキストボックスに文字を入力できること</t>
  </si>
  <si>
    <t>規格</t>
  </si>
  <si>
    <t>1.出荷明細ダイアログ登録操作中であること</t>
  </si>
  <si>
    <t>1.ログインする
2.「MENU」より「出荷」を押下する 
3.「出荷指示入力」を押下する
4.「明細行追加」ボタンを押下する
5.「規格」欄の表示を確認する</t>
  </si>
  <si>
    <t>「規格」の欄に商品に紐づいたデータが表示がされていること</t>
  </si>
  <si>
    <t>得意先明細備考</t>
  </si>
  <si>
    <t>1.ログインする
2.「MENU」より「出荷」を押下する 
3.「出荷指示入力」を押下する
4.「明細行追加」ボタンを押下する
5.「得意先明細備考」欄のテキストボックスに文字を入力する</t>
  </si>
  <si>
    <t>「得意先明細備考」欄のテキストボックスに文字を入力できること</t>
  </si>
  <si>
    <t>社内明細備考</t>
  </si>
  <si>
    <t>1.ログインする
2.「MENU」より「出荷」を押下する 
3.「出荷指示入力」を押下する
4.「明細行追加」ボタンを押下する
5.「社内明細備考」欄のテキストボックスに文字を入力する</t>
  </si>
  <si>
    <t>「社内明細備考」欄のテキストボックスに文字を入力できること</t>
  </si>
  <si>
    <t>出荷明細ダイアログ登録</t>
  </si>
  <si>
    <t>1.ログインする
2.「MENU」より「出荷」を押下する 
3.「出荷指示入力」を押下する
4.「明細行追加」ボタンを押下する
5.入力可能欄にすべて正しい値を記入する
6.「登録」ボタンを押下する</t>
  </si>
  <si>
    <t>登録が出来て一覧に追加されること</t>
  </si>
  <si>
    <t>1.ログインする
2.「MENU」より「出荷」を押下する 
3.「出荷指示入力」を押下する
4.「明細行追加」ボタンを押下する
5.入力可能欄に以下の文字を入力する
・SELECT * FROM dua
6.「登録」ボタンを押下する</t>
  </si>
  <si>
    <t>1.ログインする
2.「MENU」より「出荷」を押下する 
3.「出荷指示入力」を押下する
4.一覧より前提条件を踏まえた任意の行のミートボールメニューを押下する
5.「出荷明細」ボタンを押下する</t>
  </si>
  <si>
    <t>「出荷明細ダイアログ」が表示され右上隅に「修正」「閉じる」ボタンが表示されていること</t>
  </si>
  <si>
    <t>1.ログインする
2.「MENU」より「出荷」を押下する 
3.「出荷指示入力」を押下する
4.一覧より前提条件を踏まえた任意の行のミートボールメニューを押下する
5.「出荷明細」ボタンを押下する
6.「商品名」欄のテキストボックスに文字を入力する</t>
  </si>
  <si>
    <t>「商品名」欄のテキストボックスに文字を入力できること</t>
  </si>
  <si>
    <t>1.引当済以外のデータが存在する
2.出荷明細ダイアログ出荷明細修正操作中である</t>
  </si>
  <si>
    <t>1.ログインする
2.「MENU」より「出荷」を押下する 
3.「出荷指示入力」を押下する
4.一覧より前提条件を踏まえた任意の行のミートボールメニューを押下する
5.「出荷明細」ボタンを押下する
6.「単価」欄のテキストボックスに文字を入力する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</si>
  <si>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6.「出荷指示数」欄のテキストボックスに文字を入力する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</si>
  <si>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6.「規格」欄の表示を確認する</t>
  </si>
  <si>
    <t>1.ログインする
2.「MENU」より「出荷」を押下する 
3.「出荷指示入力」を押下する
4.一覧より前提条件を踏まえた任意の行のミートボールメニューを押下する
5.「出荷明細」ボタンを押下する
6.「得意先明細備考」欄のテキストボックスに文字を入力する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</si>
  <si>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6.「社内明細備考」欄のテキストボックスに文字を入力する</t>
  </si>
  <si>
    <t>出荷明細ダイアログ修正</t>
  </si>
  <si>
    <t>1.ログインする
2.「MENU」より「出荷」を押下する 
3.「出荷指示入力」を押下する
4.一覧より前提条件を踏まえた任意の行のミートボールメニューを押下する
5.「出荷明細」ボタンを押下する
6.入力可能欄にすべて正しい値を記入する
7.「修正」ボタンを押下する</t>
  </si>
  <si>
    <t>一覧に修正された情報が反映されていること</t>
  </si>
  <si>
    <t>1.ログインする
2.「MENU」より「出荷」を押下する 
3.「出荷指示入力」を押下する
4.一覧より前提条件を踏まえた任意の行のミートボールメニューを押下する
5.「出荷明細」ボタンを押下する
6.入力可能欄に以下の文字を入力する
・SELECT * FROM dua
7.「修正」ボタンを押下する</t>
  </si>
  <si>
    <t xml:space="preserve">削除										</t>
  </si>
  <si>
    <t xml:space="preserve">1.ログインする
2.「MENU」より「出荷」を押下する 
3.「出荷指示入力」を押下する
4.一覧に表示されている行のミートボールメニューを押下する（引当済以外のデータを選択する）
5.「削除」リンクを押下する
</t>
  </si>
  <si>
    <t>削除確認モーダルが表示されること</t>
  </si>
  <si>
    <t xml:space="preserve">1.ログインする
2.「MENU」より「出荷」を押下する 
3.「出荷指示入力」を押下する
4.一覧に表示されている行のミートボールメニューを押下する（引当済以外のデータを選択する）
5.「削除」リンクを押下する
6.「キャンセル」ボタンを押下する
</t>
  </si>
  <si>
    <t>削除確認モーダルが閉じること</t>
  </si>
  <si>
    <t>1.引当済以外のデータが存在する</t>
  </si>
  <si>
    <t xml:space="preserve">1.ログインする
2.「MENU」より「出荷」を押下する 
3.「出荷指示入力」を押下する
4.一覧に表示されている行のミートボールメニューを押下する（引当済以外のデータを選択する）
5.「削除」リンクを押下する
6.「削除」ボタンを押下する
</t>
  </si>
  <si>
    <t>選択した明細が削除されること</t>
  </si>
  <si>
    <t>1.引当済のデータが存在する</t>
  </si>
  <si>
    <t xml:space="preserve">1.ログインする
2.「MENU」より「出荷」を押下する 
3.「出荷指示入力」を押下する
4.一覧に表示されている行のミートボールメニューを押下する（引当済のデータを選択する）
5.「削除」リンクを押下する
</t>
  </si>
  <si>
    <t>選択した明細が削除できないこと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</si>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</sst>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b/>
      <sz val="14.0"/>
      <color theme="1"/>
      <name val="Meiryo"/>
    </font>
    <font>
      <b/>
      <sz val="10.0"/>
      <color theme="1"/>
      <name val="Meiryo"/>
    </font>
    <font>
      <b/>
      <sz val="12.0"/>
      <color theme="1"/>
      <name val="Meiryo"/>
    </font>
    <font>
      <sz val="11.0"/>
      <color rgb="FF000000"/>
      <name val="Meiryo"/>
    </font>
    <font>
      <sz val="10.0"/>
      <color rgb="FF000000"/>
      <name val="Meiryo"/>
    </font>
    <font>
      <b/>
      <sz val="11.0"/>
      <color theme="1"/>
      <name val="Meiryo"/>
    </font>
    <font>
      <color theme="1"/>
      <name val="Arial"/>
    </font>
    <font>
      <sz val="10.0"/>
      <color theme="1"/>
      <name val="Calibri"/>
    </font>
    <font>
      <color theme="1"/>
      <name val="Calibri"/>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5" numFmtId="0" xfId="0" applyAlignment="1" applyFont="1">
      <alignment vertical="center"/>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9" fillId="0" fontId="3" numFmtId="0" xfId="0" applyAlignment="1" applyBorder="1" applyFont="1">
      <alignment horizontal="center"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 fillId="0" fontId="3" numFmtId="0" xfId="0" applyAlignment="1" applyBorder="1" applyFont="1">
      <alignment horizontal="center" vertical="center"/>
    </xf>
    <xf borderId="12" fillId="9" fontId="10" numFmtId="0" xfId="0" applyAlignment="1" applyBorder="1" applyFill="1" applyFont="1">
      <alignment horizontal="center" vertical="center"/>
    </xf>
    <xf borderId="15" fillId="0" fontId="3" numFmtId="0" xfId="0" applyAlignment="1" applyBorder="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2" numFmtId="0" xfId="0" applyAlignment="1" applyFont="1">
      <alignment horizontal="center" shrinkToFit="0" vertical="center" wrapText="1"/>
    </xf>
    <xf borderId="23" fillId="13" fontId="13" numFmtId="0" xfId="0" applyAlignment="1" applyBorder="1" applyFill="1" applyFont="1">
      <alignment horizontal="center" shrinkToFit="0" vertical="center" wrapText="1"/>
    </xf>
    <xf borderId="24" fillId="13" fontId="14" numFmtId="0" xfId="0" applyAlignment="1" applyBorder="1" applyFont="1">
      <alignment horizontal="center" shrinkToFit="0" vertical="center" wrapText="1"/>
    </xf>
    <xf borderId="8" fillId="13" fontId="14" numFmtId="0" xfId="0" applyAlignment="1" applyBorder="1" applyFont="1">
      <alignment horizontal="center" shrinkToFit="0" vertical="center" wrapText="1"/>
    </xf>
    <xf borderId="25" fillId="13" fontId="14" numFmtId="0" xfId="0" applyAlignment="1" applyBorder="1" applyFont="1">
      <alignment horizontal="center" shrinkToFit="0" vertical="center" wrapText="1"/>
    </xf>
    <xf borderId="14" fillId="13" fontId="14" numFmtId="0" xfId="0" applyAlignment="1" applyBorder="1" applyFont="1">
      <alignment horizontal="center" shrinkToFit="0" vertical="center" wrapText="1"/>
    </xf>
    <xf borderId="26" fillId="13" fontId="14" numFmtId="0" xfId="0" applyAlignment="1" applyBorder="1" applyFont="1">
      <alignment horizontal="center" shrinkToFit="0" vertical="center" wrapText="1"/>
    </xf>
    <xf borderId="27" fillId="13" fontId="14"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5" fillId="0" fontId="3" numFmtId="0" xfId="0" applyAlignment="1" applyBorder="1" applyFont="1">
      <alignment shrinkToFit="0" vertical="top" wrapText="1"/>
    </xf>
    <xf borderId="14" fillId="0" fontId="3" numFmtId="0" xfId="0" applyAlignment="1" applyBorder="1" applyFont="1">
      <alignment shrinkToFit="0" vertical="top" wrapText="1"/>
    </xf>
    <xf borderId="1" fillId="4" fontId="3" numFmtId="0" xfId="0" applyAlignment="1" applyBorder="1" applyFont="1">
      <alignment horizontal="center" vertical="center"/>
    </xf>
    <xf borderId="14" fillId="0" fontId="5" numFmtId="164" xfId="0" applyAlignment="1" applyBorder="1" applyFont="1" applyNumberFormat="1">
      <alignment horizontal="right" readingOrder="0" vertical="center"/>
    </xf>
    <xf borderId="14" fillId="0" fontId="5" numFmtId="49" xfId="0" applyAlignment="1" applyBorder="1" applyFont="1" applyNumberFormat="1">
      <alignment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164" xfId="0" applyAlignment="1" applyBorder="1" applyFont="1" applyNumberFormat="1">
      <alignment horizontal="right" vertical="center"/>
    </xf>
    <xf borderId="25" fillId="0" fontId="9" numFmtId="0" xfId="0" applyAlignment="1" applyBorder="1" applyFont="1">
      <alignment shrinkToFit="0" vertical="top" wrapText="1"/>
    </xf>
    <xf borderId="14" fillId="0" fontId="9" numFmtId="0" xfId="0" applyAlignment="1" applyBorder="1" applyFont="1">
      <alignment shrinkToFit="0" vertical="top" wrapText="1"/>
    </xf>
    <xf borderId="1" fillId="4" fontId="3" numFmtId="0" xfId="0" applyAlignment="1" applyBorder="1" applyFont="1">
      <alignment horizontal="center" readingOrder="0" vertical="center"/>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15" fillId="0" fontId="5" numFmtId="0" xfId="0" applyAlignment="1" applyBorder="1" applyFont="1">
      <alignment shrinkToFit="0" vertical="center" wrapText="1"/>
    </xf>
    <xf borderId="14" fillId="0" fontId="9" numFmtId="0" xfId="0" applyAlignment="1" applyBorder="1" applyFont="1">
      <alignment horizontal="center" readingOrder="0" vertical="center"/>
    </xf>
    <xf borderId="25" fillId="0" fontId="5" numFmtId="0" xfId="0" applyAlignment="1" applyBorder="1" applyFont="1">
      <alignment vertical="top"/>
    </xf>
    <xf borderId="14" fillId="0" fontId="5" numFmtId="0" xfId="0" applyAlignment="1" applyBorder="1" applyFont="1">
      <alignment vertical="top"/>
    </xf>
    <xf borderId="4" fillId="0" fontId="9" numFmtId="0" xfId="0" applyAlignment="1" applyBorder="1" applyFont="1">
      <alignment readingOrder="0" shrinkToFit="0" vertical="top" wrapText="1"/>
    </xf>
    <xf borderId="14" fillId="15" fontId="3" numFmtId="0" xfId="0" applyAlignment="1" applyBorder="1" applyFill="1" applyFont="1">
      <alignment horizontal="center" vertical="center"/>
    </xf>
    <xf borderId="15" fillId="0" fontId="5" numFmtId="0" xfId="0" applyAlignment="1" applyBorder="1" applyFont="1">
      <alignment readingOrder="0" vertical="center"/>
    </xf>
    <xf borderId="25" fillId="0" fontId="9" numFmtId="0" xfId="0" applyAlignment="1" applyBorder="1" applyFont="1">
      <alignment horizontal="center" readingOrder="0" vertical="center"/>
    </xf>
    <xf borderId="29" fillId="0" fontId="8" numFmtId="0" xfId="0" applyAlignment="1" applyBorder="1" applyFont="1">
      <alignment horizontal="center" shrinkToFit="0" vertical="center" wrapText="1"/>
    </xf>
    <xf borderId="30" fillId="0" fontId="9" numFmtId="0" xfId="0" applyAlignment="1" applyBorder="1" applyFont="1">
      <alignment shrinkToFit="0" vertical="top" wrapText="1"/>
    </xf>
    <xf borderId="31" fillId="0" fontId="9" numFmtId="0" xfId="0" applyAlignment="1" applyBorder="1" applyFont="1">
      <alignment shrinkToFit="0" vertical="top" wrapText="1"/>
    </xf>
    <xf borderId="30" fillId="0" fontId="3" numFmtId="0" xfId="0" applyAlignment="1" applyBorder="1" applyFont="1">
      <alignment shrinkToFit="0" vertical="top" wrapText="1"/>
    </xf>
    <xf borderId="18" fillId="0" fontId="3" numFmtId="0" xfId="0" applyAlignment="1" applyBorder="1" applyFont="1">
      <alignment shrinkToFit="0" vertical="top" wrapText="1"/>
    </xf>
    <xf borderId="32" fillId="0" fontId="9" numFmtId="0" xfId="0" applyAlignment="1" applyBorder="1" applyFont="1">
      <alignment shrinkToFit="0" vertical="top" wrapText="1"/>
    </xf>
    <xf borderId="32" fillId="0" fontId="9" numFmtId="0" xfId="0" applyAlignment="1" applyBorder="1" applyFont="1">
      <alignment horizontal="center" readingOrder="0" vertical="center"/>
    </xf>
    <xf borderId="32" fillId="0" fontId="5" numFmtId="164" xfId="0" applyAlignment="1" applyBorder="1" applyFont="1" applyNumberFormat="1">
      <alignment horizontal="right" readingOrder="0" vertical="center"/>
    </xf>
    <xf borderId="32" fillId="0" fontId="5" numFmtId="49" xfId="0" applyAlignment="1" applyBorder="1" applyFont="1" applyNumberFormat="1">
      <alignment vertical="center"/>
    </xf>
    <xf borderId="32" fillId="0" fontId="5" numFmtId="0" xfId="0" applyAlignment="1" applyBorder="1" applyFont="1">
      <alignment readingOrder="0" vertical="center"/>
    </xf>
    <xf borderId="32" fillId="15" fontId="3"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vertical="center"/>
    </xf>
    <xf borderId="0" fillId="0" fontId="15" numFmtId="0" xfId="0" applyAlignment="1" applyFont="1">
      <alignment shrinkToFit="0" vertical="center" wrapText="1"/>
    </xf>
    <xf borderId="0" fillId="0" fontId="5" numFmtId="0" xfId="0" applyAlignment="1" applyFont="1">
      <alignment vertical="top"/>
    </xf>
    <xf borderId="0" fillId="0" fontId="15" numFmtId="0" xfId="0" applyAlignment="1" applyFont="1">
      <alignment horizontal="center" shrinkToFit="0" vertical="top" wrapText="1"/>
    </xf>
    <xf borderId="33" fillId="0" fontId="15" numFmtId="0" xfId="0" applyAlignment="1" applyBorder="1" applyFont="1">
      <alignment shrinkToFit="0" vertical="center" wrapText="1"/>
    </xf>
    <xf borderId="33" fillId="0" fontId="16" numFmtId="0" xfId="0" applyAlignment="1" applyBorder="1" applyFont="1">
      <alignment shrinkToFit="0" vertical="center" wrapText="1"/>
    </xf>
    <xf borderId="0" fillId="0" fontId="16" numFmtId="0" xfId="0" applyAlignment="1" applyFont="1">
      <alignment shrinkToFit="0" vertical="center" wrapText="1"/>
    </xf>
    <xf borderId="0" fillId="0" fontId="16" numFmtId="164" xfId="0" applyAlignment="1" applyFont="1" applyNumberFormat="1">
      <alignment shrinkToFit="0" vertical="center" wrapText="1"/>
    </xf>
    <xf borderId="1" fillId="4" fontId="17" numFmtId="0" xfId="0" applyAlignment="1" applyBorder="1" applyFont="1">
      <alignment horizontal="center" shrinkToFit="0" vertical="bottom" wrapText="1"/>
    </xf>
    <xf borderId="4" fillId="4" fontId="17" numFmtId="0" xfId="0" applyAlignment="1" applyBorder="1" applyFont="1">
      <alignment horizontal="center" shrinkToFit="0" vertical="bottom" wrapText="1"/>
    </xf>
    <xf borderId="25" fillId="0" fontId="18" numFmtId="0" xfId="0" applyAlignment="1" applyBorder="1" applyFont="1">
      <alignment vertical="bottom"/>
    </xf>
    <xf borderId="14" fillId="0" fontId="18" numFmtId="165" xfId="0" applyAlignment="1" applyBorder="1" applyFont="1" applyNumberFormat="1">
      <alignment vertical="bottom"/>
    </xf>
    <xf borderId="14" fillId="0" fontId="18" numFmtId="0" xfId="0" applyAlignment="1" applyBorder="1" applyFont="1">
      <alignment vertical="bottom"/>
    </xf>
    <xf borderId="34" fillId="16" fontId="14" numFmtId="0" xfId="0" applyAlignment="1" applyBorder="1" applyFill="1" applyFont="1">
      <alignment horizontal="center" shrinkToFit="0" vertical="center" wrapText="1"/>
    </xf>
    <xf borderId="35" fillId="0" fontId="6" numFmtId="0" xfId="0" applyAlignment="1" applyBorder="1" applyFont="1">
      <alignment vertical="center"/>
    </xf>
    <xf borderId="36" fillId="0" fontId="6" numFmtId="0" xfId="0" applyAlignment="1" applyBorder="1" applyFont="1">
      <alignment vertical="center"/>
    </xf>
    <xf borderId="0" fillId="0" fontId="19" numFmtId="0" xfId="0" applyAlignment="1" applyFont="1">
      <alignment shrinkToFit="0" vertical="center" wrapText="1"/>
    </xf>
    <xf borderId="37" fillId="17" fontId="8" numFmtId="0" xfId="0" applyAlignment="1" applyBorder="1" applyFill="1" applyFont="1">
      <alignment horizontal="center" shrinkToFit="0" vertical="center" wrapText="1"/>
    </xf>
    <xf borderId="38" fillId="0" fontId="8" numFmtId="0" xfId="0" applyAlignment="1" applyBorder="1" applyFont="1">
      <alignment shrinkToFit="0" vertical="center" wrapText="1"/>
    </xf>
    <xf borderId="39" fillId="17" fontId="16"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0" fillId="0" fontId="20" numFmtId="0" xfId="0" applyAlignment="1" applyFont="1">
      <alignment shrinkToFit="0" vertical="center" wrapText="1"/>
    </xf>
    <xf borderId="40" fillId="17" fontId="8" numFmtId="0" xfId="0" applyAlignment="1" applyBorder="1" applyFont="1">
      <alignment horizontal="center" shrinkToFit="0" vertical="center" wrapText="1"/>
    </xf>
    <xf borderId="41" fillId="0" fontId="8" numFmtId="10" xfId="0" applyAlignment="1" applyBorder="1" applyFont="1" applyNumberFormat="1">
      <alignment shrinkToFit="0" vertical="center" wrapText="1"/>
    </xf>
    <xf borderId="42" fillId="17" fontId="16" numFmtId="0" xfId="0" applyAlignment="1" applyBorder="1" applyFont="1">
      <alignment horizontal="center" shrinkToFit="0" vertical="center" wrapText="1"/>
    </xf>
    <xf borderId="13" fillId="0" fontId="8" numFmtId="0" xfId="0" applyAlignment="1" applyBorder="1" applyFont="1">
      <alignment shrinkToFit="0" vertical="center" wrapText="1"/>
    </xf>
    <xf borderId="43"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4" fillId="17" fontId="8" numFmtId="0" xfId="0" applyAlignment="1" applyBorder="1" applyFont="1">
      <alignment horizontal="center" shrinkToFit="0" vertical="center" wrapText="1"/>
    </xf>
    <xf borderId="45" fillId="0" fontId="8" numFmtId="10" xfId="0" applyAlignment="1" applyBorder="1" applyFont="1" applyNumberFormat="1">
      <alignment shrinkToFit="0" vertical="center" wrapText="1"/>
    </xf>
    <xf borderId="46" fillId="17" fontId="8" numFmtId="0" xfId="0" applyAlignment="1" applyBorder="1" applyFont="1">
      <alignment horizontal="center" shrinkToFit="0" vertical="center" wrapText="1"/>
    </xf>
    <xf borderId="47" fillId="0" fontId="8" numFmtId="0" xfId="0" applyAlignment="1" applyBorder="1" applyFont="1">
      <alignment shrinkToFit="0" vertical="center" wrapText="1"/>
    </xf>
    <xf borderId="48"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49" fillId="0" fontId="16" numFmtId="0" xfId="0" applyAlignment="1" applyBorder="1" applyFont="1">
      <alignment shrinkToFit="0" vertical="center" wrapText="1"/>
    </xf>
    <xf borderId="50" fillId="17" fontId="16" numFmtId="0" xfId="0" applyAlignment="1" applyBorder="1" applyFont="1">
      <alignment horizontal="center" shrinkToFit="0" vertical="center" wrapText="1"/>
    </xf>
    <xf borderId="22" fillId="0" fontId="8" numFmtId="0" xfId="0" applyAlignment="1" applyBorder="1" applyFont="1">
      <alignment shrinkToFit="0" vertical="center" wrapText="1"/>
    </xf>
    <xf borderId="51" fillId="13" fontId="14" numFmtId="0" xfId="0" applyAlignment="1" applyBorder="1" applyFont="1">
      <alignment horizontal="center" shrinkToFit="0" vertical="center" wrapText="1"/>
    </xf>
    <xf borderId="52" fillId="13" fontId="14" numFmtId="0" xfId="0" applyAlignment="1" applyBorder="1" applyFont="1">
      <alignment horizontal="center" shrinkToFit="0" vertical="center" wrapText="1"/>
    </xf>
    <xf borderId="23" fillId="16" fontId="14" numFmtId="0" xfId="0" applyAlignment="1" applyBorder="1" applyFont="1">
      <alignment horizontal="center" shrinkToFit="0" vertical="center" wrapText="1"/>
    </xf>
    <xf borderId="27" fillId="16" fontId="14" numFmtId="164" xfId="0" applyAlignment="1" applyBorder="1" applyFont="1" applyNumberFormat="1">
      <alignment horizontal="center" shrinkToFit="0" vertical="center" wrapText="1"/>
    </xf>
    <xf borderId="27" fillId="16" fontId="14" numFmtId="0" xfId="0" applyAlignment="1" applyBorder="1" applyFont="1">
      <alignment horizontal="center" shrinkToFit="0" vertical="center" wrapText="1"/>
    </xf>
    <xf borderId="53" fillId="16" fontId="14" numFmtId="0" xfId="0" applyAlignment="1" applyBorder="1" applyFont="1">
      <alignment horizontal="center" shrinkToFit="0" vertical="center" wrapText="1"/>
    </xf>
    <xf borderId="7" fillId="16" fontId="14" numFmtId="0" xfId="0" applyAlignment="1" applyBorder="1" applyFont="1">
      <alignment horizontal="center" shrinkToFit="0" vertical="center" wrapText="1"/>
    </xf>
    <xf borderId="54" fillId="0" fontId="16" numFmtId="0" xfId="0" applyAlignment="1" applyBorder="1" applyFont="1">
      <alignment horizontal="left" shrinkToFit="0" vertical="top" wrapText="1"/>
    </xf>
    <xf borderId="4" fillId="0" fontId="16"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12" fillId="18" fontId="16" numFmtId="0" xfId="0" applyAlignment="1" applyBorder="1" applyFill="1" applyFont="1">
      <alignment horizontal="center" shrinkToFit="0" vertical="center" wrapText="1"/>
    </xf>
    <xf borderId="55" fillId="18" fontId="16" numFmtId="165" xfId="0" applyAlignment="1" applyBorder="1" applyFont="1" applyNumberFormat="1">
      <alignment horizontal="center" shrinkToFit="0" vertical="center" wrapText="1"/>
    </xf>
    <xf borderId="55" fillId="18" fontId="16" numFmtId="49" xfId="0" applyAlignment="1" applyBorder="1" applyFont="1" applyNumberFormat="1">
      <alignment horizontal="center" shrinkToFit="0" vertical="center" wrapText="1"/>
    </xf>
    <xf borderId="1" fillId="18" fontId="16" numFmtId="0" xfId="0" applyAlignment="1" applyBorder="1" applyFont="1">
      <alignment horizontal="center" shrinkToFit="0" vertical="center" wrapText="1"/>
    </xf>
    <xf borderId="2" fillId="18" fontId="16" numFmtId="0" xfId="0" applyAlignment="1" applyBorder="1" applyFont="1">
      <alignment shrinkToFit="0" vertical="center" wrapText="1"/>
    </xf>
    <xf borderId="13" fillId="18" fontId="16" numFmtId="0" xfId="0" applyAlignment="1" applyBorder="1" applyFont="1">
      <alignment shrinkToFit="0" vertical="center" wrapText="1"/>
    </xf>
    <xf borderId="56" fillId="0" fontId="16" numFmtId="0" xfId="0" applyAlignment="1" applyBorder="1" applyFont="1">
      <alignment horizontal="left" shrinkToFit="0" vertical="top" wrapText="1"/>
    </xf>
    <xf borderId="57" fillId="0" fontId="16" numFmtId="0" xfId="0" applyAlignment="1" applyBorder="1" applyFont="1">
      <alignment horizontal="left" shrinkToFit="0" vertical="top" wrapText="1"/>
    </xf>
    <xf borderId="4" fillId="19" fontId="16" numFmtId="0" xfId="0" applyAlignment="1" applyBorder="1" applyFill="1" applyFont="1">
      <alignment horizontal="left" shrinkToFit="0" vertical="top" wrapText="1"/>
    </xf>
    <xf borderId="58" fillId="0" fontId="8" numFmtId="0" xfId="0" applyAlignment="1" applyBorder="1" applyFont="1">
      <alignment horizontal="center" shrinkToFit="0" vertical="center" wrapText="1"/>
    </xf>
    <xf borderId="30" fillId="0" fontId="16" numFmtId="0" xfId="0" applyAlignment="1" applyBorder="1" applyFont="1">
      <alignment horizontal="left" shrinkToFit="0" vertical="top" wrapText="1"/>
    </xf>
    <xf borderId="59" fillId="0" fontId="16" numFmtId="0" xfId="0" applyAlignment="1" applyBorder="1" applyFont="1">
      <alignment horizontal="left" shrinkToFit="0" vertical="top" wrapText="1"/>
    </xf>
    <xf borderId="40" fillId="18" fontId="16" numFmtId="0" xfId="0" applyAlignment="1" applyBorder="1" applyFont="1">
      <alignment horizontal="center" shrinkToFit="0" vertical="center" wrapText="1"/>
    </xf>
    <xf borderId="60" fillId="18" fontId="16" numFmtId="165" xfId="0" applyAlignment="1" applyBorder="1" applyFont="1" applyNumberFormat="1">
      <alignment horizontal="center" shrinkToFit="0" vertical="center" wrapText="1"/>
    </xf>
    <xf borderId="60" fillId="18" fontId="16" numFmtId="49" xfId="0" applyAlignment="1" applyBorder="1" applyFont="1" applyNumberFormat="1">
      <alignment horizontal="center" shrinkToFit="0" vertical="center" wrapText="1"/>
    </xf>
    <xf borderId="59" fillId="18" fontId="16" numFmtId="0" xfId="0" applyAlignment="1" applyBorder="1" applyFont="1">
      <alignment horizontal="center" shrinkToFit="0" vertical="center" wrapText="1"/>
    </xf>
    <xf borderId="61" fillId="18" fontId="16" numFmtId="0" xfId="0" applyAlignment="1" applyBorder="1" applyFont="1">
      <alignment shrinkToFit="0" vertical="center" wrapText="1"/>
    </xf>
    <xf borderId="22" fillId="18" fontId="16" numFmtId="0" xfId="0" applyAlignment="1" applyBorder="1" applyFont="1">
      <alignment shrinkToFit="0" vertical="center" wrapText="1"/>
    </xf>
    <xf borderId="33" fillId="0" fontId="3" numFmtId="0" xfId="0" applyAlignment="1" applyBorder="1" applyFont="1">
      <alignment horizontal="center" shrinkToFit="0" vertical="center" wrapText="1"/>
    </xf>
    <xf borderId="33" fillId="0" fontId="15" numFmtId="0" xfId="0" applyAlignment="1" applyBorder="1" applyFont="1">
      <alignment horizontal="center" shrinkToFit="0" vertical="top" wrapText="1"/>
    </xf>
    <xf borderId="33" fillId="0" fontId="16" numFmtId="164" xfId="0" applyAlignment="1" applyBorder="1" applyFont="1" applyNumberForma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285</v>
      </c>
      <c r="F4" s="12">
        <f t="shared" si="1"/>
        <v>190</v>
      </c>
      <c r="G4" s="13">
        <f>IFERROR(SUM(M4:Q4)/F4,"")</f>
        <v>0.6631578947</v>
      </c>
      <c r="H4" s="14">
        <f t="shared" ref="H4:H8" si="6">SUM(M4:Q4)</f>
        <v>126</v>
      </c>
      <c r="I4" s="15">
        <f t="shared" ref="I4:I8" si="7">F4-H4</f>
        <v>64</v>
      </c>
      <c r="J4" s="13">
        <f>IFERROR(SUM(M4:N4)/F4,"")</f>
        <v>0.6526315789</v>
      </c>
      <c r="K4" s="14">
        <f t="shared" ref="K4:L4" si="2">SUM(K5:K19)</f>
        <v>0</v>
      </c>
      <c r="L4" s="15">
        <f t="shared" si="2"/>
        <v>0</v>
      </c>
      <c r="M4" s="12">
        <f t="shared" ref="M4:R4" si="3">SUM(M5)</f>
        <v>122</v>
      </c>
      <c r="N4" s="12">
        <f t="shared" si="3"/>
        <v>2</v>
      </c>
      <c r="O4" s="12">
        <f t="shared" si="3"/>
        <v>1</v>
      </c>
      <c r="P4" s="12">
        <f t="shared" si="3"/>
        <v>1</v>
      </c>
      <c r="Q4" s="12">
        <f t="shared" si="3"/>
        <v>0</v>
      </c>
      <c r="R4" s="12">
        <f t="shared" si="3"/>
        <v>95</v>
      </c>
      <c r="T4" s="16" t="s">
        <v>22</v>
      </c>
      <c r="U4" s="16" t="s">
        <v>23</v>
      </c>
      <c r="V4" s="1"/>
      <c r="W4" s="1"/>
      <c r="X4" s="1"/>
      <c r="Y4" s="1"/>
    </row>
    <row r="5">
      <c r="A5" s="1"/>
      <c r="B5" s="17">
        <v>1.0</v>
      </c>
      <c r="C5" s="18" t="s">
        <v>24</v>
      </c>
      <c r="D5" s="19" t="str">
        <f t="shared" si="4"/>
        <v>実施中</v>
      </c>
      <c r="E5" s="18">
        <f t="shared" ref="E5:F5" si="5">SUM(E6:E8)</f>
        <v>285</v>
      </c>
      <c r="F5" s="18">
        <f t="shared" si="5"/>
        <v>190</v>
      </c>
      <c r="G5" s="20">
        <f t="shared" ref="G5:G8" si="9">IFERROR((M5+N5+O5)/E5,"-")</f>
        <v>0.4385964912</v>
      </c>
      <c r="H5" s="21">
        <f t="shared" si="6"/>
        <v>126</v>
      </c>
      <c r="I5" s="22">
        <f t="shared" si="7"/>
        <v>64</v>
      </c>
      <c r="J5" s="20">
        <f t="shared" ref="J5:J8" si="10">IFERROR((M5+N5)/E5,"-")</f>
        <v>0.4350877193</v>
      </c>
      <c r="K5" s="21"/>
      <c r="L5" s="22"/>
      <c r="M5" s="18">
        <f t="shared" ref="M5:R5" si="8">SUM(M6:M8)</f>
        <v>122</v>
      </c>
      <c r="N5" s="18">
        <f t="shared" si="8"/>
        <v>2</v>
      </c>
      <c r="O5" s="18">
        <f t="shared" si="8"/>
        <v>1</v>
      </c>
      <c r="P5" s="18">
        <f t="shared" si="8"/>
        <v>1</v>
      </c>
      <c r="Q5" s="18">
        <f t="shared" si="8"/>
        <v>0</v>
      </c>
      <c r="R5" s="18">
        <f t="shared" si="8"/>
        <v>95</v>
      </c>
      <c r="T5" s="23" t="s">
        <v>25</v>
      </c>
      <c r="U5" s="24">
        <v>45519.0</v>
      </c>
      <c r="V5" s="1"/>
      <c r="W5" s="1"/>
      <c r="X5" s="1"/>
      <c r="Y5" s="1"/>
    </row>
    <row r="6" outlineLevel="1">
      <c r="A6" s="1"/>
      <c r="B6" s="17"/>
      <c r="C6" s="25" t="s">
        <v>24</v>
      </c>
      <c r="D6" s="17" t="str">
        <f t="shared" si="4"/>
        <v>実施中</v>
      </c>
      <c r="E6" s="25">
        <f t="shared" ref="E6:E8" si="11">IFERROR(MAX(INDIRECT($C6&amp;"!B:B")),"")</f>
        <v>95</v>
      </c>
      <c r="F6" s="25">
        <f t="shared" ref="F6:F8" si="12">E6-(R6+0)</f>
        <v>95</v>
      </c>
      <c r="G6" s="26">
        <f t="shared" si="9"/>
        <v>0.9894736842</v>
      </c>
      <c r="H6" s="27">
        <f t="shared" si="6"/>
        <v>95</v>
      </c>
      <c r="I6" s="28">
        <f t="shared" si="7"/>
        <v>0</v>
      </c>
      <c r="J6" s="26">
        <f t="shared" si="10"/>
        <v>0.9789473684</v>
      </c>
      <c r="K6" s="27"/>
      <c r="L6" s="28"/>
      <c r="M6" s="25">
        <f>IFERROR(INDIRECT($C6&amp;"!o2"),"")</f>
        <v>91</v>
      </c>
      <c r="N6" s="25">
        <f>IFERROR(INDIRECT($C6&amp;"!o3"),"")</f>
        <v>2</v>
      </c>
      <c r="O6" s="25">
        <f>IFERROR(INDIRECT($C6&amp;"!o4"),"")</f>
        <v>1</v>
      </c>
      <c r="P6" s="25">
        <f>IFERROR(INDIRECT($C6&amp;"!o5"),"")</f>
        <v>1</v>
      </c>
      <c r="Q6" s="25">
        <f>IFERROR(INDIRECT($C6&amp;"!o6"),"")</f>
        <v>0</v>
      </c>
      <c r="R6" s="25">
        <f>IFERROR(INDIRECT($C6&amp;"!o7"),"")</f>
        <v>0</v>
      </c>
      <c r="T6" s="29" t="s">
        <v>25</v>
      </c>
      <c r="U6" s="30">
        <v>45520.0</v>
      </c>
      <c r="V6" s="1"/>
      <c r="W6" s="1"/>
      <c r="X6" s="1"/>
      <c r="Y6" s="1"/>
    </row>
    <row r="7" outlineLevel="1">
      <c r="A7" s="1"/>
      <c r="B7" s="17"/>
      <c r="C7" s="25" t="s">
        <v>24</v>
      </c>
      <c r="D7" s="17" t="str">
        <f t="shared" si="4"/>
        <v>未着手</v>
      </c>
      <c r="E7" s="25">
        <f t="shared" si="11"/>
        <v>95</v>
      </c>
      <c r="F7" s="25">
        <f t="shared" si="12"/>
        <v>0</v>
      </c>
      <c r="G7" s="26">
        <f t="shared" si="9"/>
        <v>0</v>
      </c>
      <c r="H7" s="27">
        <f t="shared" si="6"/>
        <v>0</v>
      </c>
      <c r="I7" s="28">
        <f t="shared" si="7"/>
        <v>0</v>
      </c>
      <c r="J7" s="26">
        <f t="shared" si="10"/>
        <v>0</v>
      </c>
      <c r="K7" s="27"/>
      <c r="L7" s="28"/>
      <c r="M7" s="25">
        <f>IFERROR(INDIRECT($C7&amp;"!s2"),"")</f>
        <v>0</v>
      </c>
      <c r="N7" s="25">
        <f>IFERROR(INDIRECT($C7&amp;"!s3"),"")</f>
        <v>0</v>
      </c>
      <c r="O7" s="25">
        <f>IFERROR(INDIRECT($C7&amp;"!s4"),"")</f>
        <v>0</v>
      </c>
      <c r="P7" s="25">
        <f>IFERROR(INDIRECT($C7&amp;"!s5"),"")</f>
        <v>0</v>
      </c>
      <c r="Q7" s="25">
        <f>IFERROR(INDIRECT($C7&amp;"!s6"),"")</f>
        <v>0</v>
      </c>
      <c r="R7" s="25">
        <f>IFERROR(INDIRECT($C7&amp;"!s7"),"")</f>
        <v>95</v>
      </c>
      <c r="T7" s="29" t="s">
        <v>25</v>
      </c>
      <c r="U7" s="30">
        <v>45524.0</v>
      </c>
      <c r="V7" s="1"/>
      <c r="W7" s="1"/>
      <c r="X7" s="1"/>
      <c r="Y7" s="1"/>
    </row>
    <row r="8" outlineLevel="1">
      <c r="A8" s="1"/>
      <c r="B8" s="17"/>
      <c r="C8" s="25" t="s">
        <v>24</v>
      </c>
      <c r="D8" s="17" t="str">
        <f t="shared" si="4"/>
        <v>実施中</v>
      </c>
      <c r="E8" s="25">
        <f t="shared" si="11"/>
        <v>95</v>
      </c>
      <c r="F8" s="25">
        <f t="shared" si="12"/>
        <v>95</v>
      </c>
      <c r="G8" s="26">
        <f t="shared" si="9"/>
        <v>0.3263157895</v>
      </c>
      <c r="H8" s="27">
        <f t="shared" si="6"/>
        <v>31</v>
      </c>
      <c r="I8" s="28">
        <f t="shared" si="7"/>
        <v>64</v>
      </c>
      <c r="J8" s="26">
        <f t="shared" si="10"/>
        <v>0.3263157895</v>
      </c>
      <c r="K8" s="27"/>
      <c r="L8" s="28"/>
      <c r="M8" s="25">
        <f>IFERROR(INDIRECT($C8&amp;"!w2"),"")</f>
        <v>31</v>
      </c>
      <c r="N8" s="25">
        <f>IFERROR(INDIRECT($C8&amp;"!w3"),"")</f>
        <v>0</v>
      </c>
      <c r="O8" s="25">
        <f>IFERROR(INDIRECT($C8&amp;"!w4"),"")</f>
        <v>0</v>
      </c>
      <c r="P8" s="25">
        <f>IFERROR(INDIRECT($C8&amp;"!w5"),"")</f>
        <v>0</v>
      </c>
      <c r="Q8" s="25">
        <f>IFERROR(INDIRECT($C8&amp;"!w6"),"")</f>
        <v>0</v>
      </c>
      <c r="R8" s="25">
        <f>IFERROR(INDIRECT($C8&amp;"!w7"),"")</f>
        <v>0</v>
      </c>
      <c r="T8" s="29" t="s">
        <v>25</v>
      </c>
      <c r="U8" s="30">
        <v>45525.0</v>
      </c>
      <c r="V8" s="1"/>
      <c r="W8" s="1"/>
      <c r="X8" s="1"/>
      <c r="Y8" s="1"/>
    </row>
    <row r="9">
      <c r="A9" s="1"/>
      <c r="B9" s="17">
        <v>2.0</v>
      </c>
      <c r="C9" s="25"/>
      <c r="D9" s="17"/>
      <c r="E9" s="25"/>
      <c r="F9" s="25"/>
      <c r="G9" s="26"/>
      <c r="H9" s="27"/>
      <c r="I9" s="28"/>
      <c r="J9" s="26"/>
      <c r="K9" s="27"/>
      <c r="L9" s="28"/>
      <c r="M9" s="25"/>
      <c r="N9" s="25"/>
      <c r="O9" s="25"/>
      <c r="P9" s="25"/>
      <c r="Q9" s="25"/>
      <c r="R9" s="25"/>
      <c r="T9" s="29" t="s">
        <v>25</v>
      </c>
      <c r="U9" s="30">
        <v>45530.0</v>
      </c>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7" width="6.14"/>
    <col customWidth="1" min="8" max="8" width="12.43"/>
    <col customWidth="1" min="9" max="9" width="26.71"/>
    <col customWidth="1" min="10" max="11" width="40.14"/>
    <col customWidth="1" min="12" max="12" width="12.57"/>
    <col customWidth="1" min="13" max="13" width="15.86" outlineLevel="1"/>
    <col customWidth="1" min="14" max="15" width="12.57" outlineLevel="1"/>
    <col customWidth="1" min="16" max="16" width="12.57"/>
    <col customWidth="1" min="17" max="17" width="16.43" outlineLevel="1"/>
    <col customWidth="1" min="18" max="19" width="12.57" outlineLevel="1"/>
    <col customWidth="1" min="20" max="20" width="12.57"/>
    <col customWidth="1" min="21" max="21" width="16.43" outlineLevel="1"/>
    <col customWidth="1" min="22" max="23" width="12.57" outlineLevel="1"/>
    <col customWidth="1" min="24" max="24" width="30.57"/>
  </cols>
  <sheetData>
    <row r="1" ht="10.5" customHeight="1">
      <c r="A1" s="31"/>
      <c r="B1" s="32"/>
      <c r="C1" s="31"/>
      <c r="D1" s="31"/>
      <c r="E1" s="33"/>
      <c r="F1" s="33"/>
      <c r="G1" s="33"/>
      <c r="H1" s="33"/>
      <c r="I1" s="33"/>
      <c r="J1" s="31"/>
      <c r="K1" s="31"/>
      <c r="L1" s="32"/>
      <c r="M1" s="34"/>
      <c r="N1" s="34"/>
      <c r="O1" s="31"/>
      <c r="P1" s="31"/>
      <c r="Q1" s="31"/>
      <c r="R1" s="31"/>
    </row>
    <row r="2">
      <c r="A2" s="31"/>
      <c r="B2" s="35" t="s">
        <v>24</v>
      </c>
      <c r="C2" s="36"/>
      <c r="D2" s="36"/>
      <c r="E2" s="33"/>
      <c r="F2" s="33"/>
      <c r="G2" s="33"/>
      <c r="H2" s="33"/>
      <c r="I2" s="33"/>
      <c r="J2" s="36"/>
      <c r="K2" s="36"/>
      <c r="L2" s="37" t="s">
        <v>26</v>
      </c>
      <c r="M2" s="38" t="s">
        <v>27</v>
      </c>
      <c r="N2" s="39" t="s">
        <v>13</v>
      </c>
      <c r="O2" s="40">
        <f t="shared" ref="O2:O8" si="1">COUNTIF(L$11:L$64944,N2)</f>
        <v>91</v>
      </c>
      <c r="P2" s="41" t="s">
        <v>26</v>
      </c>
      <c r="Q2" s="42" t="s">
        <v>28</v>
      </c>
      <c r="R2" s="39" t="s">
        <v>13</v>
      </c>
      <c r="S2" s="40">
        <f t="shared" ref="S2:S8" si="2">COUNTIF(P$11:P$64944,R2)</f>
        <v>0</v>
      </c>
      <c r="T2" s="41" t="s">
        <v>26</v>
      </c>
      <c r="U2" s="43" t="s">
        <v>29</v>
      </c>
      <c r="V2" s="39" t="s">
        <v>13</v>
      </c>
      <c r="W2" s="40">
        <f t="shared" ref="W2:W8" si="3">COUNTIF(T$11:T$64944,V2)</f>
        <v>31</v>
      </c>
      <c r="X2" s="33"/>
      <c r="Y2" s="33"/>
      <c r="Z2" s="33"/>
      <c r="AA2" s="33"/>
      <c r="AB2" s="33"/>
      <c r="AC2" s="33"/>
    </row>
    <row r="3" ht="13.5" customHeight="1">
      <c r="A3" s="44"/>
      <c r="B3" s="45"/>
      <c r="C3" s="36"/>
      <c r="D3" s="36"/>
      <c r="E3" s="33"/>
      <c r="F3" s="33"/>
      <c r="G3" s="33"/>
      <c r="H3" s="33"/>
      <c r="I3" s="33"/>
      <c r="J3" s="36"/>
      <c r="K3" s="36"/>
      <c r="L3" s="46" t="s">
        <v>30</v>
      </c>
      <c r="M3" s="47"/>
      <c r="N3" s="48" t="s">
        <v>14</v>
      </c>
      <c r="O3" s="49">
        <f t="shared" si="1"/>
        <v>2</v>
      </c>
      <c r="P3" s="50" t="s">
        <v>30</v>
      </c>
      <c r="Q3" s="51"/>
      <c r="R3" s="48" t="s">
        <v>14</v>
      </c>
      <c r="S3" s="49">
        <f t="shared" si="2"/>
        <v>0</v>
      </c>
      <c r="T3" s="50" t="s">
        <v>30</v>
      </c>
      <c r="U3" s="29" t="s">
        <v>31</v>
      </c>
      <c r="V3" s="48" t="s">
        <v>14</v>
      </c>
      <c r="W3" s="49">
        <f t="shared" si="3"/>
        <v>0</v>
      </c>
      <c r="X3" s="33"/>
      <c r="Y3" s="33"/>
      <c r="Z3" s="33"/>
      <c r="AA3" s="33"/>
      <c r="AB3" s="33"/>
      <c r="AC3" s="33"/>
    </row>
    <row r="4" ht="13.5" customHeight="1">
      <c r="A4" s="44"/>
      <c r="B4" s="45"/>
      <c r="C4" s="52"/>
      <c r="D4" s="52"/>
      <c r="E4" s="33"/>
      <c r="F4" s="33"/>
      <c r="G4" s="33"/>
      <c r="H4" s="33"/>
      <c r="I4" s="33"/>
      <c r="J4" s="36"/>
      <c r="K4" s="36"/>
      <c r="L4" s="46" t="s">
        <v>32</v>
      </c>
      <c r="M4" s="53"/>
      <c r="N4" s="54" t="s">
        <v>15</v>
      </c>
      <c r="O4" s="49">
        <f t="shared" si="1"/>
        <v>1</v>
      </c>
      <c r="P4" s="50" t="s">
        <v>32</v>
      </c>
      <c r="Q4" s="55"/>
      <c r="R4" s="54" t="s">
        <v>15</v>
      </c>
      <c r="S4" s="49">
        <f t="shared" si="2"/>
        <v>0</v>
      </c>
      <c r="T4" s="50" t="s">
        <v>32</v>
      </c>
      <c r="U4" s="56" t="s">
        <v>33</v>
      </c>
      <c r="V4" s="54" t="s">
        <v>15</v>
      </c>
      <c r="W4" s="49">
        <f t="shared" si="3"/>
        <v>0</v>
      </c>
      <c r="X4" s="33"/>
      <c r="Y4" s="33"/>
      <c r="Z4" s="33"/>
      <c r="AA4" s="33"/>
      <c r="AB4" s="33"/>
      <c r="AC4" s="33"/>
    </row>
    <row r="5" ht="13.5" customHeight="1">
      <c r="A5" s="44"/>
      <c r="B5" s="45"/>
      <c r="C5" s="52"/>
      <c r="D5" s="52"/>
      <c r="E5" s="33"/>
      <c r="F5" s="33"/>
      <c r="G5" s="33"/>
      <c r="H5" s="33"/>
      <c r="I5" s="33"/>
      <c r="J5" s="36"/>
      <c r="K5" s="36"/>
      <c r="L5" s="46" t="s">
        <v>34</v>
      </c>
      <c r="M5" s="53"/>
      <c r="N5" s="57" t="s">
        <v>16</v>
      </c>
      <c r="O5" s="49">
        <f t="shared" si="1"/>
        <v>1</v>
      </c>
      <c r="P5" s="50" t="s">
        <v>34</v>
      </c>
      <c r="Q5" s="55"/>
      <c r="R5" s="57" t="s">
        <v>16</v>
      </c>
      <c r="S5" s="49">
        <f t="shared" si="2"/>
        <v>0</v>
      </c>
      <c r="T5" s="50" t="s">
        <v>34</v>
      </c>
      <c r="U5" s="58">
        <v>14.0</v>
      </c>
      <c r="V5" s="57" t="s">
        <v>16</v>
      </c>
      <c r="W5" s="49">
        <f t="shared" si="3"/>
        <v>0</v>
      </c>
      <c r="X5" s="33"/>
      <c r="Y5" s="33"/>
      <c r="Z5" s="33"/>
      <c r="AA5" s="33"/>
      <c r="AB5" s="33"/>
      <c r="AC5" s="33"/>
    </row>
    <row r="6" ht="13.5" customHeight="1">
      <c r="A6" s="44"/>
      <c r="B6" s="45"/>
      <c r="C6" s="52"/>
      <c r="D6" s="52"/>
      <c r="E6" s="33"/>
      <c r="F6" s="33"/>
      <c r="G6" s="33"/>
      <c r="H6" s="33"/>
      <c r="I6" s="33"/>
      <c r="J6" s="36"/>
      <c r="K6" s="36"/>
      <c r="L6" s="59"/>
      <c r="M6" s="60"/>
      <c r="N6" s="61" t="s">
        <v>17</v>
      </c>
      <c r="O6" s="49">
        <f t="shared" si="1"/>
        <v>0</v>
      </c>
      <c r="P6" s="62"/>
      <c r="Q6" s="63"/>
      <c r="R6" s="61" t="s">
        <v>17</v>
      </c>
      <c r="S6" s="49">
        <f t="shared" si="2"/>
        <v>0</v>
      </c>
      <c r="T6" s="62"/>
      <c r="U6" s="63"/>
      <c r="V6" s="61" t="s">
        <v>17</v>
      </c>
      <c r="W6" s="49">
        <f t="shared" si="3"/>
        <v>0</v>
      </c>
      <c r="X6" s="33"/>
      <c r="Y6" s="33"/>
      <c r="Z6" s="33"/>
      <c r="AA6" s="33"/>
      <c r="AB6" s="33"/>
      <c r="AC6" s="33"/>
    </row>
    <row r="7" ht="13.5" customHeight="1">
      <c r="A7" s="44"/>
      <c r="B7" s="45"/>
      <c r="C7" s="52"/>
      <c r="D7" s="52"/>
      <c r="E7" s="33"/>
      <c r="F7" s="33"/>
      <c r="G7" s="33"/>
      <c r="H7" s="33"/>
      <c r="I7" s="33"/>
      <c r="J7" s="36"/>
      <c r="K7" s="36"/>
      <c r="L7" s="33"/>
      <c r="M7" s="33"/>
      <c r="N7" s="64" t="s">
        <v>18</v>
      </c>
      <c r="O7" s="49">
        <f t="shared" si="1"/>
        <v>0</v>
      </c>
      <c r="P7" s="33"/>
      <c r="Q7" s="65"/>
      <c r="R7" s="64" t="s">
        <v>18</v>
      </c>
      <c r="S7" s="49">
        <f t="shared" si="2"/>
        <v>95</v>
      </c>
      <c r="T7" s="33"/>
      <c r="U7" s="65"/>
      <c r="V7" s="64" t="s">
        <v>18</v>
      </c>
      <c r="W7" s="49">
        <f t="shared" si="3"/>
        <v>0</v>
      </c>
      <c r="X7" s="33"/>
      <c r="Y7" s="33"/>
      <c r="Z7" s="33"/>
      <c r="AA7" s="33"/>
      <c r="AB7" s="33"/>
      <c r="AC7" s="33"/>
    </row>
    <row r="8" ht="13.5" customHeight="1">
      <c r="A8" s="44"/>
      <c r="B8" s="45"/>
      <c r="C8" s="52"/>
      <c r="D8" s="52"/>
      <c r="E8" s="33"/>
      <c r="F8" s="33"/>
      <c r="G8" s="33"/>
      <c r="H8" s="33"/>
      <c r="I8" s="33"/>
      <c r="J8" s="36"/>
      <c r="K8" s="36"/>
      <c r="L8" s="33"/>
      <c r="M8" s="33"/>
      <c r="N8" s="66" t="s">
        <v>35</v>
      </c>
      <c r="O8" s="67">
        <f t="shared" si="1"/>
        <v>0</v>
      </c>
      <c r="P8" s="33"/>
      <c r="Q8" s="65"/>
      <c r="R8" s="66" t="s">
        <v>35</v>
      </c>
      <c r="S8" s="67">
        <f t="shared" si="2"/>
        <v>0</v>
      </c>
      <c r="T8" s="33"/>
      <c r="U8" s="65"/>
      <c r="V8" s="66" t="s">
        <v>35</v>
      </c>
      <c r="W8" s="67">
        <f t="shared" si="3"/>
        <v>0</v>
      </c>
      <c r="X8" s="33"/>
      <c r="Y8" s="33"/>
      <c r="Z8" s="33"/>
      <c r="AA8" s="33"/>
      <c r="AB8" s="33"/>
      <c r="AC8" s="33"/>
    </row>
    <row r="9" ht="10.5" customHeight="1">
      <c r="A9" s="31"/>
      <c r="B9" s="32"/>
      <c r="C9" s="31"/>
      <c r="D9" s="31"/>
      <c r="E9" s="60"/>
      <c r="F9" s="60"/>
      <c r="G9" s="60"/>
      <c r="H9" s="60"/>
      <c r="I9" s="60"/>
      <c r="J9" s="31"/>
      <c r="K9" s="31"/>
      <c r="L9" s="60"/>
      <c r="M9" s="60"/>
      <c r="N9" s="60"/>
      <c r="O9" s="60"/>
      <c r="P9" s="60"/>
      <c r="Q9" s="60"/>
      <c r="R9" s="60"/>
      <c r="S9" s="60"/>
      <c r="T9" s="60"/>
      <c r="U9" s="60"/>
      <c r="V9" s="60"/>
      <c r="W9" s="60"/>
      <c r="X9" s="60"/>
      <c r="Y9" s="33"/>
      <c r="Z9" s="33"/>
      <c r="AA9" s="33"/>
      <c r="AB9" s="33"/>
      <c r="AC9" s="33"/>
    </row>
    <row r="10" ht="18.75" customHeight="1">
      <c r="A10" s="68"/>
      <c r="B10" s="69" t="s">
        <v>2</v>
      </c>
      <c r="C10" s="70" t="s">
        <v>36</v>
      </c>
      <c r="D10" s="71" t="s">
        <v>37</v>
      </c>
      <c r="E10" s="72" t="s">
        <v>38</v>
      </c>
      <c r="F10" s="73" t="s">
        <v>39</v>
      </c>
      <c r="G10" s="73" t="s">
        <v>40</v>
      </c>
      <c r="H10" s="73" t="s">
        <v>41</v>
      </c>
      <c r="I10" s="73" t="s">
        <v>42</v>
      </c>
      <c r="J10" s="74" t="s">
        <v>43</v>
      </c>
      <c r="K10" s="75" t="s">
        <v>44</v>
      </c>
      <c r="L10" s="76" t="s">
        <v>45</v>
      </c>
      <c r="M10" s="77" t="s">
        <v>46</v>
      </c>
      <c r="N10" s="78" t="s">
        <v>47</v>
      </c>
      <c r="O10" s="79" t="s">
        <v>48</v>
      </c>
      <c r="P10" s="78" t="s">
        <v>45</v>
      </c>
      <c r="Q10" s="77" t="s">
        <v>46</v>
      </c>
      <c r="R10" s="78" t="s">
        <v>47</v>
      </c>
      <c r="S10" s="79" t="s">
        <v>48</v>
      </c>
      <c r="T10" s="78" t="s">
        <v>45</v>
      </c>
      <c r="U10" s="77" t="s">
        <v>46</v>
      </c>
      <c r="V10" s="78" t="s">
        <v>47</v>
      </c>
      <c r="W10" s="79" t="s">
        <v>48</v>
      </c>
      <c r="X10" s="79" t="s">
        <v>49</v>
      </c>
      <c r="Y10" s="33"/>
      <c r="Z10" s="33"/>
      <c r="AA10" s="33"/>
      <c r="AB10" s="33"/>
      <c r="AC10" s="33"/>
    </row>
    <row r="11">
      <c r="A11" s="31"/>
      <c r="B11" s="80">
        <f t="shared" ref="B11:B105" si="4">(ROW()-ROW($B$10))</f>
        <v>1</v>
      </c>
      <c r="C11" s="81" t="s">
        <v>50</v>
      </c>
      <c r="D11" s="82" t="s">
        <v>20</v>
      </c>
      <c r="E11" s="83" t="s">
        <v>20</v>
      </c>
      <c r="F11" s="84" t="s">
        <v>20</v>
      </c>
      <c r="G11" s="84" t="s">
        <v>20</v>
      </c>
      <c r="H11" s="84" t="s">
        <v>51</v>
      </c>
      <c r="I11" s="84" t="s">
        <v>20</v>
      </c>
      <c r="J11" s="82" t="s">
        <v>52</v>
      </c>
      <c r="K11" s="82" t="s">
        <v>53</v>
      </c>
      <c r="L11" s="85" t="s">
        <v>13</v>
      </c>
      <c r="M11" s="86">
        <v>45520.0</v>
      </c>
      <c r="N11" s="87" t="s">
        <v>54</v>
      </c>
      <c r="O11" s="88"/>
      <c r="P11" s="89" t="s">
        <v>18</v>
      </c>
      <c r="Q11" s="90"/>
      <c r="R11" s="91"/>
      <c r="S11" s="88"/>
      <c r="T11" s="85" t="s">
        <v>13</v>
      </c>
      <c r="U11" s="92">
        <v>45519.0</v>
      </c>
      <c r="V11" s="87" t="s">
        <v>54</v>
      </c>
      <c r="W11" s="88"/>
      <c r="X11" s="51"/>
      <c r="Y11" s="33"/>
      <c r="Z11" s="33"/>
      <c r="AA11" s="33"/>
      <c r="AB11" s="33"/>
      <c r="AC11" s="33"/>
    </row>
    <row r="12">
      <c r="A12" s="31"/>
      <c r="B12" s="80">
        <f t="shared" si="4"/>
        <v>2</v>
      </c>
      <c r="C12" s="81" t="s">
        <v>50</v>
      </c>
      <c r="D12" s="82" t="s">
        <v>20</v>
      </c>
      <c r="E12" s="83" t="s">
        <v>20</v>
      </c>
      <c r="F12" s="84" t="s">
        <v>20</v>
      </c>
      <c r="G12" s="84" t="s">
        <v>20</v>
      </c>
      <c r="H12" s="84" t="s">
        <v>51</v>
      </c>
      <c r="I12" s="84" t="s">
        <v>20</v>
      </c>
      <c r="J12" s="82" t="s">
        <v>52</v>
      </c>
      <c r="K12" s="82" t="s">
        <v>55</v>
      </c>
      <c r="L12" s="85" t="s">
        <v>13</v>
      </c>
      <c r="M12" s="86">
        <v>45520.0</v>
      </c>
      <c r="N12" s="87" t="s">
        <v>54</v>
      </c>
      <c r="O12" s="88"/>
      <c r="P12" s="89" t="s">
        <v>18</v>
      </c>
      <c r="Q12" s="90"/>
      <c r="R12" s="91"/>
      <c r="S12" s="88"/>
      <c r="T12" s="85" t="s">
        <v>13</v>
      </c>
      <c r="U12" s="92">
        <v>45519.0</v>
      </c>
      <c r="V12" s="87" t="s">
        <v>54</v>
      </c>
      <c r="W12" s="88"/>
      <c r="X12" s="51"/>
      <c r="Y12" s="33"/>
      <c r="Z12" s="33"/>
      <c r="AA12" s="33"/>
      <c r="AB12" s="33"/>
      <c r="AC12" s="33"/>
    </row>
    <row r="13">
      <c r="A13" s="31"/>
      <c r="B13" s="80">
        <f t="shared" si="4"/>
        <v>3</v>
      </c>
      <c r="C13" s="81" t="s">
        <v>50</v>
      </c>
      <c r="D13" s="82" t="s">
        <v>20</v>
      </c>
      <c r="E13" s="83" t="s">
        <v>20</v>
      </c>
      <c r="F13" s="84" t="s">
        <v>20</v>
      </c>
      <c r="G13" s="84" t="s">
        <v>20</v>
      </c>
      <c r="H13" s="84" t="s">
        <v>51</v>
      </c>
      <c r="I13" s="84" t="s">
        <v>20</v>
      </c>
      <c r="J13" s="82" t="s">
        <v>52</v>
      </c>
      <c r="K13" s="82" t="s">
        <v>56</v>
      </c>
      <c r="L13" s="85" t="s">
        <v>13</v>
      </c>
      <c r="M13" s="86">
        <v>45520.0</v>
      </c>
      <c r="N13" s="87" t="s">
        <v>54</v>
      </c>
      <c r="O13" s="88"/>
      <c r="P13" s="89" t="s">
        <v>18</v>
      </c>
      <c r="Q13" s="90"/>
      <c r="R13" s="91"/>
      <c r="S13" s="88"/>
      <c r="T13" s="85" t="s">
        <v>13</v>
      </c>
      <c r="U13" s="92">
        <v>45519.0</v>
      </c>
      <c r="V13" s="87" t="s">
        <v>54</v>
      </c>
      <c r="W13" s="88"/>
      <c r="X13" s="51"/>
      <c r="Y13" s="33"/>
      <c r="Z13" s="33"/>
      <c r="AA13" s="33"/>
      <c r="AB13" s="33"/>
      <c r="AC13" s="33"/>
    </row>
    <row r="14">
      <c r="A14" s="31"/>
      <c r="B14" s="80">
        <f t="shared" si="4"/>
        <v>4</v>
      </c>
      <c r="C14" s="81" t="s">
        <v>50</v>
      </c>
      <c r="D14" s="82" t="s">
        <v>20</v>
      </c>
      <c r="E14" s="83" t="s">
        <v>20</v>
      </c>
      <c r="F14" s="84" t="s">
        <v>20</v>
      </c>
      <c r="G14" s="84" t="s">
        <v>20</v>
      </c>
      <c r="H14" s="84" t="s">
        <v>51</v>
      </c>
      <c r="I14" s="84" t="s">
        <v>20</v>
      </c>
      <c r="J14" s="82" t="s">
        <v>57</v>
      </c>
      <c r="K14" s="82" t="s">
        <v>58</v>
      </c>
      <c r="L14" s="85" t="s">
        <v>13</v>
      </c>
      <c r="M14" s="86">
        <v>45520.0</v>
      </c>
      <c r="N14" s="87" t="s">
        <v>54</v>
      </c>
      <c r="O14" s="88"/>
      <c r="P14" s="89" t="s">
        <v>18</v>
      </c>
      <c r="Q14" s="90"/>
      <c r="R14" s="91"/>
      <c r="S14" s="88"/>
      <c r="T14" s="85" t="s">
        <v>13</v>
      </c>
      <c r="U14" s="92">
        <v>45519.0</v>
      </c>
      <c r="V14" s="87" t="s">
        <v>54</v>
      </c>
      <c r="W14" s="88"/>
      <c r="X14" s="51"/>
      <c r="Y14" s="33"/>
      <c r="Z14" s="33"/>
      <c r="AA14" s="33"/>
      <c r="AB14" s="33"/>
      <c r="AC14" s="33"/>
    </row>
    <row r="15">
      <c r="A15" s="31"/>
      <c r="B15" s="80">
        <f t="shared" si="4"/>
        <v>5</v>
      </c>
      <c r="C15" s="81" t="s">
        <v>50</v>
      </c>
      <c r="D15" s="82" t="s">
        <v>20</v>
      </c>
      <c r="E15" s="83" t="s">
        <v>20</v>
      </c>
      <c r="F15" s="84" t="s">
        <v>20</v>
      </c>
      <c r="G15" s="84" t="s">
        <v>20</v>
      </c>
      <c r="H15" s="84" t="s">
        <v>51</v>
      </c>
      <c r="I15" s="84" t="s">
        <v>59</v>
      </c>
      <c r="J15" s="82" t="s">
        <v>57</v>
      </c>
      <c r="K15" s="82" t="s">
        <v>55</v>
      </c>
      <c r="L15" s="85" t="s">
        <v>13</v>
      </c>
      <c r="M15" s="86">
        <v>45520.0</v>
      </c>
      <c r="N15" s="87" t="s">
        <v>54</v>
      </c>
      <c r="O15" s="88"/>
      <c r="P15" s="89" t="s">
        <v>18</v>
      </c>
      <c r="Q15" s="90"/>
      <c r="R15" s="91"/>
      <c r="S15" s="88"/>
      <c r="T15" s="85" t="s">
        <v>13</v>
      </c>
      <c r="U15" s="92">
        <v>45519.0</v>
      </c>
      <c r="V15" s="87" t="s">
        <v>54</v>
      </c>
      <c r="W15" s="88"/>
      <c r="X15" s="51"/>
      <c r="Y15" s="33"/>
      <c r="Z15" s="33"/>
      <c r="AA15" s="33"/>
      <c r="AB15" s="33"/>
      <c r="AC15" s="33"/>
    </row>
    <row r="16">
      <c r="A16" s="31"/>
      <c r="B16" s="80">
        <f t="shared" si="4"/>
        <v>6</v>
      </c>
      <c r="C16" s="81" t="s">
        <v>50</v>
      </c>
      <c r="D16" s="82" t="s">
        <v>20</v>
      </c>
      <c r="E16" s="83" t="s">
        <v>20</v>
      </c>
      <c r="F16" s="84" t="s">
        <v>20</v>
      </c>
      <c r="G16" s="84" t="s">
        <v>20</v>
      </c>
      <c r="H16" s="84" t="s">
        <v>51</v>
      </c>
      <c r="I16" s="84" t="s">
        <v>60</v>
      </c>
      <c r="J16" s="82" t="s">
        <v>57</v>
      </c>
      <c r="K16" s="82" t="s">
        <v>61</v>
      </c>
      <c r="L16" s="85" t="s">
        <v>13</v>
      </c>
      <c r="M16" s="86">
        <v>45520.0</v>
      </c>
      <c r="N16" s="87" t="s">
        <v>54</v>
      </c>
      <c r="O16" s="88"/>
      <c r="P16" s="89" t="s">
        <v>18</v>
      </c>
      <c r="Q16" s="90"/>
      <c r="R16" s="91"/>
      <c r="S16" s="88"/>
      <c r="T16" s="85" t="s">
        <v>13</v>
      </c>
      <c r="U16" s="92">
        <v>45519.0</v>
      </c>
      <c r="V16" s="87" t="s">
        <v>54</v>
      </c>
      <c r="W16" s="88"/>
      <c r="X16" s="51"/>
      <c r="Y16" s="33"/>
      <c r="Z16" s="33"/>
      <c r="AA16" s="33"/>
      <c r="AB16" s="33"/>
      <c r="AC16" s="33"/>
    </row>
    <row r="17">
      <c r="A17" s="31"/>
      <c r="B17" s="80">
        <f t="shared" si="4"/>
        <v>7</v>
      </c>
      <c r="C17" s="81" t="s">
        <v>50</v>
      </c>
      <c r="D17" s="82" t="s">
        <v>20</v>
      </c>
      <c r="E17" s="83" t="s">
        <v>20</v>
      </c>
      <c r="F17" s="84" t="s">
        <v>20</v>
      </c>
      <c r="G17" s="84" t="s">
        <v>20</v>
      </c>
      <c r="H17" s="84" t="s">
        <v>51</v>
      </c>
      <c r="I17" s="84" t="s">
        <v>20</v>
      </c>
      <c r="J17" s="82" t="s">
        <v>57</v>
      </c>
      <c r="K17" s="82" t="s">
        <v>56</v>
      </c>
      <c r="L17" s="85" t="s">
        <v>13</v>
      </c>
      <c r="M17" s="86">
        <v>45520.0</v>
      </c>
      <c r="N17" s="87" t="s">
        <v>54</v>
      </c>
      <c r="O17" s="88"/>
      <c r="P17" s="89" t="s">
        <v>18</v>
      </c>
      <c r="Q17" s="90"/>
      <c r="R17" s="91"/>
      <c r="S17" s="88"/>
      <c r="T17" s="85" t="s">
        <v>13</v>
      </c>
      <c r="U17" s="92">
        <v>45519.0</v>
      </c>
      <c r="V17" s="87" t="s">
        <v>54</v>
      </c>
      <c r="W17" s="88"/>
      <c r="X17" s="51"/>
      <c r="Y17" s="33"/>
      <c r="Z17" s="33"/>
      <c r="AA17" s="33"/>
      <c r="AB17" s="33"/>
      <c r="AC17" s="33"/>
    </row>
    <row r="18">
      <c r="A18" s="31"/>
      <c r="B18" s="80">
        <f t="shared" si="4"/>
        <v>8</v>
      </c>
      <c r="C18" s="93" t="s">
        <v>62</v>
      </c>
      <c r="D18" s="82" t="s">
        <v>20</v>
      </c>
      <c r="E18" s="83" t="s">
        <v>20</v>
      </c>
      <c r="F18" s="84" t="s">
        <v>20</v>
      </c>
      <c r="G18" s="84" t="s">
        <v>20</v>
      </c>
      <c r="H18" s="84" t="s">
        <v>51</v>
      </c>
      <c r="I18" s="84" t="s">
        <v>20</v>
      </c>
      <c r="J18" s="82" t="s">
        <v>63</v>
      </c>
      <c r="K18" s="94" t="s">
        <v>64</v>
      </c>
      <c r="L18" s="85" t="s">
        <v>13</v>
      </c>
      <c r="M18" s="86">
        <v>45520.0</v>
      </c>
      <c r="N18" s="87" t="s">
        <v>54</v>
      </c>
      <c r="O18" s="88"/>
      <c r="P18" s="89" t="s">
        <v>18</v>
      </c>
      <c r="Q18" s="90"/>
      <c r="R18" s="91"/>
      <c r="S18" s="88"/>
      <c r="T18" s="85" t="s">
        <v>13</v>
      </c>
      <c r="U18" s="92">
        <v>45519.0</v>
      </c>
      <c r="V18" s="87" t="s">
        <v>54</v>
      </c>
      <c r="W18" s="88"/>
      <c r="X18" s="51"/>
      <c r="Y18" s="33"/>
      <c r="Z18" s="33"/>
      <c r="AA18" s="33"/>
      <c r="AB18" s="33"/>
      <c r="AC18" s="33"/>
    </row>
    <row r="19">
      <c r="A19" s="31"/>
      <c r="B19" s="80">
        <f t="shared" si="4"/>
        <v>9</v>
      </c>
      <c r="C19" s="93" t="s">
        <v>62</v>
      </c>
      <c r="D19" s="82" t="s">
        <v>20</v>
      </c>
      <c r="E19" s="83" t="s">
        <v>20</v>
      </c>
      <c r="F19" s="84" t="s">
        <v>20</v>
      </c>
      <c r="G19" s="84" t="s">
        <v>20</v>
      </c>
      <c r="H19" s="84" t="s">
        <v>51</v>
      </c>
      <c r="I19" s="84" t="s">
        <v>20</v>
      </c>
      <c r="J19" s="82" t="s">
        <v>65</v>
      </c>
      <c r="K19" s="94" t="s">
        <v>66</v>
      </c>
      <c r="L19" s="95" t="s">
        <v>15</v>
      </c>
      <c r="M19" s="86">
        <v>45520.0</v>
      </c>
      <c r="N19" s="87" t="s">
        <v>54</v>
      </c>
      <c r="O19" s="96">
        <v>62.0</v>
      </c>
      <c r="P19" s="89" t="s">
        <v>18</v>
      </c>
      <c r="Q19" s="90"/>
      <c r="R19" s="91"/>
      <c r="S19" s="88"/>
      <c r="T19" s="89"/>
      <c r="U19" s="90"/>
      <c r="V19" s="91"/>
      <c r="W19" s="88"/>
      <c r="X19" s="97" t="s">
        <v>67</v>
      </c>
      <c r="Y19" s="33"/>
      <c r="Z19" s="33"/>
      <c r="AA19" s="33"/>
      <c r="AB19" s="33"/>
      <c r="AC19" s="33"/>
    </row>
    <row r="20">
      <c r="A20" s="31"/>
      <c r="B20" s="80">
        <f t="shared" si="4"/>
        <v>10</v>
      </c>
      <c r="C20" s="93" t="s">
        <v>62</v>
      </c>
      <c r="D20" s="82" t="s">
        <v>20</v>
      </c>
      <c r="E20" s="83" t="s">
        <v>20</v>
      </c>
      <c r="F20" s="84" t="s">
        <v>20</v>
      </c>
      <c r="G20" s="84" t="s">
        <v>20</v>
      </c>
      <c r="H20" s="84" t="s">
        <v>51</v>
      </c>
      <c r="I20" s="84" t="s">
        <v>68</v>
      </c>
      <c r="J20" s="82" t="s">
        <v>69</v>
      </c>
      <c r="K20" s="94" t="s">
        <v>70</v>
      </c>
      <c r="L20" s="85" t="s">
        <v>13</v>
      </c>
      <c r="M20" s="86">
        <v>45520.0</v>
      </c>
      <c r="N20" s="87" t="s">
        <v>54</v>
      </c>
      <c r="O20" s="88"/>
      <c r="P20" s="89" t="s">
        <v>18</v>
      </c>
      <c r="Q20" s="90"/>
      <c r="R20" s="91"/>
      <c r="S20" s="88"/>
      <c r="T20" s="89"/>
      <c r="U20" s="90"/>
      <c r="V20" s="91"/>
      <c r="W20" s="88"/>
      <c r="X20" s="98" t="s">
        <v>71</v>
      </c>
      <c r="Y20" s="33"/>
      <c r="Z20" s="33"/>
      <c r="AA20" s="33"/>
      <c r="AB20" s="33"/>
      <c r="AC20" s="33"/>
    </row>
    <row r="21" ht="15.75" customHeight="1">
      <c r="A21" s="31"/>
      <c r="B21" s="80">
        <f t="shared" si="4"/>
        <v>11</v>
      </c>
      <c r="C21" s="93" t="s">
        <v>20</v>
      </c>
      <c r="D21" s="82" t="s">
        <v>72</v>
      </c>
      <c r="E21" s="83" t="s">
        <v>73</v>
      </c>
      <c r="F21" s="84" t="s">
        <v>20</v>
      </c>
      <c r="G21" s="84" t="s">
        <v>20</v>
      </c>
      <c r="H21" s="84" t="s">
        <v>51</v>
      </c>
      <c r="I21" s="84" t="s">
        <v>74</v>
      </c>
      <c r="J21" s="82" t="s">
        <v>75</v>
      </c>
      <c r="K21" s="94" t="s">
        <v>76</v>
      </c>
      <c r="L21" s="99" t="s">
        <v>13</v>
      </c>
      <c r="M21" s="86">
        <v>45525.0</v>
      </c>
      <c r="N21" s="87" t="s">
        <v>54</v>
      </c>
      <c r="O21" s="88"/>
      <c r="P21" s="89" t="s">
        <v>18</v>
      </c>
      <c r="Q21" s="90"/>
      <c r="R21" s="91"/>
      <c r="S21" s="88"/>
      <c r="T21" s="85" t="s">
        <v>13</v>
      </c>
      <c r="U21" s="92">
        <v>45519.0</v>
      </c>
      <c r="V21" s="87" t="s">
        <v>54</v>
      </c>
      <c r="W21" s="88"/>
      <c r="X21" s="51"/>
      <c r="Y21" s="33"/>
      <c r="Z21" s="33"/>
      <c r="AA21" s="33"/>
      <c r="AB21" s="33"/>
      <c r="AC21" s="33"/>
    </row>
    <row r="22" ht="15.75" customHeight="1">
      <c r="A22" s="31"/>
      <c r="B22" s="80">
        <f t="shared" si="4"/>
        <v>12</v>
      </c>
      <c r="C22" s="93" t="s">
        <v>20</v>
      </c>
      <c r="D22" s="82" t="s">
        <v>77</v>
      </c>
      <c r="E22" s="83" t="s">
        <v>73</v>
      </c>
      <c r="F22" s="84" t="s">
        <v>20</v>
      </c>
      <c r="G22" s="84" t="s">
        <v>20</v>
      </c>
      <c r="H22" s="84" t="s">
        <v>51</v>
      </c>
      <c r="I22" s="84" t="s">
        <v>74</v>
      </c>
      <c r="J22" s="82" t="s">
        <v>78</v>
      </c>
      <c r="K22" s="94" t="s">
        <v>76</v>
      </c>
      <c r="L22" s="99" t="s">
        <v>13</v>
      </c>
      <c r="M22" s="86">
        <v>45525.0</v>
      </c>
      <c r="N22" s="87" t="s">
        <v>54</v>
      </c>
      <c r="O22" s="88"/>
      <c r="P22" s="89" t="s">
        <v>18</v>
      </c>
      <c r="Q22" s="90"/>
      <c r="R22" s="91"/>
      <c r="S22" s="88"/>
      <c r="T22" s="85" t="s">
        <v>13</v>
      </c>
      <c r="U22" s="92">
        <v>45519.0</v>
      </c>
      <c r="V22" s="87" t="s">
        <v>54</v>
      </c>
      <c r="W22" s="88"/>
      <c r="X22" s="51"/>
      <c r="Y22" s="33"/>
      <c r="Z22" s="33"/>
      <c r="AA22" s="33"/>
      <c r="AB22" s="33"/>
      <c r="AC22" s="33"/>
    </row>
    <row r="23" ht="15.75" customHeight="1">
      <c r="A23" s="31"/>
      <c r="B23" s="80">
        <f t="shared" si="4"/>
        <v>13</v>
      </c>
      <c r="C23" s="93" t="s">
        <v>20</v>
      </c>
      <c r="D23" s="82" t="s">
        <v>79</v>
      </c>
      <c r="E23" s="83" t="s">
        <v>73</v>
      </c>
      <c r="F23" s="84" t="s">
        <v>20</v>
      </c>
      <c r="G23" s="84" t="s">
        <v>20</v>
      </c>
      <c r="H23" s="84" t="s">
        <v>51</v>
      </c>
      <c r="I23" s="84" t="s">
        <v>74</v>
      </c>
      <c r="J23" s="82" t="s">
        <v>80</v>
      </c>
      <c r="K23" s="94" t="s">
        <v>81</v>
      </c>
      <c r="L23" s="99" t="s">
        <v>13</v>
      </c>
      <c r="M23" s="86">
        <v>45525.0</v>
      </c>
      <c r="N23" s="87" t="s">
        <v>54</v>
      </c>
      <c r="O23" s="88"/>
      <c r="P23" s="89" t="s">
        <v>18</v>
      </c>
      <c r="Q23" s="90"/>
      <c r="R23" s="91"/>
      <c r="S23" s="88"/>
      <c r="T23" s="85" t="s">
        <v>13</v>
      </c>
      <c r="U23" s="92">
        <v>45519.0</v>
      </c>
      <c r="V23" s="87" t="s">
        <v>54</v>
      </c>
      <c r="W23" s="88"/>
      <c r="X23" s="51"/>
      <c r="Y23" s="33"/>
      <c r="Z23" s="33"/>
      <c r="AA23" s="33"/>
      <c r="AB23" s="33"/>
      <c r="AC23" s="33"/>
    </row>
    <row r="24" ht="15.75" customHeight="1">
      <c r="A24" s="31"/>
      <c r="B24" s="80">
        <f t="shared" si="4"/>
        <v>14</v>
      </c>
      <c r="C24" s="93" t="s">
        <v>20</v>
      </c>
      <c r="D24" s="82" t="s">
        <v>82</v>
      </c>
      <c r="E24" s="83" t="s">
        <v>83</v>
      </c>
      <c r="F24" s="84" t="s">
        <v>20</v>
      </c>
      <c r="G24" s="84" t="s">
        <v>20</v>
      </c>
      <c r="H24" s="84" t="s">
        <v>51</v>
      </c>
      <c r="I24" s="84" t="s">
        <v>74</v>
      </c>
      <c r="J24" s="82" t="s">
        <v>84</v>
      </c>
      <c r="K24" s="94" t="s">
        <v>85</v>
      </c>
      <c r="L24" s="99" t="s">
        <v>13</v>
      </c>
      <c r="M24" s="86">
        <v>45525.0</v>
      </c>
      <c r="N24" s="87" t="s">
        <v>54</v>
      </c>
      <c r="O24" s="88"/>
      <c r="P24" s="89" t="s">
        <v>18</v>
      </c>
      <c r="Q24" s="90"/>
      <c r="R24" s="91"/>
      <c r="S24" s="88"/>
      <c r="T24" s="85" t="s">
        <v>13</v>
      </c>
      <c r="U24" s="92">
        <v>45519.0</v>
      </c>
      <c r="V24" s="87" t="s">
        <v>54</v>
      </c>
      <c r="W24" s="88"/>
      <c r="X24" s="51"/>
      <c r="Y24" s="33"/>
      <c r="Z24" s="33"/>
      <c r="AA24" s="33"/>
      <c r="AB24" s="33"/>
      <c r="AC24" s="33"/>
    </row>
    <row r="25" ht="15.75" customHeight="1">
      <c r="A25" s="31"/>
      <c r="B25" s="80">
        <f t="shared" si="4"/>
        <v>15</v>
      </c>
      <c r="C25" s="93" t="s">
        <v>20</v>
      </c>
      <c r="D25" s="82" t="s">
        <v>20</v>
      </c>
      <c r="E25" s="83" t="s">
        <v>83</v>
      </c>
      <c r="F25" s="84" t="s">
        <v>20</v>
      </c>
      <c r="G25" s="84" t="s">
        <v>20</v>
      </c>
      <c r="H25" s="84" t="s">
        <v>51</v>
      </c>
      <c r="I25" s="84" t="s">
        <v>74</v>
      </c>
      <c r="J25" s="82" t="s">
        <v>86</v>
      </c>
      <c r="K25" s="94" t="s">
        <v>87</v>
      </c>
      <c r="L25" s="99" t="s">
        <v>13</v>
      </c>
      <c r="M25" s="86">
        <v>45525.0</v>
      </c>
      <c r="N25" s="87" t="s">
        <v>54</v>
      </c>
      <c r="O25" s="88"/>
      <c r="P25" s="89" t="s">
        <v>18</v>
      </c>
      <c r="Q25" s="90"/>
      <c r="R25" s="91"/>
      <c r="S25" s="88"/>
      <c r="T25" s="85" t="s">
        <v>13</v>
      </c>
      <c r="U25" s="92">
        <v>45519.0</v>
      </c>
      <c r="V25" s="87" t="s">
        <v>54</v>
      </c>
      <c r="W25" s="88"/>
      <c r="X25" s="51"/>
      <c r="Y25" s="33"/>
      <c r="Z25" s="33"/>
      <c r="AA25" s="33"/>
      <c r="AB25" s="33"/>
      <c r="AC25" s="33"/>
    </row>
    <row r="26" ht="15.75" customHeight="1">
      <c r="A26" s="31"/>
      <c r="B26" s="80">
        <f t="shared" si="4"/>
        <v>16</v>
      </c>
      <c r="C26" s="93" t="s">
        <v>20</v>
      </c>
      <c r="D26" s="82" t="s">
        <v>88</v>
      </c>
      <c r="E26" s="83" t="s">
        <v>83</v>
      </c>
      <c r="F26" s="84" t="s">
        <v>20</v>
      </c>
      <c r="G26" s="84" t="s">
        <v>20</v>
      </c>
      <c r="H26" s="84" t="s">
        <v>51</v>
      </c>
      <c r="I26" s="84" t="s">
        <v>74</v>
      </c>
      <c r="J26" s="82" t="s">
        <v>89</v>
      </c>
      <c r="K26" s="94" t="s">
        <v>90</v>
      </c>
      <c r="L26" s="99" t="s">
        <v>13</v>
      </c>
      <c r="M26" s="86">
        <v>45525.0</v>
      </c>
      <c r="N26" s="87" t="s">
        <v>54</v>
      </c>
      <c r="O26" s="88"/>
      <c r="P26" s="89" t="s">
        <v>18</v>
      </c>
      <c r="Q26" s="90"/>
      <c r="R26" s="91"/>
      <c r="S26" s="88"/>
      <c r="T26" s="85" t="s">
        <v>13</v>
      </c>
      <c r="U26" s="92">
        <v>45519.0</v>
      </c>
      <c r="V26" s="87" t="s">
        <v>54</v>
      </c>
      <c r="W26" s="88"/>
      <c r="X26" s="51"/>
      <c r="Y26" s="33"/>
      <c r="Z26" s="33"/>
      <c r="AA26" s="33"/>
      <c r="AB26" s="33"/>
      <c r="AC26" s="33"/>
    </row>
    <row r="27" ht="15.75" customHeight="1">
      <c r="A27" s="31"/>
      <c r="B27" s="80">
        <f t="shared" si="4"/>
        <v>17</v>
      </c>
      <c r="C27" s="93" t="s">
        <v>20</v>
      </c>
      <c r="D27" s="82" t="s">
        <v>91</v>
      </c>
      <c r="E27" s="83" t="s">
        <v>83</v>
      </c>
      <c r="F27" s="84" t="s">
        <v>20</v>
      </c>
      <c r="G27" s="84" t="s">
        <v>20</v>
      </c>
      <c r="H27" s="84" t="s">
        <v>51</v>
      </c>
      <c r="I27" s="84" t="s">
        <v>74</v>
      </c>
      <c r="J27" s="82" t="s">
        <v>92</v>
      </c>
      <c r="K27" s="94" t="s">
        <v>93</v>
      </c>
      <c r="L27" s="99" t="s">
        <v>13</v>
      </c>
      <c r="M27" s="86">
        <v>45525.0</v>
      </c>
      <c r="N27" s="87" t="s">
        <v>54</v>
      </c>
      <c r="O27" s="88"/>
      <c r="P27" s="89" t="s">
        <v>18</v>
      </c>
      <c r="Q27" s="90"/>
      <c r="R27" s="91"/>
      <c r="S27" s="88"/>
      <c r="T27" s="85" t="s">
        <v>13</v>
      </c>
      <c r="U27" s="92">
        <v>45519.0</v>
      </c>
      <c r="V27" s="87" t="s">
        <v>54</v>
      </c>
      <c r="W27" s="88"/>
      <c r="X27" s="51"/>
      <c r="Y27" s="33"/>
      <c r="Z27" s="33"/>
      <c r="AA27" s="33"/>
      <c r="AB27" s="33"/>
      <c r="AC27" s="33"/>
    </row>
    <row r="28" ht="15.75" customHeight="1">
      <c r="A28" s="31"/>
      <c r="B28" s="80">
        <f t="shared" si="4"/>
        <v>18</v>
      </c>
      <c r="C28" s="93" t="s">
        <v>20</v>
      </c>
      <c r="D28" s="82" t="s">
        <v>94</v>
      </c>
      <c r="E28" s="83" t="s">
        <v>83</v>
      </c>
      <c r="F28" s="84" t="s">
        <v>20</v>
      </c>
      <c r="G28" s="84" t="s">
        <v>20</v>
      </c>
      <c r="H28" s="84" t="s">
        <v>51</v>
      </c>
      <c r="I28" s="84" t="s">
        <v>74</v>
      </c>
      <c r="J28" s="82" t="s">
        <v>95</v>
      </c>
      <c r="K28" s="94" t="s">
        <v>96</v>
      </c>
      <c r="L28" s="99" t="s">
        <v>13</v>
      </c>
      <c r="M28" s="86">
        <v>45525.0</v>
      </c>
      <c r="N28" s="87" t="s">
        <v>54</v>
      </c>
      <c r="O28" s="88"/>
      <c r="P28" s="89" t="s">
        <v>18</v>
      </c>
      <c r="Q28" s="90"/>
      <c r="R28" s="91"/>
      <c r="S28" s="88"/>
      <c r="T28" s="85" t="s">
        <v>13</v>
      </c>
      <c r="U28" s="92">
        <v>45519.0</v>
      </c>
      <c r="V28" s="87" t="s">
        <v>54</v>
      </c>
      <c r="W28" s="88"/>
      <c r="X28" s="51"/>
      <c r="Y28" s="33"/>
      <c r="Z28" s="33"/>
      <c r="AA28" s="33"/>
      <c r="AB28" s="33"/>
      <c r="AC28" s="33"/>
    </row>
    <row r="29" ht="15.75" customHeight="1">
      <c r="A29" s="31"/>
      <c r="B29" s="80">
        <f t="shared" si="4"/>
        <v>19</v>
      </c>
      <c r="C29" s="93" t="s">
        <v>20</v>
      </c>
      <c r="D29" s="82" t="s">
        <v>97</v>
      </c>
      <c r="E29" s="83" t="s">
        <v>83</v>
      </c>
      <c r="F29" s="84" t="s">
        <v>20</v>
      </c>
      <c r="G29" s="84" t="s">
        <v>20</v>
      </c>
      <c r="H29" s="84" t="s">
        <v>51</v>
      </c>
      <c r="I29" s="84" t="s">
        <v>74</v>
      </c>
      <c r="J29" s="82" t="s">
        <v>98</v>
      </c>
      <c r="K29" s="94" t="s">
        <v>99</v>
      </c>
      <c r="L29" s="99" t="s">
        <v>13</v>
      </c>
      <c r="M29" s="86">
        <v>45525.0</v>
      </c>
      <c r="N29" s="87" t="s">
        <v>54</v>
      </c>
      <c r="O29" s="88"/>
      <c r="P29" s="89" t="s">
        <v>18</v>
      </c>
      <c r="Q29" s="90"/>
      <c r="R29" s="91"/>
      <c r="S29" s="88"/>
      <c r="T29" s="85" t="s">
        <v>13</v>
      </c>
      <c r="U29" s="92">
        <v>45519.0</v>
      </c>
      <c r="V29" s="87" t="s">
        <v>54</v>
      </c>
      <c r="W29" s="88"/>
      <c r="X29" s="51"/>
      <c r="Y29" s="33"/>
      <c r="Z29" s="33"/>
      <c r="AA29" s="33"/>
      <c r="AB29" s="33"/>
      <c r="AC29" s="33"/>
    </row>
    <row r="30" ht="15.75" customHeight="1">
      <c r="A30" s="31"/>
      <c r="B30" s="80">
        <f t="shared" si="4"/>
        <v>20</v>
      </c>
      <c r="C30" s="93" t="s">
        <v>20</v>
      </c>
      <c r="D30" s="82" t="s">
        <v>100</v>
      </c>
      <c r="E30" s="83" t="s">
        <v>83</v>
      </c>
      <c r="F30" s="84" t="s">
        <v>20</v>
      </c>
      <c r="G30" s="84" t="s">
        <v>20</v>
      </c>
      <c r="H30" s="84" t="s">
        <v>51</v>
      </c>
      <c r="I30" s="84" t="s">
        <v>74</v>
      </c>
      <c r="J30" s="82" t="s">
        <v>101</v>
      </c>
      <c r="K30" s="94" t="s">
        <v>102</v>
      </c>
      <c r="L30" s="99" t="s">
        <v>13</v>
      </c>
      <c r="M30" s="86">
        <v>45525.0</v>
      </c>
      <c r="N30" s="87" t="s">
        <v>54</v>
      </c>
      <c r="O30" s="88"/>
      <c r="P30" s="89" t="s">
        <v>18</v>
      </c>
      <c r="Q30" s="90"/>
      <c r="R30" s="91"/>
      <c r="S30" s="88"/>
      <c r="T30" s="85" t="s">
        <v>13</v>
      </c>
      <c r="U30" s="92">
        <v>45519.0</v>
      </c>
      <c r="V30" s="87" t="s">
        <v>54</v>
      </c>
      <c r="W30" s="88"/>
      <c r="X30" s="51"/>
      <c r="Y30" s="33"/>
      <c r="Z30" s="33"/>
      <c r="AA30" s="33"/>
      <c r="AB30" s="33"/>
      <c r="AC30" s="33"/>
    </row>
    <row r="31" ht="15.75" customHeight="1">
      <c r="A31" s="31"/>
      <c r="B31" s="80">
        <f t="shared" si="4"/>
        <v>21</v>
      </c>
      <c r="C31" s="93" t="s">
        <v>20</v>
      </c>
      <c r="D31" s="82" t="s">
        <v>103</v>
      </c>
      <c r="E31" s="83" t="s">
        <v>83</v>
      </c>
      <c r="F31" s="84" t="s">
        <v>20</v>
      </c>
      <c r="G31" s="84" t="s">
        <v>20</v>
      </c>
      <c r="H31" s="84" t="s">
        <v>51</v>
      </c>
      <c r="I31" s="84" t="s">
        <v>74</v>
      </c>
      <c r="J31" s="82" t="s">
        <v>104</v>
      </c>
      <c r="K31" s="94" t="s">
        <v>105</v>
      </c>
      <c r="L31" s="99" t="s">
        <v>13</v>
      </c>
      <c r="M31" s="86">
        <v>45525.0</v>
      </c>
      <c r="N31" s="87" t="s">
        <v>54</v>
      </c>
      <c r="O31" s="88"/>
      <c r="P31" s="89" t="s">
        <v>18</v>
      </c>
      <c r="Q31" s="90"/>
      <c r="R31" s="91"/>
      <c r="S31" s="88"/>
      <c r="T31" s="85" t="s">
        <v>13</v>
      </c>
      <c r="U31" s="92">
        <v>45519.0</v>
      </c>
      <c r="V31" s="87" t="s">
        <v>54</v>
      </c>
      <c r="W31" s="88"/>
      <c r="X31" s="51"/>
      <c r="Y31" s="33"/>
      <c r="Z31" s="33"/>
      <c r="AA31" s="33"/>
      <c r="AB31" s="33"/>
      <c r="AC31" s="33"/>
    </row>
    <row r="32" ht="15.75" customHeight="1">
      <c r="A32" s="31"/>
      <c r="B32" s="80">
        <f t="shared" si="4"/>
        <v>22</v>
      </c>
      <c r="C32" s="93" t="s">
        <v>20</v>
      </c>
      <c r="D32" s="82" t="s">
        <v>106</v>
      </c>
      <c r="E32" s="83" t="s">
        <v>83</v>
      </c>
      <c r="F32" s="84" t="s">
        <v>20</v>
      </c>
      <c r="G32" s="84" t="s">
        <v>20</v>
      </c>
      <c r="H32" s="84" t="s">
        <v>51</v>
      </c>
      <c r="I32" s="84" t="s">
        <v>74</v>
      </c>
      <c r="J32" s="82" t="s">
        <v>107</v>
      </c>
      <c r="K32" s="94" t="s">
        <v>108</v>
      </c>
      <c r="L32" s="99" t="s">
        <v>13</v>
      </c>
      <c r="M32" s="86">
        <v>45525.0</v>
      </c>
      <c r="N32" s="87" t="s">
        <v>54</v>
      </c>
      <c r="O32" s="88"/>
      <c r="P32" s="89" t="s">
        <v>18</v>
      </c>
      <c r="Q32" s="90"/>
      <c r="R32" s="91"/>
      <c r="S32" s="88"/>
      <c r="T32" s="85" t="s">
        <v>13</v>
      </c>
      <c r="U32" s="92">
        <v>45519.0</v>
      </c>
      <c r="V32" s="87" t="s">
        <v>54</v>
      </c>
      <c r="W32" s="88"/>
      <c r="X32" s="51"/>
      <c r="Y32" s="33"/>
      <c r="Z32" s="33"/>
      <c r="AA32" s="33"/>
      <c r="AB32" s="33"/>
      <c r="AC32" s="33"/>
    </row>
    <row r="33" ht="15.75" customHeight="1">
      <c r="A33" s="31"/>
      <c r="B33" s="80">
        <f t="shared" si="4"/>
        <v>23</v>
      </c>
      <c r="C33" s="93" t="s">
        <v>20</v>
      </c>
      <c r="D33" s="82" t="s">
        <v>109</v>
      </c>
      <c r="E33" s="83" t="s">
        <v>83</v>
      </c>
      <c r="F33" s="84" t="s">
        <v>20</v>
      </c>
      <c r="G33" s="84" t="s">
        <v>20</v>
      </c>
      <c r="H33" s="84" t="s">
        <v>51</v>
      </c>
      <c r="I33" s="84" t="s">
        <v>74</v>
      </c>
      <c r="J33" s="82" t="s">
        <v>110</v>
      </c>
      <c r="K33" s="94" t="s">
        <v>111</v>
      </c>
      <c r="L33" s="99" t="s">
        <v>13</v>
      </c>
      <c r="M33" s="86">
        <v>45525.0</v>
      </c>
      <c r="N33" s="87" t="s">
        <v>54</v>
      </c>
      <c r="O33" s="88"/>
      <c r="P33" s="89" t="s">
        <v>18</v>
      </c>
      <c r="Q33" s="90"/>
      <c r="R33" s="91"/>
      <c r="S33" s="88"/>
      <c r="T33" s="85" t="s">
        <v>13</v>
      </c>
      <c r="U33" s="92">
        <v>45519.0</v>
      </c>
      <c r="V33" s="87" t="s">
        <v>54</v>
      </c>
      <c r="W33" s="88"/>
      <c r="X33" s="51"/>
      <c r="Y33" s="33"/>
      <c r="Z33" s="33"/>
      <c r="AA33" s="33"/>
      <c r="AB33" s="33"/>
      <c r="AC33" s="33"/>
    </row>
    <row r="34" ht="15.75" customHeight="1">
      <c r="A34" s="31"/>
      <c r="B34" s="80">
        <f t="shared" si="4"/>
        <v>24</v>
      </c>
      <c r="C34" s="93" t="s">
        <v>20</v>
      </c>
      <c r="D34" s="82" t="s">
        <v>112</v>
      </c>
      <c r="E34" s="83" t="s">
        <v>83</v>
      </c>
      <c r="F34" s="84" t="s">
        <v>20</v>
      </c>
      <c r="G34" s="84" t="s">
        <v>20</v>
      </c>
      <c r="H34" s="84" t="s">
        <v>51</v>
      </c>
      <c r="I34" s="84" t="s">
        <v>74</v>
      </c>
      <c r="J34" s="82" t="s">
        <v>113</v>
      </c>
      <c r="K34" s="94" t="s">
        <v>114</v>
      </c>
      <c r="L34" s="99" t="s">
        <v>13</v>
      </c>
      <c r="M34" s="86">
        <v>45525.0</v>
      </c>
      <c r="N34" s="87" t="s">
        <v>54</v>
      </c>
      <c r="O34" s="88"/>
      <c r="P34" s="89" t="s">
        <v>18</v>
      </c>
      <c r="Q34" s="90"/>
      <c r="R34" s="91"/>
      <c r="S34" s="88"/>
      <c r="T34" s="85" t="s">
        <v>13</v>
      </c>
      <c r="U34" s="92">
        <v>45519.0</v>
      </c>
      <c r="V34" s="87" t="s">
        <v>54</v>
      </c>
      <c r="W34" s="88"/>
      <c r="X34" s="51"/>
      <c r="Y34" s="33"/>
      <c r="Z34" s="33"/>
      <c r="AA34" s="33"/>
      <c r="AB34" s="33"/>
      <c r="AC34" s="33"/>
    </row>
    <row r="35" ht="15.75" customHeight="1">
      <c r="A35" s="31"/>
      <c r="B35" s="80">
        <f t="shared" si="4"/>
        <v>25</v>
      </c>
      <c r="C35" s="93" t="s">
        <v>20</v>
      </c>
      <c r="D35" s="82" t="s">
        <v>115</v>
      </c>
      <c r="E35" s="83" t="s">
        <v>83</v>
      </c>
      <c r="F35" s="84" t="s">
        <v>20</v>
      </c>
      <c r="G35" s="84" t="s">
        <v>20</v>
      </c>
      <c r="H35" s="84" t="s">
        <v>51</v>
      </c>
      <c r="I35" s="84" t="s">
        <v>74</v>
      </c>
      <c r="J35" s="82" t="s">
        <v>116</v>
      </c>
      <c r="K35" s="94" t="s">
        <v>117</v>
      </c>
      <c r="L35" s="99" t="s">
        <v>13</v>
      </c>
      <c r="M35" s="86">
        <v>45525.0</v>
      </c>
      <c r="N35" s="87" t="s">
        <v>54</v>
      </c>
      <c r="O35" s="88"/>
      <c r="P35" s="89" t="s">
        <v>18</v>
      </c>
      <c r="Q35" s="90"/>
      <c r="R35" s="91"/>
      <c r="S35" s="88"/>
      <c r="T35" s="85" t="s">
        <v>13</v>
      </c>
      <c r="U35" s="92">
        <v>45519.0</v>
      </c>
      <c r="V35" s="87" t="s">
        <v>54</v>
      </c>
      <c r="W35" s="88"/>
      <c r="X35" s="51"/>
      <c r="Y35" s="33"/>
      <c r="Z35" s="33"/>
      <c r="AA35" s="33"/>
      <c r="AB35" s="33"/>
      <c r="AC35" s="33"/>
    </row>
    <row r="36" ht="15.75" customHeight="1">
      <c r="A36" s="31"/>
      <c r="B36" s="80">
        <f t="shared" si="4"/>
        <v>26</v>
      </c>
      <c r="C36" s="93" t="s">
        <v>20</v>
      </c>
      <c r="D36" s="82" t="s">
        <v>118</v>
      </c>
      <c r="E36" s="83" t="s">
        <v>83</v>
      </c>
      <c r="F36" s="84" t="s">
        <v>20</v>
      </c>
      <c r="G36" s="84" t="s">
        <v>20</v>
      </c>
      <c r="H36" s="84" t="s">
        <v>51</v>
      </c>
      <c r="I36" s="84" t="s">
        <v>74</v>
      </c>
      <c r="J36" s="82" t="s">
        <v>119</v>
      </c>
      <c r="K36" s="94" t="s">
        <v>120</v>
      </c>
      <c r="L36" s="99" t="s">
        <v>13</v>
      </c>
      <c r="M36" s="86">
        <v>45525.0</v>
      </c>
      <c r="N36" s="87" t="s">
        <v>54</v>
      </c>
      <c r="O36" s="88"/>
      <c r="P36" s="89" t="s">
        <v>18</v>
      </c>
      <c r="Q36" s="90"/>
      <c r="R36" s="91"/>
      <c r="S36" s="88"/>
      <c r="T36" s="89"/>
      <c r="U36" s="90"/>
      <c r="V36" s="91"/>
      <c r="W36" s="88"/>
      <c r="X36" s="51"/>
      <c r="Y36" s="33"/>
      <c r="Z36" s="33"/>
      <c r="AA36" s="33"/>
      <c r="AB36" s="33"/>
      <c r="AC36" s="33"/>
    </row>
    <row r="37" ht="15.75" customHeight="1">
      <c r="A37" s="31"/>
      <c r="B37" s="80">
        <f t="shared" si="4"/>
        <v>27</v>
      </c>
      <c r="C37" s="93" t="s">
        <v>20</v>
      </c>
      <c r="D37" s="82" t="s">
        <v>121</v>
      </c>
      <c r="E37" s="83" t="s">
        <v>83</v>
      </c>
      <c r="F37" s="84" t="s">
        <v>20</v>
      </c>
      <c r="G37" s="84" t="s">
        <v>20</v>
      </c>
      <c r="H37" s="84" t="s">
        <v>51</v>
      </c>
      <c r="I37" s="84" t="s">
        <v>74</v>
      </c>
      <c r="J37" s="82" t="s">
        <v>122</v>
      </c>
      <c r="K37" s="94" t="s">
        <v>123</v>
      </c>
      <c r="L37" s="99" t="s">
        <v>13</v>
      </c>
      <c r="M37" s="86">
        <v>45525.0</v>
      </c>
      <c r="N37" s="87" t="s">
        <v>54</v>
      </c>
      <c r="O37" s="88"/>
      <c r="P37" s="89" t="s">
        <v>18</v>
      </c>
      <c r="Q37" s="90"/>
      <c r="R37" s="91"/>
      <c r="S37" s="88"/>
      <c r="T37" s="89"/>
      <c r="U37" s="90"/>
      <c r="V37" s="91"/>
      <c r="W37" s="88"/>
      <c r="X37" s="51"/>
      <c r="Y37" s="33"/>
      <c r="Z37" s="33"/>
      <c r="AA37" s="33"/>
      <c r="AB37" s="33"/>
      <c r="AC37" s="33"/>
    </row>
    <row r="38" ht="15.75" customHeight="1">
      <c r="A38" s="31"/>
      <c r="B38" s="80">
        <f t="shared" si="4"/>
        <v>28</v>
      </c>
      <c r="C38" s="93" t="s">
        <v>20</v>
      </c>
      <c r="D38" s="82" t="s">
        <v>124</v>
      </c>
      <c r="E38" s="83" t="s">
        <v>83</v>
      </c>
      <c r="F38" s="84" t="s">
        <v>20</v>
      </c>
      <c r="G38" s="84" t="s">
        <v>20</v>
      </c>
      <c r="H38" s="84" t="s">
        <v>51</v>
      </c>
      <c r="I38" s="84" t="s">
        <v>74</v>
      </c>
      <c r="J38" s="82" t="s">
        <v>125</v>
      </c>
      <c r="K38" s="94" t="s">
        <v>126</v>
      </c>
      <c r="L38" s="99" t="s">
        <v>13</v>
      </c>
      <c r="M38" s="86">
        <v>45525.0</v>
      </c>
      <c r="N38" s="87" t="s">
        <v>54</v>
      </c>
      <c r="O38" s="88"/>
      <c r="P38" s="89" t="s">
        <v>18</v>
      </c>
      <c r="Q38" s="90"/>
      <c r="R38" s="91"/>
      <c r="S38" s="88"/>
      <c r="T38" s="85" t="s">
        <v>13</v>
      </c>
      <c r="U38" s="92">
        <v>45519.0</v>
      </c>
      <c r="V38" s="87" t="s">
        <v>54</v>
      </c>
      <c r="W38" s="88"/>
      <c r="X38" s="51"/>
      <c r="Y38" s="33"/>
      <c r="Z38" s="33"/>
      <c r="AA38" s="33"/>
      <c r="AB38" s="33"/>
      <c r="AC38" s="33"/>
    </row>
    <row r="39" ht="15.75" customHeight="1">
      <c r="A39" s="31"/>
      <c r="B39" s="80">
        <f t="shared" si="4"/>
        <v>29</v>
      </c>
      <c r="C39" s="93" t="s">
        <v>20</v>
      </c>
      <c r="D39" s="82" t="s">
        <v>127</v>
      </c>
      <c r="E39" s="83" t="s">
        <v>83</v>
      </c>
      <c r="F39" s="84" t="s">
        <v>20</v>
      </c>
      <c r="G39" s="84" t="s">
        <v>20</v>
      </c>
      <c r="H39" s="84" t="s">
        <v>51</v>
      </c>
      <c r="I39" s="84" t="s">
        <v>74</v>
      </c>
      <c r="J39" s="82" t="s">
        <v>128</v>
      </c>
      <c r="K39" s="94" t="s">
        <v>129</v>
      </c>
      <c r="L39" s="99" t="s">
        <v>13</v>
      </c>
      <c r="M39" s="86">
        <v>45525.0</v>
      </c>
      <c r="N39" s="87" t="s">
        <v>54</v>
      </c>
      <c r="O39" s="88"/>
      <c r="P39" s="89" t="s">
        <v>18</v>
      </c>
      <c r="Q39" s="90"/>
      <c r="R39" s="91"/>
      <c r="S39" s="88"/>
      <c r="T39" s="85" t="s">
        <v>13</v>
      </c>
      <c r="U39" s="92">
        <v>45519.0</v>
      </c>
      <c r="V39" s="87" t="s">
        <v>54</v>
      </c>
      <c r="W39" s="88"/>
      <c r="X39" s="51"/>
      <c r="Y39" s="33"/>
      <c r="Z39" s="33"/>
      <c r="AA39" s="33"/>
      <c r="AB39" s="33"/>
      <c r="AC39" s="33"/>
    </row>
    <row r="40" ht="15.75" customHeight="1">
      <c r="A40" s="31"/>
      <c r="B40" s="80">
        <f t="shared" si="4"/>
        <v>30</v>
      </c>
      <c r="C40" s="93" t="s">
        <v>20</v>
      </c>
      <c r="D40" s="82" t="s">
        <v>130</v>
      </c>
      <c r="E40" s="83" t="s">
        <v>83</v>
      </c>
      <c r="F40" s="84" t="s">
        <v>20</v>
      </c>
      <c r="G40" s="84" t="s">
        <v>20</v>
      </c>
      <c r="H40" s="84" t="s">
        <v>51</v>
      </c>
      <c r="I40" s="84" t="s">
        <v>74</v>
      </c>
      <c r="J40" s="82" t="s">
        <v>131</v>
      </c>
      <c r="K40" s="94" t="s">
        <v>132</v>
      </c>
      <c r="L40" s="99" t="s">
        <v>13</v>
      </c>
      <c r="M40" s="86">
        <v>45525.0</v>
      </c>
      <c r="N40" s="87" t="s">
        <v>54</v>
      </c>
      <c r="O40" s="88"/>
      <c r="P40" s="89" t="s">
        <v>18</v>
      </c>
      <c r="Q40" s="90"/>
      <c r="R40" s="91"/>
      <c r="S40" s="88"/>
      <c r="T40" s="85" t="s">
        <v>13</v>
      </c>
      <c r="U40" s="92">
        <v>45519.0</v>
      </c>
      <c r="V40" s="87" t="s">
        <v>54</v>
      </c>
      <c r="W40" s="88"/>
      <c r="X40" s="51"/>
      <c r="Y40" s="33"/>
      <c r="Z40" s="33"/>
      <c r="AA40" s="33"/>
      <c r="AB40" s="33"/>
      <c r="AC40" s="33"/>
    </row>
    <row r="41" ht="15.75" customHeight="1">
      <c r="A41" s="31"/>
      <c r="B41" s="80">
        <f t="shared" si="4"/>
        <v>31</v>
      </c>
      <c r="C41" s="93" t="s">
        <v>20</v>
      </c>
      <c r="D41" s="82" t="s">
        <v>133</v>
      </c>
      <c r="E41" s="83" t="s">
        <v>83</v>
      </c>
      <c r="F41" s="84" t="s">
        <v>20</v>
      </c>
      <c r="G41" s="84" t="s">
        <v>20</v>
      </c>
      <c r="H41" s="84" t="s">
        <v>51</v>
      </c>
      <c r="I41" s="84" t="s">
        <v>74</v>
      </c>
      <c r="J41" s="82" t="s">
        <v>134</v>
      </c>
      <c r="K41" s="94" t="s">
        <v>135</v>
      </c>
      <c r="L41" s="99" t="s">
        <v>13</v>
      </c>
      <c r="M41" s="86">
        <v>45525.0</v>
      </c>
      <c r="N41" s="87" t="s">
        <v>54</v>
      </c>
      <c r="O41" s="88"/>
      <c r="P41" s="89" t="s">
        <v>18</v>
      </c>
      <c r="Q41" s="90"/>
      <c r="R41" s="91"/>
      <c r="S41" s="88"/>
      <c r="T41" s="85" t="s">
        <v>13</v>
      </c>
      <c r="U41" s="92">
        <v>45519.0</v>
      </c>
      <c r="V41" s="87" t="s">
        <v>54</v>
      </c>
      <c r="W41" s="88"/>
      <c r="X41" s="51"/>
      <c r="Y41" s="33"/>
      <c r="Z41" s="33"/>
      <c r="AA41" s="33"/>
      <c r="AB41" s="33"/>
      <c r="AC41" s="33"/>
    </row>
    <row r="42" ht="15.75" customHeight="1">
      <c r="A42" s="31"/>
      <c r="B42" s="80">
        <f t="shared" si="4"/>
        <v>32</v>
      </c>
      <c r="C42" s="93" t="s">
        <v>20</v>
      </c>
      <c r="D42" s="82" t="s">
        <v>136</v>
      </c>
      <c r="E42" s="83" t="s">
        <v>83</v>
      </c>
      <c r="F42" s="84" t="s">
        <v>20</v>
      </c>
      <c r="G42" s="84" t="s">
        <v>20</v>
      </c>
      <c r="H42" s="84" t="s">
        <v>51</v>
      </c>
      <c r="I42" s="84" t="s">
        <v>74</v>
      </c>
      <c r="J42" s="82" t="s">
        <v>137</v>
      </c>
      <c r="K42" s="94" t="s">
        <v>138</v>
      </c>
      <c r="L42" s="99" t="s">
        <v>13</v>
      </c>
      <c r="M42" s="86">
        <v>45525.0</v>
      </c>
      <c r="N42" s="87" t="s">
        <v>54</v>
      </c>
      <c r="O42" s="88"/>
      <c r="P42" s="89" t="s">
        <v>18</v>
      </c>
      <c r="Q42" s="90"/>
      <c r="R42" s="91"/>
      <c r="S42" s="88"/>
      <c r="T42" s="85" t="s">
        <v>13</v>
      </c>
      <c r="U42" s="92">
        <v>45519.0</v>
      </c>
      <c r="V42" s="87" t="s">
        <v>54</v>
      </c>
      <c r="W42" s="88"/>
      <c r="X42" s="51"/>
      <c r="Y42" s="33"/>
      <c r="Z42" s="33"/>
      <c r="AA42" s="33"/>
      <c r="AB42" s="33"/>
      <c r="AC42" s="33"/>
    </row>
    <row r="43" ht="15.75" customHeight="1">
      <c r="A43" s="31"/>
      <c r="B43" s="80">
        <f t="shared" si="4"/>
        <v>33</v>
      </c>
      <c r="C43" s="93" t="s">
        <v>20</v>
      </c>
      <c r="D43" s="82" t="s">
        <v>139</v>
      </c>
      <c r="E43" s="83" t="s">
        <v>83</v>
      </c>
      <c r="F43" s="84" t="s">
        <v>20</v>
      </c>
      <c r="G43" s="84" t="s">
        <v>20</v>
      </c>
      <c r="H43" s="84" t="s">
        <v>51</v>
      </c>
      <c r="I43" s="84" t="s">
        <v>74</v>
      </c>
      <c r="J43" s="82" t="s">
        <v>140</v>
      </c>
      <c r="K43" s="94" t="s">
        <v>141</v>
      </c>
      <c r="L43" s="99" t="s">
        <v>13</v>
      </c>
      <c r="M43" s="86">
        <v>45525.0</v>
      </c>
      <c r="N43" s="87" t="s">
        <v>54</v>
      </c>
      <c r="O43" s="88"/>
      <c r="P43" s="89" t="s">
        <v>18</v>
      </c>
      <c r="Q43" s="90"/>
      <c r="R43" s="91"/>
      <c r="S43" s="88"/>
      <c r="T43" s="85" t="s">
        <v>13</v>
      </c>
      <c r="U43" s="92">
        <v>45519.0</v>
      </c>
      <c r="V43" s="87" t="s">
        <v>54</v>
      </c>
      <c r="W43" s="88"/>
      <c r="X43" s="51"/>
      <c r="Y43" s="33"/>
      <c r="Z43" s="33"/>
      <c r="AA43" s="33"/>
      <c r="AB43" s="33"/>
      <c r="AC43" s="33"/>
    </row>
    <row r="44" ht="15.75" customHeight="1">
      <c r="A44" s="31"/>
      <c r="B44" s="80">
        <f t="shared" si="4"/>
        <v>34</v>
      </c>
      <c r="C44" s="93" t="s">
        <v>20</v>
      </c>
      <c r="D44" s="82" t="s">
        <v>142</v>
      </c>
      <c r="E44" s="83" t="s">
        <v>83</v>
      </c>
      <c r="F44" s="84" t="s">
        <v>20</v>
      </c>
      <c r="G44" s="84" t="s">
        <v>20</v>
      </c>
      <c r="H44" s="84" t="s">
        <v>51</v>
      </c>
      <c r="I44" s="84" t="s">
        <v>74</v>
      </c>
      <c r="J44" s="82" t="s">
        <v>143</v>
      </c>
      <c r="K44" s="94" t="s">
        <v>144</v>
      </c>
      <c r="L44" s="99" t="s">
        <v>13</v>
      </c>
      <c r="M44" s="86">
        <v>45525.0</v>
      </c>
      <c r="N44" s="87" t="s">
        <v>54</v>
      </c>
      <c r="O44" s="88"/>
      <c r="P44" s="89" t="s">
        <v>18</v>
      </c>
      <c r="Q44" s="90"/>
      <c r="R44" s="91"/>
      <c r="S44" s="88"/>
      <c r="T44" s="85" t="s">
        <v>13</v>
      </c>
      <c r="U44" s="92">
        <v>45519.0</v>
      </c>
      <c r="V44" s="87" t="s">
        <v>54</v>
      </c>
      <c r="W44" s="88"/>
      <c r="X44" s="51"/>
      <c r="Y44" s="33"/>
      <c r="Z44" s="33"/>
      <c r="AA44" s="33"/>
      <c r="AB44" s="33"/>
      <c r="AC44" s="33"/>
    </row>
    <row r="45" ht="15.75" customHeight="1">
      <c r="A45" s="31"/>
      <c r="B45" s="80">
        <f t="shared" si="4"/>
        <v>35</v>
      </c>
      <c r="C45" s="93" t="s">
        <v>20</v>
      </c>
      <c r="D45" s="82" t="s">
        <v>145</v>
      </c>
      <c r="E45" s="83" t="s">
        <v>20</v>
      </c>
      <c r="F45" s="84" t="s">
        <v>20</v>
      </c>
      <c r="G45" s="84" t="s">
        <v>20</v>
      </c>
      <c r="H45" s="84" t="s">
        <v>51</v>
      </c>
      <c r="I45" s="84" t="s">
        <v>20</v>
      </c>
      <c r="J45" s="82" t="s">
        <v>146</v>
      </c>
      <c r="K45" s="94" t="s">
        <v>147</v>
      </c>
      <c r="L45" s="99" t="s">
        <v>13</v>
      </c>
      <c r="M45" s="86">
        <v>45525.0</v>
      </c>
      <c r="N45" s="87" t="s">
        <v>54</v>
      </c>
      <c r="O45" s="88"/>
      <c r="P45" s="89" t="s">
        <v>18</v>
      </c>
      <c r="Q45" s="90"/>
      <c r="R45" s="91"/>
      <c r="S45" s="88"/>
      <c r="T45" s="85" t="s">
        <v>13</v>
      </c>
      <c r="U45" s="92">
        <v>45519.0</v>
      </c>
      <c r="V45" s="87" t="s">
        <v>54</v>
      </c>
      <c r="W45" s="88"/>
      <c r="X45" s="51"/>
      <c r="Y45" s="33"/>
      <c r="Z45" s="33"/>
      <c r="AA45" s="33"/>
      <c r="AB45" s="33"/>
      <c r="AC45" s="33"/>
    </row>
    <row r="46" ht="15.75" customHeight="1">
      <c r="A46" s="31"/>
      <c r="B46" s="80">
        <f t="shared" si="4"/>
        <v>36</v>
      </c>
      <c r="C46" s="93" t="s">
        <v>148</v>
      </c>
      <c r="D46" s="82" t="s">
        <v>20</v>
      </c>
      <c r="E46" s="83" t="s">
        <v>20</v>
      </c>
      <c r="F46" s="84" t="s">
        <v>20</v>
      </c>
      <c r="G46" s="84" t="s">
        <v>20</v>
      </c>
      <c r="H46" s="84" t="s">
        <v>51</v>
      </c>
      <c r="I46" s="84" t="s">
        <v>20</v>
      </c>
      <c r="J46" s="82" t="s">
        <v>149</v>
      </c>
      <c r="K46" s="94" t="s">
        <v>150</v>
      </c>
      <c r="L46" s="85" t="s">
        <v>13</v>
      </c>
      <c r="M46" s="86">
        <v>45524.0</v>
      </c>
      <c r="N46" s="87" t="s">
        <v>54</v>
      </c>
      <c r="O46" s="88"/>
      <c r="P46" s="89" t="s">
        <v>18</v>
      </c>
      <c r="Q46" s="90"/>
      <c r="R46" s="91"/>
      <c r="S46" s="88"/>
      <c r="T46" s="89"/>
      <c r="U46" s="90"/>
      <c r="V46" s="91"/>
      <c r="W46" s="88"/>
      <c r="X46" s="51"/>
      <c r="Y46" s="33"/>
      <c r="Z46" s="33"/>
      <c r="AA46" s="33"/>
      <c r="AB46" s="33"/>
      <c r="AC46" s="33"/>
    </row>
    <row r="47" ht="15.75" customHeight="1">
      <c r="A47" s="31"/>
      <c r="B47" s="80">
        <f t="shared" si="4"/>
        <v>37</v>
      </c>
      <c r="C47" s="93" t="s">
        <v>148</v>
      </c>
      <c r="D47" s="82" t="s">
        <v>20</v>
      </c>
      <c r="E47" s="100"/>
      <c r="F47" s="101"/>
      <c r="G47" s="101"/>
      <c r="H47" s="84" t="s">
        <v>151</v>
      </c>
      <c r="I47" s="101"/>
      <c r="J47" s="82" t="s">
        <v>152</v>
      </c>
      <c r="K47" s="94" t="s">
        <v>150</v>
      </c>
      <c r="L47" s="85" t="s">
        <v>13</v>
      </c>
      <c r="M47" s="86">
        <v>45524.0</v>
      </c>
      <c r="N47" s="87" t="s">
        <v>54</v>
      </c>
      <c r="O47" s="88"/>
      <c r="P47" s="89" t="s">
        <v>18</v>
      </c>
      <c r="Q47" s="90"/>
      <c r="R47" s="91"/>
      <c r="S47" s="88"/>
      <c r="T47" s="89"/>
      <c r="U47" s="90"/>
      <c r="V47" s="91"/>
      <c r="W47" s="88"/>
      <c r="X47" s="51"/>
      <c r="Y47" s="33"/>
      <c r="Z47" s="33"/>
      <c r="AA47" s="33"/>
      <c r="AB47" s="33"/>
      <c r="AC47" s="33"/>
    </row>
    <row r="48" ht="15.75" customHeight="1">
      <c r="A48" s="31"/>
      <c r="B48" s="80">
        <f t="shared" si="4"/>
        <v>38</v>
      </c>
      <c r="C48" s="93" t="s">
        <v>20</v>
      </c>
      <c r="D48" s="93" t="s">
        <v>153</v>
      </c>
      <c r="E48" s="83" t="s">
        <v>73</v>
      </c>
      <c r="F48" s="84" t="s">
        <v>20</v>
      </c>
      <c r="G48" s="84" t="s">
        <v>20</v>
      </c>
      <c r="H48" s="84" t="s">
        <v>51</v>
      </c>
      <c r="I48" s="84" t="s">
        <v>154</v>
      </c>
      <c r="J48" s="82" t="s">
        <v>155</v>
      </c>
      <c r="K48" s="94" t="s">
        <v>156</v>
      </c>
      <c r="L48" s="85" t="s">
        <v>13</v>
      </c>
      <c r="M48" s="86">
        <v>45520.0</v>
      </c>
      <c r="N48" s="87" t="s">
        <v>54</v>
      </c>
      <c r="O48" s="88"/>
      <c r="P48" s="89" t="s">
        <v>18</v>
      </c>
      <c r="Q48" s="90"/>
      <c r="R48" s="91"/>
      <c r="S48" s="88"/>
      <c r="T48" s="89"/>
      <c r="U48" s="90"/>
      <c r="V48" s="91"/>
      <c r="W48" s="88"/>
      <c r="X48" s="51"/>
      <c r="Y48" s="33"/>
      <c r="Z48" s="33"/>
      <c r="AA48" s="33"/>
      <c r="AB48" s="33"/>
      <c r="AC48" s="33"/>
    </row>
    <row r="49" ht="15.75" customHeight="1">
      <c r="A49" s="31"/>
      <c r="B49" s="80">
        <f t="shared" si="4"/>
        <v>39</v>
      </c>
      <c r="C49" s="93" t="s">
        <v>20</v>
      </c>
      <c r="D49" s="82" t="s">
        <v>72</v>
      </c>
      <c r="E49" s="83" t="s">
        <v>73</v>
      </c>
      <c r="F49" s="84" t="s">
        <v>20</v>
      </c>
      <c r="G49" s="84" t="s">
        <v>20</v>
      </c>
      <c r="H49" s="84" t="s">
        <v>51</v>
      </c>
      <c r="I49" s="84" t="s">
        <v>154</v>
      </c>
      <c r="J49" s="82" t="s">
        <v>157</v>
      </c>
      <c r="K49" s="94" t="s">
        <v>76</v>
      </c>
      <c r="L49" s="85" t="s">
        <v>13</v>
      </c>
      <c r="M49" s="86">
        <v>45520.0</v>
      </c>
      <c r="N49" s="87" t="s">
        <v>54</v>
      </c>
      <c r="O49" s="88"/>
      <c r="P49" s="89" t="s">
        <v>18</v>
      </c>
      <c r="Q49" s="90"/>
      <c r="R49" s="91"/>
      <c r="S49" s="88"/>
      <c r="T49" s="89"/>
      <c r="U49" s="90"/>
      <c r="V49" s="91"/>
      <c r="W49" s="88"/>
      <c r="X49" s="51"/>
      <c r="Y49" s="33"/>
      <c r="Z49" s="33"/>
      <c r="AA49" s="33"/>
      <c r="AB49" s="33"/>
      <c r="AC49" s="33"/>
    </row>
    <row r="50" ht="15.75" customHeight="1">
      <c r="A50" s="31"/>
      <c r="B50" s="80">
        <f t="shared" si="4"/>
        <v>40</v>
      </c>
      <c r="C50" s="93" t="s">
        <v>20</v>
      </c>
      <c r="D50" s="82" t="s">
        <v>77</v>
      </c>
      <c r="E50" s="83" t="s">
        <v>73</v>
      </c>
      <c r="F50" s="84" t="s">
        <v>20</v>
      </c>
      <c r="G50" s="84" t="s">
        <v>20</v>
      </c>
      <c r="H50" s="84" t="s">
        <v>51</v>
      </c>
      <c r="I50" s="84" t="s">
        <v>154</v>
      </c>
      <c r="J50" s="82" t="s">
        <v>158</v>
      </c>
      <c r="K50" s="94" t="s">
        <v>76</v>
      </c>
      <c r="L50" s="85" t="s">
        <v>13</v>
      </c>
      <c r="M50" s="86">
        <v>45520.0</v>
      </c>
      <c r="N50" s="87" t="s">
        <v>54</v>
      </c>
      <c r="O50" s="88"/>
      <c r="P50" s="89" t="s">
        <v>18</v>
      </c>
      <c r="Q50" s="90"/>
      <c r="R50" s="91"/>
      <c r="S50" s="88"/>
      <c r="T50" s="89"/>
      <c r="U50" s="90"/>
      <c r="V50" s="91"/>
      <c r="W50" s="88"/>
      <c r="X50" s="51"/>
      <c r="Y50" s="33"/>
      <c r="Z50" s="33"/>
      <c r="AA50" s="33"/>
      <c r="AB50" s="33"/>
      <c r="AC50" s="33"/>
    </row>
    <row r="51" ht="15.75" customHeight="1">
      <c r="A51" s="31"/>
      <c r="B51" s="80">
        <f t="shared" si="4"/>
        <v>41</v>
      </c>
      <c r="C51" s="93" t="s">
        <v>20</v>
      </c>
      <c r="D51" s="82" t="s">
        <v>79</v>
      </c>
      <c r="E51" s="83" t="s">
        <v>73</v>
      </c>
      <c r="F51" s="84" t="s">
        <v>20</v>
      </c>
      <c r="G51" s="84" t="s">
        <v>20</v>
      </c>
      <c r="H51" s="84" t="s">
        <v>51</v>
      </c>
      <c r="I51" s="84" t="s">
        <v>154</v>
      </c>
      <c r="J51" s="82" t="s">
        <v>159</v>
      </c>
      <c r="K51" s="94" t="s">
        <v>81</v>
      </c>
      <c r="L51" s="85" t="s">
        <v>13</v>
      </c>
      <c r="M51" s="86">
        <v>45520.0</v>
      </c>
      <c r="N51" s="87" t="s">
        <v>54</v>
      </c>
      <c r="O51" s="88"/>
      <c r="P51" s="89" t="s">
        <v>18</v>
      </c>
      <c r="Q51" s="90"/>
      <c r="R51" s="91"/>
      <c r="S51" s="88"/>
      <c r="T51" s="89"/>
      <c r="U51" s="90"/>
      <c r="V51" s="91"/>
      <c r="W51" s="88"/>
      <c r="X51" s="51"/>
      <c r="Y51" s="33"/>
      <c r="Z51" s="33"/>
      <c r="AA51" s="33"/>
      <c r="AB51" s="33"/>
      <c r="AC51" s="33"/>
    </row>
    <row r="52" ht="15.75" customHeight="1">
      <c r="A52" s="31"/>
      <c r="B52" s="80">
        <f t="shared" si="4"/>
        <v>42</v>
      </c>
      <c r="C52" s="93" t="s">
        <v>20</v>
      </c>
      <c r="D52" s="82" t="s">
        <v>82</v>
      </c>
      <c r="E52" s="83" t="s">
        <v>73</v>
      </c>
      <c r="F52" s="84" t="s">
        <v>20</v>
      </c>
      <c r="G52" s="84" t="s">
        <v>20</v>
      </c>
      <c r="H52" s="84" t="s">
        <v>51</v>
      </c>
      <c r="I52" s="84" t="s">
        <v>154</v>
      </c>
      <c r="J52" s="82" t="s">
        <v>160</v>
      </c>
      <c r="K52" s="94" t="s">
        <v>85</v>
      </c>
      <c r="L52" s="85" t="s">
        <v>13</v>
      </c>
      <c r="M52" s="86">
        <v>45520.0</v>
      </c>
      <c r="N52" s="87" t="s">
        <v>54</v>
      </c>
      <c r="O52" s="88"/>
      <c r="P52" s="89" t="s">
        <v>18</v>
      </c>
      <c r="Q52" s="90"/>
      <c r="R52" s="91"/>
      <c r="S52" s="88"/>
      <c r="T52" s="89"/>
      <c r="U52" s="90"/>
      <c r="V52" s="91"/>
      <c r="W52" s="88"/>
      <c r="X52" s="51"/>
      <c r="Y52" s="33"/>
      <c r="Z52" s="33"/>
      <c r="AA52" s="33"/>
      <c r="AB52" s="33"/>
      <c r="AC52" s="33"/>
    </row>
    <row r="53" ht="15.75" customHeight="1">
      <c r="A53" s="31"/>
      <c r="B53" s="80">
        <f t="shared" si="4"/>
        <v>43</v>
      </c>
      <c r="C53" s="93" t="s">
        <v>20</v>
      </c>
      <c r="D53" s="82" t="s">
        <v>20</v>
      </c>
      <c r="E53" s="83" t="s">
        <v>20</v>
      </c>
      <c r="F53" s="84" t="s">
        <v>20</v>
      </c>
      <c r="G53" s="84" t="s">
        <v>20</v>
      </c>
      <c r="H53" s="84" t="s">
        <v>51</v>
      </c>
      <c r="I53" s="84" t="s">
        <v>154</v>
      </c>
      <c r="J53" s="82" t="s">
        <v>161</v>
      </c>
      <c r="K53" s="94" t="s">
        <v>87</v>
      </c>
      <c r="L53" s="85" t="s">
        <v>13</v>
      </c>
      <c r="M53" s="86">
        <v>45520.0</v>
      </c>
      <c r="N53" s="87" t="s">
        <v>54</v>
      </c>
      <c r="O53" s="88"/>
      <c r="P53" s="89" t="s">
        <v>18</v>
      </c>
      <c r="Q53" s="90"/>
      <c r="R53" s="91"/>
      <c r="S53" s="88"/>
      <c r="T53" s="89"/>
      <c r="U53" s="90"/>
      <c r="V53" s="91"/>
      <c r="W53" s="88"/>
      <c r="X53" s="51"/>
      <c r="Y53" s="33"/>
      <c r="Z53" s="33"/>
      <c r="AA53" s="33"/>
      <c r="AB53" s="33"/>
      <c r="AC53" s="33"/>
    </row>
    <row r="54" ht="15.75" customHeight="1">
      <c r="A54" s="31"/>
      <c r="B54" s="80">
        <f t="shared" si="4"/>
        <v>44</v>
      </c>
      <c r="C54" s="93" t="s">
        <v>20</v>
      </c>
      <c r="D54" s="82" t="s">
        <v>88</v>
      </c>
      <c r="E54" s="83" t="s">
        <v>83</v>
      </c>
      <c r="F54" s="84" t="s">
        <v>20</v>
      </c>
      <c r="G54" s="84" t="s">
        <v>20</v>
      </c>
      <c r="H54" s="84" t="s">
        <v>51</v>
      </c>
      <c r="I54" s="84" t="s">
        <v>154</v>
      </c>
      <c r="J54" s="82" t="s">
        <v>162</v>
      </c>
      <c r="K54" s="94" t="s">
        <v>90</v>
      </c>
      <c r="L54" s="85" t="s">
        <v>13</v>
      </c>
      <c r="M54" s="86">
        <v>45520.0</v>
      </c>
      <c r="N54" s="87" t="s">
        <v>54</v>
      </c>
      <c r="O54" s="88"/>
      <c r="P54" s="89" t="s">
        <v>18</v>
      </c>
      <c r="Q54" s="90"/>
      <c r="R54" s="91"/>
      <c r="S54" s="88"/>
      <c r="T54" s="89"/>
      <c r="U54" s="90"/>
      <c r="V54" s="91"/>
      <c r="W54" s="88"/>
      <c r="X54" s="51"/>
      <c r="Y54" s="33"/>
      <c r="Z54" s="33"/>
      <c r="AA54" s="33"/>
      <c r="AB54" s="33"/>
      <c r="AC54" s="33"/>
    </row>
    <row r="55" ht="15.75" customHeight="1">
      <c r="A55" s="31"/>
      <c r="B55" s="80">
        <f t="shared" si="4"/>
        <v>45</v>
      </c>
      <c r="C55" s="93" t="s">
        <v>20</v>
      </c>
      <c r="D55" s="82" t="s">
        <v>91</v>
      </c>
      <c r="E55" s="83" t="s">
        <v>83</v>
      </c>
      <c r="F55" s="84" t="s">
        <v>20</v>
      </c>
      <c r="G55" s="84" t="s">
        <v>20</v>
      </c>
      <c r="H55" s="84" t="s">
        <v>51</v>
      </c>
      <c r="I55" s="84" t="s">
        <v>154</v>
      </c>
      <c r="J55" s="82" t="s">
        <v>163</v>
      </c>
      <c r="K55" s="94" t="s">
        <v>93</v>
      </c>
      <c r="L55" s="85" t="s">
        <v>13</v>
      </c>
      <c r="M55" s="86">
        <v>45520.0</v>
      </c>
      <c r="N55" s="87" t="s">
        <v>54</v>
      </c>
      <c r="O55" s="88"/>
      <c r="P55" s="89" t="s">
        <v>18</v>
      </c>
      <c r="Q55" s="90"/>
      <c r="R55" s="91"/>
      <c r="S55" s="88"/>
      <c r="T55" s="89"/>
      <c r="U55" s="90"/>
      <c r="V55" s="91"/>
      <c r="W55" s="88"/>
      <c r="X55" s="51"/>
      <c r="Y55" s="33"/>
      <c r="Z55" s="33"/>
      <c r="AA55" s="33"/>
      <c r="AB55" s="33"/>
      <c r="AC55" s="33"/>
    </row>
    <row r="56" ht="15.75" customHeight="1">
      <c r="A56" s="31"/>
      <c r="B56" s="80">
        <f t="shared" si="4"/>
        <v>46</v>
      </c>
      <c r="C56" s="93" t="s">
        <v>20</v>
      </c>
      <c r="D56" s="82" t="s">
        <v>94</v>
      </c>
      <c r="E56" s="83" t="s">
        <v>83</v>
      </c>
      <c r="F56" s="84" t="s">
        <v>20</v>
      </c>
      <c r="G56" s="84" t="s">
        <v>20</v>
      </c>
      <c r="H56" s="84" t="s">
        <v>51</v>
      </c>
      <c r="I56" s="84" t="s">
        <v>154</v>
      </c>
      <c r="J56" s="82" t="s">
        <v>164</v>
      </c>
      <c r="K56" s="94" t="s">
        <v>96</v>
      </c>
      <c r="L56" s="85" t="s">
        <v>13</v>
      </c>
      <c r="M56" s="86">
        <v>45520.0</v>
      </c>
      <c r="N56" s="87" t="s">
        <v>54</v>
      </c>
      <c r="O56" s="88"/>
      <c r="P56" s="89" t="s">
        <v>18</v>
      </c>
      <c r="Q56" s="90"/>
      <c r="R56" s="91"/>
      <c r="S56" s="88"/>
      <c r="T56" s="89"/>
      <c r="U56" s="90"/>
      <c r="V56" s="91"/>
      <c r="W56" s="88"/>
      <c r="X56" s="51"/>
      <c r="Y56" s="33"/>
      <c r="Z56" s="33"/>
      <c r="AA56" s="33"/>
      <c r="AB56" s="33"/>
      <c r="AC56" s="33"/>
    </row>
    <row r="57" ht="15.75" customHeight="1">
      <c r="A57" s="31"/>
      <c r="B57" s="80">
        <f t="shared" si="4"/>
        <v>47</v>
      </c>
      <c r="C57" s="93" t="s">
        <v>20</v>
      </c>
      <c r="D57" s="82" t="s">
        <v>97</v>
      </c>
      <c r="E57" s="83" t="s">
        <v>83</v>
      </c>
      <c r="F57" s="84" t="s">
        <v>20</v>
      </c>
      <c r="G57" s="84" t="s">
        <v>20</v>
      </c>
      <c r="H57" s="84" t="s">
        <v>51</v>
      </c>
      <c r="I57" s="84" t="s">
        <v>154</v>
      </c>
      <c r="J57" s="82" t="s">
        <v>165</v>
      </c>
      <c r="K57" s="94" t="s">
        <v>99</v>
      </c>
      <c r="L57" s="85" t="s">
        <v>13</v>
      </c>
      <c r="M57" s="86">
        <v>45520.0</v>
      </c>
      <c r="N57" s="87" t="s">
        <v>54</v>
      </c>
      <c r="O57" s="88"/>
      <c r="P57" s="89" t="s">
        <v>18</v>
      </c>
      <c r="Q57" s="90"/>
      <c r="R57" s="91"/>
      <c r="S57" s="88"/>
      <c r="T57" s="89"/>
      <c r="U57" s="90"/>
      <c r="V57" s="91"/>
      <c r="W57" s="88"/>
      <c r="X57" s="51"/>
      <c r="Y57" s="33"/>
      <c r="Z57" s="33"/>
      <c r="AA57" s="33"/>
      <c r="AB57" s="33"/>
      <c r="AC57" s="33"/>
    </row>
    <row r="58" ht="15.75" customHeight="1">
      <c r="A58" s="31"/>
      <c r="B58" s="80">
        <f t="shared" si="4"/>
        <v>48</v>
      </c>
      <c r="C58" s="93" t="s">
        <v>20</v>
      </c>
      <c r="D58" s="82" t="s">
        <v>100</v>
      </c>
      <c r="E58" s="83" t="s">
        <v>83</v>
      </c>
      <c r="F58" s="84" t="s">
        <v>20</v>
      </c>
      <c r="G58" s="84" t="s">
        <v>20</v>
      </c>
      <c r="H58" s="84" t="s">
        <v>51</v>
      </c>
      <c r="I58" s="84" t="s">
        <v>154</v>
      </c>
      <c r="J58" s="82" t="s">
        <v>166</v>
      </c>
      <c r="K58" s="94" t="s">
        <v>102</v>
      </c>
      <c r="L58" s="85" t="s">
        <v>13</v>
      </c>
      <c r="M58" s="86">
        <v>45520.0</v>
      </c>
      <c r="N58" s="87" t="s">
        <v>54</v>
      </c>
      <c r="O58" s="88"/>
      <c r="P58" s="89" t="s">
        <v>18</v>
      </c>
      <c r="Q58" s="90"/>
      <c r="R58" s="91"/>
      <c r="S58" s="88"/>
      <c r="T58" s="89"/>
      <c r="U58" s="90"/>
      <c r="V58" s="91"/>
      <c r="W58" s="88"/>
      <c r="X58" s="51"/>
      <c r="Y58" s="33"/>
      <c r="Z58" s="33"/>
      <c r="AA58" s="33"/>
      <c r="AB58" s="33"/>
      <c r="AC58" s="33"/>
    </row>
    <row r="59" ht="15.75" customHeight="1">
      <c r="A59" s="31"/>
      <c r="B59" s="80">
        <f t="shared" si="4"/>
        <v>49</v>
      </c>
      <c r="C59" s="93" t="s">
        <v>20</v>
      </c>
      <c r="D59" s="82" t="s">
        <v>103</v>
      </c>
      <c r="E59" s="83" t="s">
        <v>83</v>
      </c>
      <c r="F59" s="84" t="s">
        <v>20</v>
      </c>
      <c r="G59" s="84" t="s">
        <v>20</v>
      </c>
      <c r="H59" s="84" t="s">
        <v>51</v>
      </c>
      <c r="I59" s="84" t="s">
        <v>154</v>
      </c>
      <c r="J59" s="82" t="s">
        <v>167</v>
      </c>
      <c r="K59" s="94" t="s">
        <v>105</v>
      </c>
      <c r="L59" s="85" t="s">
        <v>13</v>
      </c>
      <c r="M59" s="86">
        <v>45520.0</v>
      </c>
      <c r="N59" s="87" t="s">
        <v>54</v>
      </c>
      <c r="O59" s="88"/>
      <c r="P59" s="89" t="s">
        <v>18</v>
      </c>
      <c r="Q59" s="90"/>
      <c r="R59" s="91"/>
      <c r="S59" s="88"/>
      <c r="T59" s="89"/>
      <c r="U59" s="90"/>
      <c r="V59" s="91"/>
      <c r="W59" s="88"/>
      <c r="X59" s="51"/>
      <c r="Y59" s="33"/>
      <c r="Z59" s="33"/>
      <c r="AA59" s="33"/>
      <c r="AB59" s="33"/>
      <c r="AC59" s="33"/>
    </row>
    <row r="60" ht="15.75" customHeight="1">
      <c r="A60" s="31"/>
      <c r="B60" s="80">
        <f t="shared" si="4"/>
        <v>50</v>
      </c>
      <c r="C60" s="93" t="s">
        <v>20</v>
      </c>
      <c r="D60" s="82" t="s">
        <v>106</v>
      </c>
      <c r="E60" s="83" t="s">
        <v>83</v>
      </c>
      <c r="F60" s="84" t="s">
        <v>20</v>
      </c>
      <c r="G60" s="84" t="s">
        <v>20</v>
      </c>
      <c r="H60" s="84" t="s">
        <v>51</v>
      </c>
      <c r="I60" s="84" t="s">
        <v>154</v>
      </c>
      <c r="J60" s="82" t="s">
        <v>168</v>
      </c>
      <c r="K60" s="94" t="s">
        <v>108</v>
      </c>
      <c r="L60" s="85" t="s">
        <v>13</v>
      </c>
      <c r="M60" s="86">
        <v>45520.0</v>
      </c>
      <c r="N60" s="87" t="s">
        <v>54</v>
      </c>
      <c r="O60" s="88"/>
      <c r="P60" s="89" t="s">
        <v>18</v>
      </c>
      <c r="Q60" s="90"/>
      <c r="R60" s="91"/>
      <c r="S60" s="88"/>
      <c r="T60" s="89"/>
      <c r="U60" s="90"/>
      <c r="V60" s="91"/>
      <c r="W60" s="88"/>
      <c r="X60" s="51"/>
      <c r="Y60" s="33"/>
      <c r="Z60" s="33"/>
      <c r="AA60" s="33"/>
      <c r="AB60" s="33"/>
      <c r="AC60" s="33"/>
    </row>
    <row r="61" ht="15.75" customHeight="1">
      <c r="A61" s="31"/>
      <c r="B61" s="80">
        <f t="shared" si="4"/>
        <v>51</v>
      </c>
      <c r="C61" s="93" t="s">
        <v>20</v>
      </c>
      <c r="D61" s="82" t="s">
        <v>109</v>
      </c>
      <c r="E61" s="83" t="s">
        <v>83</v>
      </c>
      <c r="F61" s="84" t="s">
        <v>20</v>
      </c>
      <c r="G61" s="84" t="s">
        <v>20</v>
      </c>
      <c r="H61" s="84" t="s">
        <v>51</v>
      </c>
      <c r="I61" s="84" t="s">
        <v>154</v>
      </c>
      <c r="J61" s="82" t="s">
        <v>169</v>
      </c>
      <c r="K61" s="94" t="s">
        <v>111</v>
      </c>
      <c r="L61" s="85" t="s">
        <v>13</v>
      </c>
      <c r="M61" s="86">
        <v>45520.0</v>
      </c>
      <c r="N61" s="87" t="s">
        <v>54</v>
      </c>
      <c r="O61" s="88"/>
      <c r="P61" s="89" t="s">
        <v>18</v>
      </c>
      <c r="Q61" s="90"/>
      <c r="R61" s="91"/>
      <c r="S61" s="88"/>
      <c r="T61" s="89"/>
      <c r="U61" s="90"/>
      <c r="V61" s="91"/>
      <c r="W61" s="88"/>
      <c r="X61" s="51"/>
      <c r="Y61" s="33"/>
      <c r="Z61" s="33"/>
      <c r="AA61" s="33"/>
      <c r="AB61" s="33"/>
      <c r="AC61" s="33"/>
    </row>
    <row r="62" ht="15.75" customHeight="1">
      <c r="A62" s="31"/>
      <c r="B62" s="80">
        <f t="shared" si="4"/>
        <v>52</v>
      </c>
      <c r="C62" s="93" t="s">
        <v>20</v>
      </c>
      <c r="D62" s="82" t="s">
        <v>112</v>
      </c>
      <c r="E62" s="83" t="s">
        <v>83</v>
      </c>
      <c r="F62" s="84" t="s">
        <v>20</v>
      </c>
      <c r="G62" s="84" t="s">
        <v>20</v>
      </c>
      <c r="H62" s="84" t="s">
        <v>51</v>
      </c>
      <c r="I62" s="84" t="s">
        <v>154</v>
      </c>
      <c r="J62" s="82" t="s">
        <v>170</v>
      </c>
      <c r="K62" s="94" t="s">
        <v>114</v>
      </c>
      <c r="L62" s="85" t="s">
        <v>13</v>
      </c>
      <c r="M62" s="86">
        <v>45520.0</v>
      </c>
      <c r="N62" s="87" t="s">
        <v>54</v>
      </c>
      <c r="O62" s="88"/>
      <c r="P62" s="89" t="s">
        <v>18</v>
      </c>
      <c r="Q62" s="90"/>
      <c r="R62" s="91"/>
      <c r="S62" s="88"/>
      <c r="T62" s="89"/>
      <c r="U62" s="90"/>
      <c r="V62" s="91"/>
      <c r="W62" s="88"/>
      <c r="X62" s="51"/>
      <c r="Y62" s="33"/>
      <c r="Z62" s="33"/>
      <c r="AA62" s="33"/>
      <c r="AB62" s="33"/>
      <c r="AC62" s="33"/>
    </row>
    <row r="63" ht="15.75" customHeight="1">
      <c r="A63" s="31"/>
      <c r="B63" s="80">
        <f t="shared" si="4"/>
        <v>53</v>
      </c>
      <c r="C63" s="93" t="s">
        <v>20</v>
      </c>
      <c r="D63" s="82" t="s">
        <v>115</v>
      </c>
      <c r="E63" s="83" t="s">
        <v>83</v>
      </c>
      <c r="F63" s="84" t="s">
        <v>20</v>
      </c>
      <c r="G63" s="84" t="s">
        <v>20</v>
      </c>
      <c r="H63" s="84" t="s">
        <v>51</v>
      </c>
      <c r="I63" s="84" t="s">
        <v>154</v>
      </c>
      <c r="J63" s="82" t="s">
        <v>171</v>
      </c>
      <c r="K63" s="94" t="s">
        <v>117</v>
      </c>
      <c r="L63" s="85" t="s">
        <v>13</v>
      </c>
      <c r="M63" s="86">
        <v>45520.0</v>
      </c>
      <c r="N63" s="87" t="s">
        <v>54</v>
      </c>
      <c r="O63" s="88"/>
      <c r="P63" s="89" t="s">
        <v>18</v>
      </c>
      <c r="Q63" s="90"/>
      <c r="R63" s="91"/>
      <c r="S63" s="88"/>
      <c r="T63" s="89"/>
      <c r="U63" s="90"/>
      <c r="V63" s="91"/>
      <c r="W63" s="88"/>
      <c r="X63" s="51"/>
      <c r="Y63" s="33"/>
      <c r="Z63" s="33"/>
      <c r="AA63" s="33"/>
      <c r="AB63" s="33"/>
      <c r="AC63" s="33"/>
    </row>
    <row r="64" ht="15.75" customHeight="1">
      <c r="A64" s="31"/>
      <c r="B64" s="80">
        <f t="shared" si="4"/>
        <v>54</v>
      </c>
      <c r="C64" s="93" t="s">
        <v>20</v>
      </c>
      <c r="D64" s="82" t="s">
        <v>118</v>
      </c>
      <c r="E64" s="83" t="s">
        <v>83</v>
      </c>
      <c r="F64" s="84" t="s">
        <v>20</v>
      </c>
      <c r="G64" s="84" t="s">
        <v>20</v>
      </c>
      <c r="H64" s="84" t="s">
        <v>51</v>
      </c>
      <c r="I64" s="84" t="s">
        <v>154</v>
      </c>
      <c r="J64" s="82" t="s">
        <v>172</v>
      </c>
      <c r="K64" s="94" t="s">
        <v>120</v>
      </c>
      <c r="L64" s="85" t="s">
        <v>13</v>
      </c>
      <c r="M64" s="86">
        <v>45520.0</v>
      </c>
      <c r="N64" s="87" t="s">
        <v>54</v>
      </c>
      <c r="O64" s="88"/>
      <c r="P64" s="89" t="s">
        <v>18</v>
      </c>
      <c r="Q64" s="90"/>
      <c r="R64" s="91"/>
      <c r="S64" s="88"/>
      <c r="T64" s="89"/>
      <c r="U64" s="90"/>
      <c r="V64" s="91"/>
      <c r="W64" s="88"/>
      <c r="X64" s="51"/>
      <c r="Y64" s="33"/>
      <c r="Z64" s="33"/>
      <c r="AA64" s="33"/>
      <c r="AB64" s="33"/>
      <c r="AC64" s="33"/>
    </row>
    <row r="65" ht="15.75" customHeight="1">
      <c r="A65" s="31"/>
      <c r="B65" s="80">
        <f t="shared" si="4"/>
        <v>55</v>
      </c>
      <c r="C65" s="93" t="s">
        <v>20</v>
      </c>
      <c r="D65" s="82" t="s">
        <v>121</v>
      </c>
      <c r="E65" s="83" t="s">
        <v>83</v>
      </c>
      <c r="F65" s="84" t="s">
        <v>20</v>
      </c>
      <c r="G65" s="84" t="s">
        <v>20</v>
      </c>
      <c r="H65" s="84" t="s">
        <v>51</v>
      </c>
      <c r="I65" s="84" t="s">
        <v>154</v>
      </c>
      <c r="J65" s="82" t="s">
        <v>173</v>
      </c>
      <c r="K65" s="94" t="s">
        <v>123</v>
      </c>
      <c r="L65" s="85" t="s">
        <v>13</v>
      </c>
      <c r="M65" s="86">
        <v>45520.0</v>
      </c>
      <c r="N65" s="87" t="s">
        <v>54</v>
      </c>
      <c r="O65" s="88"/>
      <c r="P65" s="89" t="s">
        <v>18</v>
      </c>
      <c r="Q65" s="90"/>
      <c r="R65" s="91"/>
      <c r="S65" s="88"/>
      <c r="T65" s="89"/>
      <c r="U65" s="90"/>
      <c r="V65" s="91"/>
      <c r="W65" s="88"/>
      <c r="X65" s="51"/>
      <c r="Y65" s="33"/>
      <c r="Z65" s="33"/>
      <c r="AA65" s="33"/>
      <c r="AB65" s="33"/>
      <c r="AC65" s="33"/>
    </row>
    <row r="66" ht="15.75" customHeight="1">
      <c r="A66" s="31"/>
      <c r="B66" s="80">
        <f t="shared" si="4"/>
        <v>56</v>
      </c>
      <c r="C66" s="93" t="s">
        <v>20</v>
      </c>
      <c r="D66" s="82" t="s">
        <v>124</v>
      </c>
      <c r="E66" s="83" t="s">
        <v>83</v>
      </c>
      <c r="F66" s="84" t="s">
        <v>20</v>
      </c>
      <c r="G66" s="84" t="s">
        <v>20</v>
      </c>
      <c r="H66" s="84" t="s">
        <v>51</v>
      </c>
      <c r="I66" s="84" t="s">
        <v>154</v>
      </c>
      <c r="J66" s="82" t="s">
        <v>174</v>
      </c>
      <c r="K66" s="94" t="s">
        <v>126</v>
      </c>
      <c r="L66" s="85" t="s">
        <v>13</v>
      </c>
      <c r="M66" s="86">
        <v>45520.0</v>
      </c>
      <c r="N66" s="87" t="s">
        <v>54</v>
      </c>
      <c r="O66" s="88"/>
      <c r="P66" s="89" t="s">
        <v>18</v>
      </c>
      <c r="Q66" s="90"/>
      <c r="R66" s="91"/>
      <c r="S66" s="88"/>
      <c r="T66" s="89"/>
      <c r="U66" s="90"/>
      <c r="V66" s="91"/>
      <c r="W66" s="88"/>
      <c r="X66" s="51"/>
      <c r="Y66" s="33"/>
      <c r="Z66" s="33"/>
      <c r="AA66" s="33"/>
      <c r="AB66" s="33"/>
      <c r="AC66" s="33"/>
    </row>
    <row r="67" ht="15.75" customHeight="1">
      <c r="A67" s="31"/>
      <c r="B67" s="80">
        <f t="shared" si="4"/>
        <v>57</v>
      </c>
      <c r="C67" s="93" t="s">
        <v>20</v>
      </c>
      <c r="D67" s="82" t="s">
        <v>175</v>
      </c>
      <c r="E67" s="83" t="s">
        <v>83</v>
      </c>
      <c r="F67" s="84" t="s">
        <v>20</v>
      </c>
      <c r="G67" s="84" t="s">
        <v>20</v>
      </c>
      <c r="H67" s="84" t="s">
        <v>51</v>
      </c>
      <c r="I67" s="84" t="s">
        <v>154</v>
      </c>
      <c r="J67" s="82" t="s">
        <v>176</v>
      </c>
      <c r="K67" s="94" t="s">
        <v>129</v>
      </c>
      <c r="L67" s="85" t="s">
        <v>13</v>
      </c>
      <c r="M67" s="86">
        <v>45520.0</v>
      </c>
      <c r="N67" s="87" t="s">
        <v>54</v>
      </c>
      <c r="O67" s="88"/>
      <c r="P67" s="89" t="s">
        <v>18</v>
      </c>
      <c r="Q67" s="90"/>
      <c r="R67" s="91"/>
      <c r="S67" s="88"/>
      <c r="T67" s="89"/>
      <c r="U67" s="90"/>
      <c r="V67" s="91"/>
      <c r="W67" s="88"/>
      <c r="X67" s="51"/>
      <c r="Y67" s="33"/>
      <c r="Z67" s="33"/>
      <c r="AA67" s="33"/>
      <c r="AB67" s="33"/>
      <c r="AC67" s="33"/>
    </row>
    <row r="68" ht="15.75" customHeight="1">
      <c r="A68" s="31"/>
      <c r="B68" s="80">
        <f t="shared" si="4"/>
        <v>58</v>
      </c>
      <c r="C68" s="93" t="s">
        <v>20</v>
      </c>
      <c r="D68" s="82" t="s">
        <v>130</v>
      </c>
      <c r="E68" s="83" t="s">
        <v>83</v>
      </c>
      <c r="F68" s="84" t="s">
        <v>20</v>
      </c>
      <c r="G68" s="84" t="s">
        <v>20</v>
      </c>
      <c r="H68" s="84" t="s">
        <v>51</v>
      </c>
      <c r="I68" s="84" t="s">
        <v>154</v>
      </c>
      <c r="J68" s="82" t="s">
        <v>177</v>
      </c>
      <c r="K68" s="94" t="s">
        <v>132</v>
      </c>
      <c r="L68" s="85" t="s">
        <v>13</v>
      </c>
      <c r="M68" s="86">
        <v>45520.0</v>
      </c>
      <c r="N68" s="87" t="s">
        <v>54</v>
      </c>
      <c r="O68" s="88"/>
      <c r="P68" s="89" t="s">
        <v>18</v>
      </c>
      <c r="Q68" s="90"/>
      <c r="R68" s="91"/>
      <c r="S68" s="88"/>
      <c r="T68" s="89"/>
      <c r="U68" s="90"/>
      <c r="V68" s="91"/>
      <c r="W68" s="88"/>
      <c r="X68" s="51"/>
      <c r="Y68" s="33"/>
      <c r="Z68" s="33"/>
      <c r="AA68" s="33"/>
      <c r="AB68" s="33"/>
      <c r="AC68" s="33"/>
    </row>
    <row r="69" ht="15.75" customHeight="1">
      <c r="A69" s="31"/>
      <c r="B69" s="80">
        <f t="shared" si="4"/>
        <v>59</v>
      </c>
      <c r="C69" s="93" t="s">
        <v>20</v>
      </c>
      <c r="D69" s="82" t="s">
        <v>133</v>
      </c>
      <c r="E69" s="83" t="s">
        <v>83</v>
      </c>
      <c r="F69" s="84" t="s">
        <v>20</v>
      </c>
      <c r="G69" s="84" t="s">
        <v>20</v>
      </c>
      <c r="H69" s="84" t="s">
        <v>51</v>
      </c>
      <c r="I69" s="84" t="s">
        <v>154</v>
      </c>
      <c r="J69" s="82" t="s">
        <v>178</v>
      </c>
      <c r="K69" s="94" t="s">
        <v>135</v>
      </c>
      <c r="L69" s="85" t="s">
        <v>13</v>
      </c>
      <c r="M69" s="86">
        <v>45520.0</v>
      </c>
      <c r="N69" s="87" t="s">
        <v>54</v>
      </c>
      <c r="O69" s="88"/>
      <c r="P69" s="89" t="s">
        <v>18</v>
      </c>
      <c r="Q69" s="90"/>
      <c r="R69" s="91"/>
      <c r="S69" s="88"/>
      <c r="T69" s="89"/>
      <c r="U69" s="90"/>
      <c r="V69" s="91"/>
      <c r="W69" s="88"/>
      <c r="X69" s="51"/>
      <c r="Y69" s="33"/>
      <c r="Z69" s="33"/>
      <c r="AA69" s="33"/>
      <c r="AB69" s="33"/>
      <c r="AC69" s="33"/>
    </row>
    <row r="70" ht="15.75" customHeight="1">
      <c r="A70" s="31"/>
      <c r="B70" s="80">
        <f t="shared" si="4"/>
        <v>60</v>
      </c>
      <c r="C70" s="93" t="s">
        <v>20</v>
      </c>
      <c r="D70" s="82" t="s">
        <v>136</v>
      </c>
      <c r="E70" s="83" t="s">
        <v>83</v>
      </c>
      <c r="F70" s="84" t="s">
        <v>20</v>
      </c>
      <c r="G70" s="84" t="s">
        <v>20</v>
      </c>
      <c r="H70" s="84" t="s">
        <v>51</v>
      </c>
      <c r="I70" s="84" t="s">
        <v>154</v>
      </c>
      <c r="J70" s="82" t="s">
        <v>179</v>
      </c>
      <c r="K70" s="94" t="s">
        <v>138</v>
      </c>
      <c r="L70" s="85" t="s">
        <v>13</v>
      </c>
      <c r="M70" s="86">
        <v>45520.0</v>
      </c>
      <c r="N70" s="87" t="s">
        <v>54</v>
      </c>
      <c r="O70" s="88"/>
      <c r="P70" s="89" t="s">
        <v>18</v>
      </c>
      <c r="Q70" s="90"/>
      <c r="R70" s="91"/>
      <c r="S70" s="88"/>
      <c r="T70" s="89"/>
      <c r="U70" s="90"/>
      <c r="V70" s="91"/>
      <c r="W70" s="88"/>
      <c r="X70" s="51"/>
      <c r="Y70" s="33"/>
      <c r="Z70" s="33"/>
      <c r="AA70" s="33"/>
      <c r="AB70" s="33"/>
      <c r="AC70" s="33"/>
    </row>
    <row r="71" ht="15.75" customHeight="1">
      <c r="A71" s="31"/>
      <c r="B71" s="80">
        <f t="shared" si="4"/>
        <v>61</v>
      </c>
      <c r="C71" s="93" t="s">
        <v>20</v>
      </c>
      <c r="D71" s="82" t="s">
        <v>139</v>
      </c>
      <c r="E71" s="83" t="s">
        <v>83</v>
      </c>
      <c r="F71" s="84" t="s">
        <v>20</v>
      </c>
      <c r="G71" s="84" t="s">
        <v>20</v>
      </c>
      <c r="H71" s="84" t="s">
        <v>51</v>
      </c>
      <c r="I71" s="84" t="s">
        <v>154</v>
      </c>
      <c r="J71" s="82" t="s">
        <v>180</v>
      </c>
      <c r="K71" s="94" t="s">
        <v>141</v>
      </c>
      <c r="L71" s="85" t="s">
        <v>13</v>
      </c>
      <c r="M71" s="86">
        <v>45520.0</v>
      </c>
      <c r="N71" s="87" t="s">
        <v>54</v>
      </c>
      <c r="O71" s="88"/>
      <c r="P71" s="89" t="s">
        <v>18</v>
      </c>
      <c r="Q71" s="90"/>
      <c r="R71" s="91"/>
      <c r="S71" s="88"/>
      <c r="T71" s="89"/>
      <c r="U71" s="90"/>
      <c r="V71" s="91"/>
      <c r="W71" s="88"/>
      <c r="X71" s="51"/>
      <c r="Y71" s="33"/>
      <c r="Z71" s="33"/>
      <c r="AA71" s="33"/>
      <c r="AB71" s="33"/>
      <c r="AC71" s="33"/>
    </row>
    <row r="72" ht="15.75" customHeight="1">
      <c r="A72" s="31"/>
      <c r="B72" s="80">
        <f t="shared" si="4"/>
        <v>62</v>
      </c>
      <c r="C72" s="93" t="s">
        <v>20</v>
      </c>
      <c r="D72" s="82" t="s">
        <v>142</v>
      </c>
      <c r="E72" s="83" t="s">
        <v>83</v>
      </c>
      <c r="F72" s="84" t="s">
        <v>20</v>
      </c>
      <c r="G72" s="84" t="s">
        <v>20</v>
      </c>
      <c r="H72" s="84" t="s">
        <v>51</v>
      </c>
      <c r="I72" s="84" t="s">
        <v>154</v>
      </c>
      <c r="J72" s="82" t="s">
        <v>181</v>
      </c>
      <c r="K72" s="94" t="s">
        <v>144</v>
      </c>
      <c r="L72" s="85" t="s">
        <v>13</v>
      </c>
      <c r="M72" s="86">
        <v>45520.0</v>
      </c>
      <c r="N72" s="87" t="s">
        <v>54</v>
      </c>
      <c r="O72" s="88"/>
      <c r="P72" s="89" t="s">
        <v>18</v>
      </c>
      <c r="Q72" s="90"/>
      <c r="R72" s="91"/>
      <c r="S72" s="88"/>
      <c r="T72" s="89"/>
      <c r="U72" s="90"/>
      <c r="V72" s="91"/>
      <c r="W72" s="88"/>
      <c r="X72" s="51"/>
      <c r="Y72" s="33"/>
      <c r="Z72" s="33"/>
      <c r="AA72" s="33"/>
      <c r="AB72" s="33"/>
      <c r="AC72" s="33"/>
    </row>
    <row r="73" ht="15.75" customHeight="1">
      <c r="A73" s="31"/>
      <c r="B73" s="80">
        <f t="shared" si="4"/>
        <v>63</v>
      </c>
      <c r="C73" s="93" t="s">
        <v>20</v>
      </c>
      <c r="D73" s="82" t="s">
        <v>145</v>
      </c>
      <c r="E73" s="83" t="s">
        <v>83</v>
      </c>
      <c r="F73" s="84" t="s">
        <v>20</v>
      </c>
      <c r="G73" s="84" t="s">
        <v>20</v>
      </c>
      <c r="H73" s="84" t="s">
        <v>51</v>
      </c>
      <c r="I73" s="84" t="s">
        <v>154</v>
      </c>
      <c r="J73" s="82" t="s">
        <v>182</v>
      </c>
      <c r="K73" s="94" t="s">
        <v>147</v>
      </c>
      <c r="L73" s="85" t="s">
        <v>13</v>
      </c>
      <c r="M73" s="86">
        <v>45520.0</v>
      </c>
      <c r="N73" s="87" t="s">
        <v>54</v>
      </c>
      <c r="O73" s="88"/>
      <c r="P73" s="89" t="s">
        <v>18</v>
      </c>
      <c r="Q73" s="90"/>
      <c r="R73" s="91"/>
      <c r="S73" s="88"/>
      <c r="T73" s="89"/>
      <c r="U73" s="90"/>
      <c r="V73" s="91"/>
      <c r="W73" s="88"/>
      <c r="X73" s="51"/>
      <c r="Y73" s="33"/>
      <c r="Z73" s="33"/>
      <c r="AA73" s="33"/>
      <c r="AB73" s="33"/>
      <c r="AC73" s="33"/>
    </row>
    <row r="74" ht="15.75" customHeight="1">
      <c r="A74" s="31"/>
      <c r="B74" s="80">
        <f t="shared" si="4"/>
        <v>64</v>
      </c>
      <c r="C74" s="93" t="s">
        <v>183</v>
      </c>
      <c r="D74" s="82" t="s">
        <v>20</v>
      </c>
      <c r="E74" s="83" t="s">
        <v>83</v>
      </c>
      <c r="F74" s="84" t="s">
        <v>20</v>
      </c>
      <c r="G74" s="84" t="s">
        <v>20</v>
      </c>
      <c r="H74" s="84" t="s">
        <v>51</v>
      </c>
      <c r="I74" s="84" t="s">
        <v>20</v>
      </c>
      <c r="J74" s="82" t="s">
        <v>184</v>
      </c>
      <c r="K74" s="94" t="s">
        <v>185</v>
      </c>
      <c r="L74" s="85" t="s">
        <v>13</v>
      </c>
      <c r="M74" s="86">
        <v>45520.0</v>
      </c>
      <c r="N74" s="87" t="s">
        <v>54</v>
      </c>
      <c r="O74" s="88"/>
      <c r="P74" s="89" t="s">
        <v>18</v>
      </c>
      <c r="Q74" s="90"/>
      <c r="R74" s="91"/>
      <c r="S74" s="88"/>
      <c r="T74" s="89"/>
      <c r="U74" s="90"/>
      <c r="V74" s="91"/>
      <c r="W74" s="88"/>
      <c r="X74" s="51"/>
      <c r="Y74" s="33"/>
      <c r="Z74" s="33"/>
      <c r="AA74" s="33"/>
      <c r="AB74" s="33"/>
      <c r="AC74" s="33"/>
    </row>
    <row r="75" ht="15.75" customHeight="1">
      <c r="A75" s="31"/>
      <c r="B75" s="80">
        <f t="shared" si="4"/>
        <v>65</v>
      </c>
      <c r="C75" s="93" t="s">
        <v>183</v>
      </c>
      <c r="D75" s="82" t="s">
        <v>20</v>
      </c>
      <c r="E75" s="83" t="s">
        <v>83</v>
      </c>
      <c r="F75" s="84" t="s">
        <v>20</v>
      </c>
      <c r="G75" s="84" t="s">
        <v>20</v>
      </c>
      <c r="H75" s="84" t="s">
        <v>151</v>
      </c>
      <c r="I75" s="84" t="s">
        <v>20</v>
      </c>
      <c r="J75" s="102" t="s">
        <v>186</v>
      </c>
      <c r="K75" s="94" t="s">
        <v>185</v>
      </c>
      <c r="L75" s="85" t="s">
        <v>13</v>
      </c>
      <c r="M75" s="86">
        <v>45520.0</v>
      </c>
      <c r="N75" s="87" t="s">
        <v>54</v>
      </c>
      <c r="O75" s="88"/>
      <c r="P75" s="89" t="s">
        <v>18</v>
      </c>
      <c r="Q75" s="90"/>
      <c r="R75" s="91"/>
      <c r="S75" s="88"/>
      <c r="T75" s="89"/>
      <c r="U75" s="90"/>
      <c r="V75" s="91"/>
      <c r="W75" s="88"/>
      <c r="X75" s="51"/>
      <c r="Y75" s="33"/>
      <c r="Z75" s="33"/>
      <c r="AA75" s="33"/>
      <c r="AB75" s="33"/>
      <c r="AC75" s="33"/>
    </row>
    <row r="76" ht="15.75" customHeight="1">
      <c r="A76" s="31"/>
      <c r="B76" s="80">
        <f t="shared" si="4"/>
        <v>66</v>
      </c>
      <c r="C76" s="93" t="s">
        <v>187</v>
      </c>
      <c r="D76" s="82" t="s">
        <v>20</v>
      </c>
      <c r="E76" s="83" t="s">
        <v>20</v>
      </c>
      <c r="F76" s="84" t="s">
        <v>20</v>
      </c>
      <c r="G76" s="84" t="s">
        <v>20</v>
      </c>
      <c r="H76" s="84" t="s">
        <v>51</v>
      </c>
      <c r="I76" s="84" t="s">
        <v>20</v>
      </c>
      <c r="J76" s="82" t="s">
        <v>188</v>
      </c>
      <c r="K76" s="94" t="s">
        <v>189</v>
      </c>
      <c r="L76" s="85" t="s">
        <v>13</v>
      </c>
      <c r="M76" s="86">
        <v>45524.0</v>
      </c>
      <c r="N76" s="87" t="s">
        <v>54</v>
      </c>
      <c r="O76" s="88"/>
      <c r="P76" s="103" t="s">
        <v>18</v>
      </c>
      <c r="Q76" s="90"/>
      <c r="R76" s="91"/>
      <c r="S76" s="88"/>
      <c r="T76" s="89"/>
      <c r="U76" s="90"/>
      <c r="V76" s="91"/>
      <c r="W76" s="88"/>
      <c r="X76" s="51"/>
      <c r="Y76" s="33"/>
      <c r="Z76" s="33"/>
      <c r="AA76" s="33"/>
      <c r="AB76" s="33"/>
      <c r="AC76" s="33"/>
    </row>
    <row r="77" ht="15.75" customHeight="1">
      <c r="A77" s="31"/>
      <c r="B77" s="80">
        <f t="shared" si="4"/>
        <v>67</v>
      </c>
      <c r="C77" s="93" t="s">
        <v>190</v>
      </c>
      <c r="D77" s="82" t="s">
        <v>20</v>
      </c>
      <c r="E77" s="83" t="s">
        <v>20</v>
      </c>
      <c r="F77" s="84" t="s">
        <v>20</v>
      </c>
      <c r="G77" s="84" t="s">
        <v>20</v>
      </c>
      <c r="H77" s="84" t="s">
        <v>51</v>
      </c>
      <c r="I77" s="84" t="s">
        <v>20</v>
      </c>
      <c r="J77" s="82" t="s">
        <v>191</v>
      </c>
      <c r="K77" s="94" t="s">
        <v>192</v>
      </c>
      <c r="L77" s="85" t="s">
        <v>13</v>
      </c>
      <c r="M77" s="86">
        <v>45524.0</v>
      </c>
      <c r="N77" s="87" t="s">
        <v>54</v>
      </c>
      <c r="O77" s="88"/>
      <c r="P77" s="103" t="s">
        <v>18</v>
      </c>
      <c r="Q77" s="90"/>
      <c r="R77" s="91"/>
      <c r="S77" s="88"/>
      <c r="T77" s="89"/>
      <c r="U77" s="90"/>
      <c r="V77" s="91"/>
      <c r="W77" s="88"/>
      <c r="X77" s="51"/>
      <c r="Y77" s="33"/>
      <c r="Z77" s="33"/>
      <c r="AA77" s="33"/>
      <c r="AB77" s="33"/>
      <c r="AC77" s="33"/>
    </row>
    <row r="78" ht="15.75" customHeight="1">
      <c r="A78" s="31"/>
      <c r="B78" s="80">
        <f t="shared" si="4"/>
        <v>68</v>
      </c>
      <c r="C78" s="93" t="s">
        <v>193</v>
      </c>
      <c r="D78" s="82" t="s">
        <v>20</v>
      </c>
      <c r="E78" s="83" t="s">
        <v>20</v>
      </c>
      <c r="F78" s="84" t="s">
        <v>20</v>
      </c>
      <c r="G78" s="84" t="s">
        <v>20</v>
      </c>
      <c r="H78" s="84" t="s">
        <v>51</v>
      </c>
      <c r="I78" s="84" t="s">
        <v>20</v>
      </c>
      <c r="J78" s="82" t="s">
        <v>194</v>
      </c>
      <c r="K78" s="94" t="s">
        <v>195</v>
      </c>
      <c r="L78" s="85" t="s">
        <v>13</v>
      </c>
      <c r="M78" s="86">
        <v>45524.0</v>
      </c>
      <c r="N78" s="87" t="s">
        <v>54</v>
      </c>
      <c r="O78" s="88"/>
      <c r="P78" s="103" t="s">
        <v>18</v>
      </c>
      <c r="Q78" s="90"/>
      <c r="R78" s="91"/>
      <c r="S78" s="88"/>
      <c r="T78" s="89"/>
      <c r="U78" s="90"/>
      <c r="V78" s="91"/>
      <c r="W78" s="88"/>
      <c r="X78" s="51"/>
      <c r="Y78" s="33"/>
      <c r="Z78" s="33"/>
      <c r="AA78" s="33"/>
      <c r="AB78" s="33"/>
      <c r="AC78" s="33"/>
    </row>
    <row r="79" ht="15.75" customHeight="1">
      <c r="A79" s="31"/>
      <c r="B79" s="80">
        <f t="shared" si="4"/>
        <v>69</v>
      </c>
      <c r="C79" s="93" t="s">
        <v>196</v>
      </c>
      <c r="D79" s="82" t="s">
        <v>20</v>
      </c>
      <c r="E79" s="83" t="s">
        <v>20</v>
      </c>
      <c r="F79" s="84" t="s">
        <v>20</v>
      </c>
      <c r="G79" s="84" t="s">
        <v>20</v>
      </c>
      <c r="H79" s="84" t="s">
        <v>51</v>
      </c>
      <c r="I79" s="84" t="s">
        <v>20</v>
      </c>
      <c r="J79" s="82" t="s">
        <v>197</v>
      </c>
      <c r="K79" s="94" t="s">
        <v>195</v>
      </c>
      <c r="L79" s="85" t="s">
        <v>13</v>
      </c>
      <c r="M79" s="86">
        <v>45524.0</v>
      </c>
      <c r="N79" s="87" t="s">
        <v>54</v>
      </c>
      <c r="O79" s="88"/>
      <c r="P79" s="103" t="s">
        <v>18</v>
      </c>
      <c r="Q79" s="90"/>
      <c r="R79" s="91"/>
      <c r="S79" s="88"/>
      <c r="T79" s="89"/>
      <c r="U79" s="90"/>
      <c r="V79" s="91"/>
      <c r="W79" s="88"/>
      <c r="X79" s="51"/>
      <c r="Y79" s="33"/>
      <c r="Z79" s="33"/>
      <c r="AA79" s="33"/>
      <c r="AB79" s="33"/>
      <c r="AC79" s="33"/>
    </row>
    <row r="80" ht="15.75" customHeight="1">
      <c r="A80" s="31"/>
      <c r="B80" s="80">
        <f t="shared" si="4"/>
        <v>70</v>
      </c>
      <c r="C80" s="93" t="s">
        <v>198</v>
      </c>
      <c r="D80" s="82" t="s">
        <v>20</v>
      </c>
      <c r="E80" s="83" t="s">
        <v>20</v>
      </c>
      <c r="F80" s="84" t="s">
        <v>20</v>
      </c>
      <c r="G80" s="84" t="s">
        <v>20</v>
      </c>
      <c r="H80" s="84" t="s">
        <v>51</v>
      </c>
      <c r="I80" s="84" t="s">
        <v>199</v>
      </c>
      <c r="J80" s="82" t="s">
        <v>200</v>
      </c>
      <c r="K80" s="94" t="s">
        <v>201</v>
      </c>
      <c r="L80" s="85" t="s">
        <v>13</v>
      </c>
      <c r="M80" s="86">
        <v>45524.0</v>
      </c>
      <c r="N80" s="87" t="s">
        <v>54</v>
      </c>
      <c r="O80" s="88"/>
      <c r="P80" s="103" t="s">
        <v>18</v>
      </c>
      <c r="Q80" s="90"/>
      <c r="R80" s="91"/>
      <c r="S80" s="88"/>
      <c r="T80" s="89"/>
      <c r="U80" s="90"/>
      <c r="V80" s="91"/>
      <c r="W80" s="88"/>
      <c r="X80" s="98" t="s">
        <v>202</v>
      </c>
      <c r="Y80" s="33"/>
      <c r="Z80" s="33"/>
      <c r="AA80" s="33"/>
      <c r="AB80" s="33"/>
      <c r="AC80" s="33"/>
    </row>
    <row r="81" ht="15.75" customHeight="1">
      <c r="A81" s="31"/>
      <c r="B81" s="80">
        <f t="shared" si="4"/>
        <v>71</v>
      </c>
      <c r="C81" s="93" t="s">
        <v>203</v>
      </c>
      <c r="D81" s="82" t="s">
        <v>20</v>
      </c>
      <c r="E81" s="83" t="s">
        <v>20</v>
      </c>
      <c r="F81" s="84" t="s">
        <v>20</v>
      </c>
      <c r="G81" s="84" t="s">
        <v>20</v>
      </c>
      <c r="H81" s="84" t="s">
        <v>51</v>
      </c>
      <c r="I81" s="84" t="s">
        <v>199</v>
      </c>
      <c r="J81" s="82" t="s">
        <v>200</v>
      </c>
      <c r="K81" s="94" t="s">
        <v>204</v>
      </c>
      <c r="L81" s="99" t="s">
        <v>13</v>
      </c>
      <c r="M81" s="86">
        <v>45530.0</v>
      </c>
      <c r="N81" s="87" t="s">
        <v>54</v>
      </c>
      <c r="O81" s="96">
        <v>73.0</v>
      </c>
      <c r="P81" s="103" t="s">
        <v>18</v>
      </c>
      <c r="Q81" s="90"/>
      <c r="R81" s="91"/>
      <c r="S81" s="88"/>
      <c r="T81" s="89"/>
      <c r="U81" s="90"/>
      <c r="V81" s="91"/>
      <c r="W81" s="88"/>
      <c r="X81" s="104" t="s">
        <v>205</v>
      </c>
      <c r="Y81" s="33"/>
      <c r="Z81" s="33"/>
      <c r="AA81" s="33"/>
      <c r="AB81" s="33"/>
      <c r="AC81" s="33"/>
    </row>
    <row r="82" ht="15.75" customHeight="1">
      <c r="A82" s="31"/>
      <c r="B82" s="80">
        <f t="shared" si="4"/>
        <v>72</v>
      </c>
      <c r="C82" s="93" t="s">
        <v>20</v>
      </c>
      <c r="D82" s="82" t="s">
        <v>206</v>
      </c>
      <c r="E82" s="83" t="s">
        <v>20</v>
      </c>
      <c r="F82" s="84" t="s">
        <v>20</v>
      </c>
      <c r="G82" s="84" t="s">
        <v>20</v>
      </c>
      <c r="H82" s="84" t="s">
        <v>51</v>
      </c>
      <c r="I82" s="84" t="s">
        <v>207</v>
      </c>
      <c r="J82" s="82" t="s">
        <v>208</v>
      </c>
      <c r="K82" s="94" t="s">
        <v>209</v>
      </c>
      <c r="L82" s="99" t="s">
        <v>16</v>
      </c>
      <c r="M82" s="86">
        <v>45524.0</v>
      </c>
      <c r="N82" s="87" t="s">
        <v>54</v>
      </c>
      <c r="O82" s="88"/>
      <c r="P82" s="103" t="s">
        <v>18</v>
      </c>
      <c r="Q82" s="90"/>
      <c r="R82" s="91"/>
      <c r="S82" s="88"/>
      <c r="T82" s="89"/>
      <c r="U82" s="90"/>
      <c r="V82" s="91"/>
      <c r="W82" s="88"/>
      <c r="X82" s="104" t="s">
        <v>210</v>
      </c>
      <c r="Y82" s="33"/>
      <c r="Z82" s="33"/>
      <c r="AA82" s="33"/>
      <c r="AB82" s="33"/>
      <c r="AC82" s="33"/>
    </row>
    <row r="83" ht="15.75" customHeight="1">
      <c r="A83" s="31"/>
      <c r="B83" s="80">
        <f t="shared" si="4"/>
        <v>73</v>
      </c>
      <c r="C83" s="93" t="s">
        <v>20</v>
      </c>
      <c r="D83" s="82" t="s">
        <v>211</v>
      </c>
      <c r="E83" s="83" t="s">
        <v>20</v>
      </c>
      <c r="F83" s="84" t="s">
        <v>20</v>
      </c>
      <c r="G83" s="84" t="s">
        <v>20</v>
      </c>
      <c r="H83" s="84" t="s">
        <v>51</v>
      </c>
      <c r="I83" s="84" t="s">
        <v>207</v>
      </c>
      <c r="J83" s="82" t="s">
        <v>212</v>
      </c>
      <c r="K83" s="94" t="s">
        <v>213</v>
      </c>
      <c r="L83" s="85" t="s">
        <v>13</v>
      </c>
      <c r="M83" s="86">
        <v>45524.0</v>
      </c>
      <c r="N83" s="87" t="s">
        <v>54</v>
      </c>
      <c r="O83" s="88"/>
      <c r="P83" s="103" t="s">
        <v>18</v>
      </c>
      <c r="Q83" s="90"/>
      <c r="R83" s="91"/>
      <c r="S83" s="88"/>
      <c r="T83" s="89"/>
      <c r="U83" s="90"/>
      <c r="V83" s="91"/>
      <c r="W83" s="88"/>
      <c r="X83" s="51"/>
      <c r="Y83" s="33"/>
      <c r="Z83" s="33"/>
      <c r="AA83" s="33"/>
      <c r="AB83" s="33"/>
      <c r="AC83" s="33"/>
    </row>
    <row r="84" ht="15.75" customHeight="1">
      <c r="A84" s="31"/>
      <c r="B84" s="80">
        <f t="shared" si="4"/>
        <v>74</v>
      </c>
      <c r="C84" s="93" t="s">
        <v>20</v>
      </c>
      <c r="D84" s="82" t="s">
        <v>214</v>
      </c>
      <c r="E84" s="83" t="s">
        <v>20</v>
      </c>
      <c r="F84" s="84" t="s">
        <v>20</v>
      </c>
      <c r="G84" s="84" t="s">
        <v>20</v>
      </c>
      <c r="H84" s="84" t="s">
        <v>51</v>
      </c>
      <c r="I84" s="84" t="s">
        <v>20</v>
      </c>
      <c r="J84" s="82" t="s">
        <v>215</v>
      </c>
      <c r="K84" s="94" t="s">
        <v>216</v>
      </c>
      <c r="L84" s="85" t="s">
        <v>13</v>
      </c>
      <c r="M84" s="86">
        <v>45524.0</v>
      </c>
      <c r="N84" s="87" t="s">
        <v>54</v>
      </c>
      <c r="O84" s="88"/>
      <c r="P84" s="103" t="s">
        <v>18</v>
      </c>
      <c r="Q84" s="90"/>
      <c r="R84" s="91"/>
      <c r="S84" s="88"/>
      <c r="T84" s="89"/>
      <c r="U84" s="90"/>
      <c r="V84" s="91"/>
      <c r="W84" s="88"/>
      <c r="X84" s="51"/>
      <c r="Y84" s="33"/>
      <c r="Z84" s="33"/>
      <c r="AA84" s="33"/>
      <c r="AB84" s="33"/>
      <c r="AC84" s="33"/>
    </row>
    <row r="85" ht="15.75" customHeight="1">
      <c r="A85" s="31"/>
      <c r="B85" s="80">
        <f t="shared" si="4"/>
        <v>75</v>
      </c>
      <c r="C85" s="93" t="s">
        <v>20</v>
      </c>
      <c r="D85" s="82" t="s">
        <v>217</v>
      </c>
      <c r="E85" s="83" t="s">
        <v>20</v>
      </c>
      <c r="F85" s="84" t="s">
        <v>20</v>
      </c>
      <c r="G85" s="84" t="s">
        <v>20</v>
      </c>
      <c r="H85" s="84" t="s">
        <v>51</v>
      </c>
      <c r="I85" s="84" t="s">
        <v>20</v>
      </c>
      <c r="J85" s="82" t="s">
        <v>218</v>
      </c>
      <c r="K85" s="94" t="s">
        <v>219</v>
      </c>
      <c r="L85" s="85" t="s">
        <v>13</v>
      </c>
      <c r="M85" s="86">
        <v>45524.0</v>
      </c>
      <c r="N85" s="87" t="s">
        <v>54</v>
      </c>
      <c r="O85" s="88"/>
      <c r="P85" s="103" t="s">
        <v>18</v>
      </c>
      <c r="Q85" s="90"/>
      <c r="R85" s="91"/>
      <c r="S85" s="88"/>
      <c r="T85" s="89"/>
      <c r="U85" s="90"/>
      <c r="V85" s="91"/>
      <c r="W85" s="88"/>
      <c r="X85" s="51"/>
      <c r="Y85" s="33"/>
      <c r="Z85" s="33"/>
      <c r="AA85" s="33"/>
      <c r="AB85" s="33"/>
      <c r="AC85" s="33"/>
    </row>
    <row r="86" ht="15.75" customHeight="1">
      <c r="A86" s="31"/>
      <c r="B86" s="80">
        <f t="shared" si="4"/>
        <v>76</v>
      </c>
      <c r="C86" s="93" t="s">
        <v>20</v>
      </c>
      <c r="D86" s="82" t="s">
        <v>220</v>
      </c>
      <c r="E86" s="83" t="s">
        <v>20</v>
      </c>
      <c r="F86" s="84" t="s">
        <v>20</v>
      </c>
      <c r="G86" s="84" t="s">
        <v>20</v>
      </c>
      <c r="H86" s="84" t="s">
        <v>51</v>
      </c>
      <c r="I86" s="84" t="s">
        <v>221</v>
      </c>
      <c r="J86" s="82" t="s">
        <v>222</v>
      </c>
      <c r="K86" s="94" t="s">
        <v>223</v>
      </c>
      <c r="L86" s="85" t="s">
        <v>13</v>
      </c>
      <c r="M86" s="86">
        <v>45524.0</v>
      </c>
      <c r="N86" s="87" t="s">
        <v>54</v>
      </c>
      <c r="O86" s="88"/>
      <c r="P86" s="103" t="s">
        <v>18</v>
      </c>
      <c r="Q86" s="90"/>
      <c r="R86" s="91"/>
      <c r="S86" s="88"/>
      <c r="T86" s="89"/>
      <c r="U86" s="90"/>
      <c r="V86" s="91"/>
      <c r="W86" s="88"/>
      <c r="X86" s="51"/>
      <c r="Y86" s="33"/>
      <c r="Z86" s="33"/>
      <c r="AA86" s="33"/>
      <c r="AB86" s="33"/>
      <c r="AC86" s="33"/>
    </row>
    <row r="87" ht="15.75" customHeight="1">
      <c r="A87" s="31"/>
      <c r="B87" s="80">
        <f t="shared" si="4"/>
        <v>77</v>
      </c>
      <c r="C87" s="93" t="s">
        <v>20</v>
      </c>
      <c r="D87" s="82" t="s">
        <v>224</v>
      </c>
      <c r="E87" s="83" t="s">
        <v>20</v>
      </c>
      <c r="F87" s="84" t="s">
        <v>20</v>
      </c>
      <c r="G87" s="84" t="s">
        <v>20</v>
      </c>
      <c r="H87" s="84" t="s">
        <v>51</v>
      </c>
      <c r="I87" s="84" t="s">
        <v>221</v>
      </c>
      <c r="J87" s="82" t="s">
        <v>225</v>
      </c>
      <c r="K87" s="94" t="s">
        <v>226</v>
      </c>
      <c r="L87" s="85" t="s">
        <v>13</v>
      </c>
      <c r="M87" s="86">
        <v>45524.0</v>
      </c>
      <c r="N87" s="87" t="s">
        <v>54</v>
      </c>
      <c r="O87" s="88"/>
      <c r="P87" s="103" t="s">
        <v>18</v>
      </c>
      <c r="Q87" s="90"/>
      <c r="R87" s="91"/>
      <c r="S87" s="88"/>
      <c r="T87" s="89"/>
      <c r="U87" s="90"/>
      <c r="V87" s="91"/>
      <c r="W87" s="88"/>
      <c r="X87" s="51"/>
      <c r="Y87" s="33"/>
      <c r="Z87" s="33"/>
      <c r="AA87" s="33"/>
      <c r="AB87" s="33"/>
      <c r="AC87" s="33"/>
    </row>
    <row r="88" ht="15.75" customHeight="1">
      <c r="A88" s="31"/>
      <c r="B88" s="80">
        <f t="shared" si="4"/>
        <v>78</v>
      </c>
      <c r="C88" s="93" t="s">
        <v>20</v>
      </c>
      <c r="D88" s="82" t="s">
        <v>227</v>
      </c>
      <c r="E88" s="83" t="s">
        <v>20</v>
      </c>
      <c r="F88" s="84" t="s">
        <v>20</v>
      </c>
      <c r="G88" s="84" t="s">
        <v>20</v>
      </c>
      <c r="H88" s="84" t="s">
        <v>51</v>
      </c>
      <c r="I88" s="84" t="s">
        <v>221</v>
      </c>
      <c r="J88" s="82" t="s">
        <v>228</v>
      </c>
      <c r="K88" s="94" t="s">
        <v>229</v>
      </c>
      <c r="L88" s="85" t="s">
        <v>13</v>
      </c>
      <c r="M88" s="86">
        <v>45524.0</v>
      </c>
      <c r="N88" s="87" t="s">
        <v>54</v>
      </c>
      <c r="O88" s="88"/>
      <c r="P88" s="103" t="s">
        <v>18</v>
      </c>
      <c r="Q88" s="90"/>
      <c r="R88" s="91"/>
      <c r="S88" s="88"/>
      <c r="T88" s="89"/>
      <c r="U88" s="90"/>
      <c r="V88" s="91"/>
      <c r="W88" s="88"/>
      <c r="X88" s="51"/>
      <c r="Y88" s="33"/>
      <c r="Z88" s="33"/>
      <c r="AA88" s="33"/>
      <c r="AB88" s="33"/>
      <c r="AC88" s="33"/>
    </row>
    <row r="89" ht="15.75" customHeight="1">
      <c r="A89" s="31"/>
      <c r="B89" s="80">
        <f t="shared" si="4"/>
        <v>79</v>
      </c>
      <c r="C89" s="93" t="s">
        <v>230</v>
      </c>
      <c r="D89" s="82" t="s">
        <v>20</v>
      </c>
      <c r="E89" s="83" t="s">
        <v>20</v>
      </c>
      <c r="F89" s="84" t="s">
        <v>20</v>
      </c>
      <c r="G89" s="84" t="s">
        <v>20</v>
      </c>
      <c r="H89" s="84" t="s">
        <v>51</v>
      </c>
      <c r="I89" s="84" t="s">
        <v>221</v>
      </c>
      <c r="J89" s="82" t="s">
        <v>231</v>
      </c>
      <c r="K89" s="94" t="s">
        <v>232</v>
      </c>
      <c r="L89" s="85" t="s">
        <v>13</v>
      </c>
      <c r="M89" s="86">
        <v>45524.0</v>
      </c>
      <c r="N89" s="87" t="s">
        <v>54</v>
      </c>
      <c r="O89" s="88"/>
      <c r="P89" s="103" t="s">
        <v>18</v>
      </c>
      <c r="Q89" s="90"/>
      <c r="R89" s="91"/>
      <c r="S89" s="88"/>
      <c r="T89" s="89"/>
      <c r="U89" s="90"/>
      <c r="V89" s="91"/>
      <c r="W89" s="88"/>
      <c r="X89" s="51"/>
      <c r="Y89" s="33"/>
      <c r="Z89" s="33"/>
      <c r="AA89" s="33"/>
      <c r="AB89" s="33"/>
      <c r="AC89" s="33"/>
    </row>
    <row r="90" ht="15.75" customHeight="1">
      <c r="A90" s="31"/>
      <c r="B90" s="80">
        <f t="shared" si="4"/>
        <v>80</v>
      </c>
      <c r="C90" s="93" t="s">
        <v>230</v>
      </c>
      <c r="D90" s="82" t="s">
        <v>20</v>
      </c>
      <c r="E90" s="83" t="s">
        <v>20</v>
      </c>
      <c r="F90" s="84" t="s">
        <v>20</v>
      </c>
      <c r="G90" s="84" t="s">
        <v>20</v>
      </c>
      <c r="H90" s="84" t="s">
        <v>51</v>
      </c>
      <c r="I90" s="84" t="s">
        <v>221</v>
      </c>
      <c r="J90" s="82" t="s">
        <v>233</v>
      </c>
      <c r="K90" s="94" t="s">
        <v>232</v>
      </c>
      <c r="L90" s="85" t="s">
        <v>13</v>
      </c>
      <c r="M90" s="86">
        <v>45524.0</v>
      </c>
      <c r="N90" s="87" t="s">
        <v>54</v>
      </c>
      <c r="O90" s="88"/>
      <c r="P90" s="103" t="s">
        <v>18</v>
      </c>
      <c r="Q90" s="90"/>
      <c r="R90" s="91"/>
      <c r="S90" s="88"/>
      <c r="T90" s="89"/>
      <c r="U90" s="90"/>
      <c r="V90" s="91"/>
      <c r="W90" s="88"/>
      <c r="X90" s="51"/>
      <c r="Y90" s="33"/>
      <c r="Z90" s="33"/>
      <c r="AA90" s="33"/>
      <c r="AB90" s="33"/>
      <c r="AC90" s="33"/>
    </row>
    <row r="91" ht="15.75" customHeight="1">
      <c r="A91" s="31"/>
      <c r="B91" s="80">
        <f t="shared" si="4"/>
        <v>81</v>
      </c>
      <c r="C91" s="93" t="s">
        <v>198</v>
      </c>
      <c r="D91" s="82" t="s">
        <v>20</v>
      </c>
      <c r="E91" s="83" t="s">
        <v>20</v>
      </c>
      <c r="F91" s="84" t="s">
        <v>20</v>
      </c>
      <c r="G91" s="84" t="s">
        <v>20</v>
      </c>
      <c r="H91" s="84" t="s">
        <v>51</v>
      </c>
      <c r="I91" s="84" t="s">
        <v>221</v>
      </c>
      <c r="J91" s="82" t="s">
        <v>234</v>
      </c>
      <c r="K91" s="94" t="s">
        <v>201</v>
      </c>
      <c r="L91" s="85" t="s">
        <v>13</v>
      </c>
      <c r="M91" s="86">
        <v>45520.0</v>
      </c>
      <c r="N91" s="87" t="s">
        <v>54</v>
      </c>
      <c r="O91" s="88"/>
      <c r="P91" s="89" t="s">
        <v>18</v>
      </c>
      <c r="Q91" s="90"/>
      <c r="R91" s="91"/>
      <c r="S91" s="88"/>
      <c r="T91" s="89"/>
      <c r="U91" s="90"/>
      <c r="V91" s="91"/>
      <c r="W91" s="88"/>
      <c r="X91" s="51"/>
      <c r="Y91" s="33"/>
      <c r="Z91" s="33"/>
      <c r="AA91" s="33"/>
      <c r="AB91" s="33"/>
      <c r="AC91" s="33"/>
    </row>
    <row r="92" ht="15.75" customHeight="1">
      <c r="A92" s="31"/>
      <c r="B92" s="80">
        <f t="shared" si="4"/>
        <v>82</v>
      </c>
      <c r="C92" s="93" t="s">
        <v>20</v>
      </c>
      <c r="D92" s="82" t="s">
        <v>20</v>
      </c>
      <c r="E92" s="83" t="s">
        <v>20</v>
      </c>
      <c r="F92" s="84" t="s">
        <v>20</v>
      </c>
      <c r="G92" s="84" t="s">
        <v>20</v>
      </c>
      <c r="H92" s="84" t="s">
        <v>51</v>
      </c>
      <c r="I92" s="84" t="s">
        <v>20</v>
      </c>
      <c r="J92" s="82" t="s">
        <v>234</v>
      </c>
      <c r="K92" s="94" t="s">
        <v>235</v>
      </c>
      <c r="L92" s="105" t="s">
        <v>14</v>
      </c>
      <c r="M92" s="86">
        <v>45520.0</v>
      </c>
      <c r="N92" s="87" t="s">
        <v>54</v>
      </c>
      <c r="O92" s="96">
        <v>72.0</v>
      </c>
      <c r="P92" s="89" t="s">
        <v>18</v>
      </c>
      <c r="Q92" s="90"/>
      <c r="R92" s="91"/>
      <c r="S92" s="88"/>
      <c r="T92" s="89"/>
      <c r="U92" s="90"/>
      <c r="V92" s="91"/>
      <c r="W92" s="88"/>
      <c r="X92" s="51"/>
      <c r="Y92" s="33"/>
      <c r="Z92" s="33"/>
      <c r="AA92" s="33"/>
      <c r="AB92" s="33"/>
      <c r="AC92" s="33"/>
    </row>
    <row r="93" ht="15.75" customHeight="1">
      <c r="A93" s="31"/>
      <c r="B93" s="80">
        <f t="shared" si="4"/>
        <v>83</v>
      </c>
      <c r="C93" s="93" t="s">
        <v>20</v>
      </c>
      <c r="D93" s="82" t="s">
        <v>206</v>
      </c>
      <c r="E93" s="83" t="s">
        <v>20</v>
      </c>
      <c r="F93" s="84" t="s">
        <v>20</v>
      </c>
      <c r="G93" s="84" t="s">
        <v>20</v>
      </c>
      <c r="H93" s="84" t="s">
        <v>51</v>
      </c>
      <c r="I93" s="84" t="s">
        <v>207</v>
      </c>
      <c r="J93" s="82" t="s">
        <v>208</v>
      </c>
      <c r="K93" s="94" t="s">
        <v>209</v>
      </c>
      <c r="L93" s="85" t="s">
        <v>13</v>
      </c>
      <c r="M93" s="86">
        <v>45524.0</v>
      </c>
      <c r="N93" s="87" t="s">
        <v>54</v>
      </c>
      <c r="O93" s="88"/>
      <c r="P93" s="89" t="s">
        <v>18</v>
      </c>
      <c r="Q93" s="90"/>
      <c r="R93" s="91"/>
      <c r="S93" s="88"/>
      <c r="T93" s="89"/>
      <c r="U93" s="90"/>
      <c r="V93" s="91"/>
      <c r="W93" s="88"/>
      <c r="X93" s="51"/>
      <c r="Y93" s="33"/>
      <c r="Z93" s="33"/>
      <c r="AA93" s="33"/>
      <c r="AB93" s="33"/>
      <c r="AC93" s="33"/>
    </row>
    <row r="94" ht="15.75" customHeight="1">
      <c r="A94" s="31"/>
      <c r="B94" s="80">
        <f t="shared" si="4"/>
        <v>84</v>
      </c>
      <c r="C94" s="93" t="s">
        <v>20</v>
      </c>
      <c r="D94" s="82" t="s">
        <v>211</v>
      </c>
      <c r="E94" s="83" t="s">
        <v>20</v>
      </c>
      <c r="F94" s="84" t="s">
        <v>20</v>
      </c>
      <c r="G94" s="84" t="s">
        <v>20</v>
      </c>
      <c r="H94" s="84" t="s">
        <v>151</v>
      </c>
      <c r="I94" s="84" t="s">
        <v>20</v>
      </c>
      <c r="J94" s="82" t="s">
        <v>236</v>
      </c>
      <c r="K94" s="94" t="s">
        <v>237</v>
      </c>
      <c r="L94" s="85" t="s">
        <v>13</v>
      </c>
      <c r="M94" s="86">
        <v>45520.0</v>
      </c>
      <c r="N94" s="87" t="s">
        <v>54</v>
      </c>
      <c r="O94" s="88"/>
      <c r="P94" s="89" t="s">
        <v>18</v>
      </c>
      <c r="Q94" s="90"/>
      <c r="R94" s="91"/>
      <c r="S94" s="88"/>
      <c r="T94" s="89"/>
      <c r="U94" s="90"/>
      <c r="V94" s="91"/>
      <c r="W94" s="88"/>
      <c r="X94" s="51"/>
      <c r="Y94" s="33"/>
      <c r="Z94" s="33"/>
      <c r="AA94" s="33"/>
      <c r="AB94" s="33"/>
      <c r="AC94" s="33"/>
    </row>
    <row r="95" ht="15.75" customHeight="1">
      <c r="A95" s="31"/>
      <c r="B95" s="80">
        <f t="shared" si="4"/>
        <v>85</v>
      </c>
      <c r="C95" s="93" t="s">
        <v>20</v>
      </c>
      <c r="D95" s="82" t="s">
        <v>214</v>
      </c>
      <c r="E95" s="83" t="s">
        <v>20</v>
      </c>
      <c r="F95" s="84" t="s">
        <v>20</v>
      </c>
      <c r="G95" s="84" t="s">
        <v>20</v>
      </c>
      <c r="H95" s="84" t="s">
        <v>51</v>
      </c>
      <c r="I95" s="84" t="s">
        <v>238</v>
      </c>
      <c r="J95" s="82" t="s">
        <v>239</v>
      </c>
      <c r="K95" s="94" t="s">
        <v>216</v>
      </c>
      <c r="L95" s="85" t="s">
        <v>13</v>
      </c>
      <c r="M95" s="86">
        <v>45520.0</v>
      </c>
      <c r="N95" s="87" t="s">
        <v>54</v>
      </c>
      <c r="O95" s="88"/>
      <c r="P95" s="89" t="s">
        <v>18</v>
      </c>
      <c r="Q95" s="90"/>
      <c r="R95" s="91"/>
      <c r="S95" s="88"/>
      <c r="T95" s="89"/>
      <c r="U95" s="90"/>
      <c r="V95" s="91"/>
      <c r="W95" s="88"/>
      <c r="X95" s="51"/>
      <c r="Y95" s="33"/>
      <c r="Z95" s="33"/>
      <c r="AA95" s="33"/>
      <c r="AB95" s="33"/>
      <c r="AC95" s="33"/>
    </row>
    <row r="96" ht="15.75" customHeight="1">
      <c r="A96" s="31"/>
      <c r="B96" s="80">
        <f t="shared" si="4"/>
        <v>86</v>
      </c>
      <c r="C96" s="93" t="s">
        <v>20</v>
      </c>
      <c r="D96" s="82" t="s">
        <v>217</v>
      </c>
      <c r="E96" s="83" t="s">
        <v>20</v>
      </c>
      <c r="F96" s="84" t="s">
        <v>20</v>
      </c>
      <c r="G96" s="84" t="s">
        <v>20</v>
      </c>
      <c r="H96" s="84" t="s">
        <v>51</v>
      </c>
      <c r="I96" s="84" t="s">
        <v>238</v>
      </c>
      <c r="J96" s="82" t="s">
        <v>240</v>
      </c>
      <c r="K96" s="94" t="s">
        <v>219</v>
      </c>
      <c r="L96" s="85" t="s">
        <v>13</v>
      </c>
      <c r="M96" s="86">
        <v>45520.0</v>
      </c>
      <c r="N96" s="87" t="s">
        <v>54</v>
      </c>
      <c r="O96" s="88"/>
      <c r="P96" s="89" t="s">
        <v>18</v>
      </c>
      <c r="Q96" s="90"/>
      <c r="R96" s="91"/>
      <c r="S96" s="88"/>
      <c r="T96" s="89"/>
      <c r="U96" s="90"/>
      <c r="V96" s="91"/>
      <c r="W96" s="88"/>
      <c r="X96" s="51"/>
      <c r="Y96" s="33"/>
      <c r="Z96" s="33"/>
      <c r="AA96" s="33"/>
      <c r="AB96" s="33"/>
      <c r="AC96" s="33"/>
    </row>
    <row r="97" ht="15.75" customHeight="1">
      <c r="A97" s="31"/>
      <c r="B97" s="80">
        <f t="shared" si="4"/>
        <v>87</v>
      </c>
      <c r="C97" s="93" t="s">
        <v>20</v>
      </c>
      <c r="D97" s="82" t="s">
        <v>220</v>
      </c>
      <c r="E97" s="83" t="s">
        <v>20</v>
      </c>
      <c r="F97" s="84" t="s">
        <v>20</v>
      </c>
      <c r="G97" s="84" t="s">
        <v>20</v>
      </c>
      <c r="H97" s="84" t="s">
        <v>51</v>
      </c>
      <c r="I97" s="84" t="s">
        <v>238</v>
      </c>
      <c r="J97" s="82" t="s">
        <v>241</v>
      </c>
      <c r="K97" s="94" t="s">
        <v>223</v>
      </c>
      <c r="L97" s="85" t="s">
        <v>13</v>
      </c>
      <c r="M97" s="86">
        <v>45520.0</v>
      </c>
      <c r="N97" s="87" t="s">
        <v>54</v>
      </c>
      <c r="O97" s="88"/>
      <c r="P97" s="89" t="s">
        <v>18</v>
      </c>
      <c r="Q97" s="90"/>
      <c r="R97" s="91"/>
      <c r="S97" s="88"/>
      <c r="T97" s="89"/>
      <c r="U97" s="90"/>
      <c r="V97" s="91"/>
      <c r="W97" s="88"/>
      <c r="X97" s="51"/>
      <c r="Y97" s="33"/>
      <c r="Z97" s="33"/>
      <c r="AA97" s="33"/>
      <c r="AB97" s="33"/>
      <c r="AC97" s="33"/>
    </row>
    <row r="98" ht="15.75" customHeight="1">
      <c r="A98" s="31"/>
      <c r="B98" s="80">
        <f t="shared" si="4"/>
        <v>88</v>
      </c>
      <c r="C98" s="93" t="s">
        <v>20</v>
      </c>
      <c r="D98" s="82" t="s">
        <v>224</v>
      </c>
      <c r="E98" s="83" t="s">
        <v>20</v>
      </c>
      <c r="F98" s="84" t="s">
        <v>20</v>
      </c>
      <c r="G98" s="84" t="s">
        <v>20</v>
      </c>
      <c r="H98" s="84" t="s">
        <v>51</v>
      </c>
      <c r="I98" s="84" t="s">
        <v>238</v>
      </c>
      <c r="J98" s="82" t="s">
        <v>242</v>
      </c>
      <c r="K98" s="94" t="s">
        <v>226</v>
      </c>
      <c r="L98" s="85" t="s">
        <v>13</v>
      </c>
      <c r="M98" s="86">
        <v>45520.0</v>
      </c>
      <c r="N98" s="87" t="s">
        <v>54</v>
      </c>
      <c r="O98" s="88"/>
      <c r="P98" s="89" t="s">
        <v>18</v>
      </c>
      <c r="Q98" s="90"/>
      <c r="R98" s="91"/>
      <c r="S98" s="88"/>
      <c r="T98" s="89"/>
      <c r="U98" s="90"/>
      <c r="V98" s="91"/>
      <c r="W98" s="88"/>
      <c r="X98" s="51"/>
      <c r="Y98" s="33"/>
      <c r="Z98" s="33"/>
      <c r="AA98" s="33"/>
      <c r="AB98" s="33"/>
      <c r="AC98" s="33"/>
    </row>
    <row r="99" ht="15.75" customHeight="1">
      <c r="A99" s="31"/>
      <c r="B99" s="80">
        <f t="shared" si="4"/>
        <v>89</v>
      </c>
      <c r="C99" s="93" t="s">
        <v>20</v>
      </c>
      <c r="D99" s="82" t="s">
        <v>227</v>
      </c>
      <c r="E99" s="83" t="s">
        <v>20</v>
      </c>
      <c r="F99" s="84" t="s">
        <v>20</v>
      </c>
      <c r="G99" s="84" t="s">
        <v>20</v>
      </c>
      <c r="H99" s="84" t="s">
        <v>51</v>
      </c>
      <c r="I99" s="84" t="s">
        <v>238</v>
      </c>
      <c r="J99" s="82" t="s">
        <v>243</v>
      </c>
      <c r="K99" s="94" t="s">
        <v>229</v>
      </c>
      <c r="L99" s="85" t="s">
        <v>13</v>
      </c>
      <c r="M99" s="86">
        <v>45520.0</v>
      </c>
      <c r="N99" s="87" t="s">
        <v>54</v>
      </c>
      <c r="O99" s="88"/>
      <c r="P99" s="89" t="s">
        <v>18</v>
      </c>
      <c r="Q99" s="90"/>
      <c r="R99" s="91"/>
      <c r="S99" s="88"/>
      <c r="T99" s="89"/>
      <c r="U99" s="90"/>
      <c r="V99" s="91"/>
      <c r="W99" s="88"/>
      <c r="X99" s="51"/>
      <c r="Y99" s="33"/>
      <c r="Z99" s="33"/>
      <c r="AA99" s="33"/>
      <c r="AB99" s="33"/>
      <c r="AC99" s="33"/>
    </row>
    <row r="100" ht="15.75" customHeight="1">
      <c r="A100" s="31"/>
      <c r="B100" s="80">
        <f t="shared" si="4"/>
        <v>90</v>
      </c>
      <c r="C100" s="93" t="s">
        <v>244</v>
      </c>
      <c r="D100" s="82" t="s">
        <v>20</v>
      </c>
      <c r="E100" s="83" t="s">
        <v>20</v>
      </c>
      <c r="F100" s="84" t="s">
        <v>20</v>
      </c>
      <c r="G100" s="84" t="s">
        <v>20</v>
      </c>
      <c r="H100" s="84" t="s">
        <v>51</v>
      </c>
      <c r="I100" s="84" t="s">
        <v>238</v>
      </c>
      <c r="J100" s="82" t="s">
        <v>245</v>
      </c>
      <c r="K100" s="94" t="s">
        <v>246</v>
      </c>
      <c r="L100" s="85" t="s">
        <v>13</v>
      </c>
      <c r="M100" s="86">
        <v>45520.0</v>
      </c>
      <c r="N100" s="87" t="s">
        <v>54</v>
      </c>
      <c r="O100" s="88"/>
      <c r="P100" s="89" t="s">
        <v>18</v>
      </c>
      <c r="Q100" s="90"/>
      <c r="R100" s="91"/>
      <c r="S100" s="88"/>
      <c r="T100" s="89"/>
      <c r="U100" s="90"/>
      <c r="V100" s="91"/>
      <c r="W100" s="88"/>
      <c r="X100" s="51"/>
      <c r="Y100" s="33"/>
      <c r="Z100" s="33"/>
      <c r="AA100" s="33"/>
      <c r="AB100" s="33"/>
      <c r="AC100" s="33"/>
    </row>
    <row r="101" ht="15.75" customHeight="1">
      <c r="A101" s="31"/>
      <c r="B101" s="80">
        <f t="shared" si="4"/>
        <v>91</v>
      </c>
      <c r="C101" s="93" t="s">
        <v>244</v>
      </c>
      <c r="D101" s="82" t="s">
        <v>20</v>
      </c>
      <c r="E101" s="83" t="s">
        <v>20</v>
      </c>
      <c r="F101" s="84" t="s">
        <v>20</v>
      </c>
      <c r="G101" s="84" t="s">
        <v>20</v>
      </c>
      <c r="H101" s="84" t="s">
        <v>151</v>
      </c>
      <c r="I101" s="84" t="s">
        <v>238</v>
      </c>
      <c r="J101" s="82" t="s">
        <v>247</v>
      </c>
      <c r="K101" s="94" t="s">
        <v>246</v>
      </c>
      <c r="L101" s="85" t="s">
        <v>13</v>
      </c>
      <c r="M101" s="86">
        <v>45520.0</v>
      </c>
      <c r="N101" s="87" t="s">
        <v>54</v>
      </c>
      <c r="O101" s="88"/>
      <c r="P101" s="89" t="s">
        <v>18</v>
      </c>
      <c r="Q101" s="90"/>
      <c r="R101" s="91"/>
      <c r="S101" s="88"/>
      <c r="T101" s="89"/>
      <c r="U101" s="90"/>
      <c r="V101" s="91"/>
      <c r="W101" s="88"/>
      <c r="X101" s="51"/>
      <c r="Y101" s="33"/>
      <c r="Z101" s="33"/>
      <c r="AA101" s="33"/>
      <c r="AB101" s="33"/>
      <c r="AC101" s="33"/>
    </row>
    <row r="102" ht="15.75" customHeight="1">
      <c r="A102" s="31"/>
      <c r="B102" s="80">
        <f t="shared" si="4"/>
        <v>92</v>
      </c>
      <c r="C102" s="93" t="s">
        <v>248</v>
      </c>
      <c r="D102" s="82" t="s">
        <v>20</v>
      </c>
      <c r="E102" s="83" t="s">
        <v>20</v>
      </c>
      <c r="F102" s="84" t="s">
        <v>20</v>
      </c>
      <c r="G102" s="84" t="s">
        <v>20</v>
      </c>
      <c r="H102" s="84" t="s">
        <v>51</v>
      </c>
      <c r="I102" s="84" t="s">
        <v>238</v>
      </c>
      <c r="J102" s="82" t="s">
        <v>249</v>
      </c>
      <c r="K102" s="94" t="s">
        <v>250</v>
      </c>
      <c r="L102" s="85" t="s">
        <v>13</v>
      </c>
      <c r="M102" s="86">
        <v>45520.0</v>
      </c>
      <c r="N102" s="87" t="s">
        <v>54</v>
      </c>
      <c r="O102" s="88"/>
      <c r="P102" s="103" t="s">
        <v>18</v>
      </c>
      <c r="Q102" s="90"/>
      <c r="R102" s="91"/>
      <c r="S102" s="88"/>
      <c r="T102" s="89"/>
      <c r="U102" s="90"/>
      <c r="V102" s="91"/>
      <c r="W102" s="88"/>
      <c r="X102" s="51"/>
      <c r="Y102" s="33"/>
      <c r="Z102" s="33"/>
      <c r="AA102" s="33"/>
      <c r="AB102" s="33"/>
      <c r="AC102" s="33"/>
    </row>
    <row r="103" ht="15.75" customHeight="1">
      <c r="A103" s="31"/>
      <c r="B103" s="80">
        <f t="shared" si="4"/>
        <v>93</v>
      </c>
      <c r="C103" s="93" t="s">
        <v>248</v>
      </c>
      <c r="D103" s="82" t="s">
        <v>20</v>
      </c>
      <c r="E103" s="83" t="s">
        <v>20</v>
      </c>
      <c r="F103" s="84" t="s">
        <v>20</v>
      </c>
      <c r="G103" s="84" t="s">
        <v>20</v>
      </c>
      <c r="H103" s="84" t="s">
        <v>51</v>
      </c>
      <c r="I103" s="84" t="s">
        <v>238</v>
      </c>
      <c r="J103" s="82" t="s">
        <v>251</v>
      </c>
      <c r="K103" s="94" t="s">
        <v>252</v>
      </c>
      <c r="L103" s="85" t="s">
        <v>13</v>
      </c>
      <c r="M103" s="86">
        <v>45520.0</v>
      </c>
      <c r="N103" s="87" t="s">
        <v>54</v>
      </c>
      <c r="O103" s="88"/>
      <c r="P103" s="103" t="s">
        <v>18</v>
      </c>
      <c r="Q103" s="90"/>
      <c r="R103" s="91"/>
      <c r="S103" s="88"/>
      <c r="T103" s="89"/>
      <c r="U103" s="90"/>
      <c r="V103" s="91"/>
      <c r="W103" s="88"/>
      <c r="X103" s="51"/>
      <c r="Y103" s="33"/>
      <c r="Z103" s="33"/>
      <c r="AA103" s="33"/>
      <c r="AB103" s="33"/>
      <c r="AC103" s="33"/>
    </row>
    <row r="104" ht="15.75" customHeight="1">
      <c r="A104" s="31"/>
      <c r="B104" s="80">
        <f t="shared" si="4"/>
        <v>94</v>
      </c>
      <c r="C104" s="93" t="s">
        <v>248</v>
      </c>
      <c r="D104" s="82" t="s">
        <v>20</v>
      </c>
      <c r="E104" s="83" t="s">
        <v>20</v>
      </c>
      <c r="F104" s="84" t="s">
        <v>20</v>
      </c>
      <c r="G104" s="84" t="s">
        <v>20</v>
      </c>
      <c r="H104" s="84" t="s">
        <v>51</v>
      </c>
      <c r="I104" s="84" t="s">
        <v>253</v>
      </c>
      <c r="J104" s="82" t="s">
        <v>254</v>
      </c>
      <c r="K104" s="94" t="s">
        <v>255</v>
      </c>
      <c r="L104" s="99" t="s">
        <v>13</v>
      </c>
      <c r="M104" s="86">
        <v>45525.0</v>
      </c>
      <c r="N104" s="87" t="s">
        <v>54</v>
      </c>
      <c r="O104" s="88"/>
      <c r="P104" s="103" t="s">
        <v>18</v>
      </c>
      <c r="Q104" s="90"/>
      <c r="R104" s="91"/>
      <c r="S104" s="88"/>
      <c r="T104" s="89"/>
      <c r="U104" s="90"/>
      <c r="V104" s="91"/>
      <c r="W104" s="88"/>
      <c r="X104" s="51"/>
      <c r="Y104" s="33"/>
      <c r="Z104" s="33"/>
      <c r="AA104" s="33"/>
      <c r="AB104" s="33"/>
      <c r="AC104" s="33"/>
    </row>
    <row r="105" ht="15.75" customHeight="1">
      <c r="A105" s="31"/>
      <c r="B105" s="106">
        <f t="shared" si="4"/>
        <v>95</v>
      </c>
      <c r="C105" s="107" t="s">
        <v>248</v>
      </c>
      <c r="D105" s="108" t="s">
        <v>20</v>
      </c>
      <c r="E105" s="109" t="s">
        <v>20</v>
      </c>
      <c r="F105" s="110" t="s">
        <v>20</v>
      </c>
      <c r="G105" s="110" t="s">
        <v>20</v>
      </c>
      <c r="H105" s="110" t="s">
        <v>51</v>
      </c>
      <c r="I105" s="110" t="s">
        <v>256</v>
      </c>
      <c r="J105" s="108" t="s">
        <v>257</v>
      </c>
      <c r="K105" s="111" t="s">
        <v>258</v>
      </c>
      <c r="L105" s="112" t="s">
        <v>14</v>
      </c>
      <c r="M105" s="113">
        <v>45525.0</v>
      </c>
      <c r="N105" s="114" t="s">
        <v>54</v>
      </c>
      <c r="O105" s="115">
        <v>117.0</v>
      </c>
      <c r="P105" s="116" t="s">
        <v>18</v>
      </c>
      <c r="Q105" s="117"/>
      <c r="R105" s="118"/>
      <c r="S105" s="119"/>
      <c r="T105" s="120"/>
      <c r="U105" s="117"/>
      <c r="V105" s="118"/>
      <c r="W105" s="119"/>
      <c r="X105" s="63"/>
      <c r="Y105" s="33"/>
      <c r="Z105" s="33"/>
      <c r="AA105" s="33"/>
      <c r="AB105" s="33"/>
      <c r="AC105" s="33"/>
    </row>
    <row r="106" ht="10.5" customHeight="1">
      <c r="A106" s="31"/>
      <c r="B106" s="32"/>
      <c r="C106" s="121"/>
      <c r="D106" s="121"/>
      <c r="E106" s="122"/>
      <c r="F106" s="122"/>
      <c r="G106" s="122"/>
      <c r="H106" s="122"/>
      <c r="I106" s="122"/>
      <c r="J106" s="123"/>
      <c r="K106" s="124"/>
      <c r="L106" s="124"/>
      <c r="M106" s="124"/>
      <c r="N106" s="124"/>
      <c r="O106" s="125"/>
      <c r="P106" s="125"/>
      <c r="Q106" s="126"/>
      <c r="R106" s="121"/>
    </row>
    <row r="107" ht="10.5" customHeight="1">
      <c r="A107" s="31"/>
      <c r="B107" s="32"/>
      <c r="C107" s="121"/>
      <c r="D107" s="121"/>
      <c r="E107" s="122"/>
      <c r="F107" s="122"/>
      <c r="G107" s="122"/>
      <c r="H107" s="122"/>
      <c r="I107" s="122"/>
      <c r="J107" s="123"/>
      <c r="K107" s="121"/>
      <c r="L107" s="127"/>
      <c r="M107" s="127"/>
      <c r="N107" s="127"/>
      <c r="O107" s="126"/>
      <c r="P107" s="126"/>
      <c r="Q107" s="126"/>
      <c r="R107" s="121"/>
    </row>
    <row r="108" ht="10.5" customHeight="1">
      <c r="A108" s="31"/>
      <c r="B108" s="32"/>
      <c r="C108" s="121"/>
      <c r="D108" s="121"/>
      <c r="E108" s="122"/>
      <c r="F108" s="122"/>
      <c r="G108" s="122"/>
      <c r="H108" s="122"/>
      <c r="I108" s="122"/>
      <c r="J108" s="123"/>
      <c r="K108" s="121"/>
      <c r="L108" s="127"/>
      <c r="M108" s="127"/>
      <c r="N108" s="127"/>
      <c r="O108" s="126"/>
      <c r="P108" s="126"/>
      <c r="Q108" s="126"/>
      <c r="R108" s="121"/>
    </row>
    <row r="109" ht="10.5" customHeight="1">
      <c r="A109" s="31"/>
      <c r="B109" s="32"/>
      <c r="C109" s="121"/>
      <c r="D109" s="121"/>
      <c r="E109" s="122"/>
      <c r="F109" s="122"/>
      <c r="G109" s="122"/>
      <c r="H109" s="122"/>
      <c r="I109" s="122"/>
      <c r="J109" s="123"/>
      <c r="K109" s="121"/>
      <c r="L109" s="127"/>
      <c r="M109" s="127"/>
      <c r="N109" s="127"/>
      <c r="O109" s="126"/>
      <c r="P109" s="126"/>
      <c r="Q109" s="126"/>
      <c r="R109" s="121"/>
    </row>
    <row r="110" ht="10.5" customHeight="1">
      <c r="A110" s="31"/>
      <c r="B110" s="32"/>
      <c r="C110" s="121"/>
      <c r="D110" s="121"/>
      <c r="E110" s="122"/>
      <c r="F110" s="122"/>
      <c r="G110" s="122"/>
      <c r="H110" s="122"/>
      <c r="I110" s="122"/>
      <c r="J110" s="123"/>
      <c r="K110" s="121"/>
      <c r="L110" s="127"/>
      <c r="M110" s="127"/>
      <c r="N110" s="127"/>
      <c r="O110" s="126"/>
      <c r="P110" s="126"/>
      <c r="Q110" s="126"/>
      <c r="R110" s="121"/>
    </row>
    <row r="111" ht="10.5" customHeight="1">
      <c r="A111" s="31"/>
      <c r="B111" s="32"/>
      <c r="C111" s="121"/>
      <c r="D111" s="121"/>
      <c r="E111" s="122"/>
      <c r="F111" s="122"/>
      <c r="G111" s="122"/>
      <c r="H111" s="122"/>
      <c r="I111" s="122"/>
      <c r="J111" s="123"/>
      <c r="K111" s="121"/>
      <c r="L111" s="127"/>
      <c r="M111" s="127"/>
      <c r="N111" s="127"/>
      <c r="O111" s="126"/>
      <c r="P111" s="126"/>
      <c r="Q111" s="126"/>
      <c r="R111" s="121"/>
    </row>
    <row r="112" ht="10.5" customHeight="1">
      <c r="A112" s="31"/>
      <c r="B112" s="32"/>
      <c r="C112" s="121"/>
      <c r="D112" s="121"/>
      <c r="E112" s="122"/>
      <c r="F112" s="122"/>
      <c r="G112" s="122"/>
      <c r="H112" s="122"/>
      <c r="I112" s="122"/>
      <c r="J112" s="123"/>
      <c r="K112" s="121"/>
      <c r="L112" s="127"/>
      <c r="M112" s="127"/>
      <c r="N112" s="127"/>
      <c r="O112" s="126"/>
      <c r="P112" s="126"/>
      <c r="Q112" s="126"/>
      <c r="R112" s="121"/>
    </row>
    <row r="113" ht="10.5" customHeight="1">
      <c r="A113" s="31"/>
      <c r="B113" s="32"/>
      <c r="C113" s="121"/>
      <c r="D113" s="121"/>
      <c r="E113" s="122"/>
      <c r="F113" s="122"/>
      <c r="G113" s="122"/>
      <c r="H113" s="122"/>
      <c r="I113" s="122"/>
      <c r="J113" s="123"/>
      <c r="K113" s="121"/>
      <c r="L113" s="127"/>
      <c r="M113" s="127"/>
      <c r="N113" s="127"/>
      <c r="O113" s="126"/>
      <c r="P113" s="126"/>
      <c r="Q113" s="126"/>
      <c r="R113" s="121"/>
    </row>
    <row r="114" ht="10.5" customHeight="1">
      <c r="A114" s="31"/>
      <c r="B114" s="32"/>
      <c r="C114" s="121"/>
      <c r="D114" s="121"/>
      <c r="E114" s="122"/>
      <c r="F114" s="122"/>
      <c r="G114" s="122"/>
      <c r="H114" s="122"/>
      <c r="I114" s="122"/>
      <c r="J114" s="123"/>
      <c r="K114" s="121"/>
      <c r="L114" s="127"/>
      <c r="M114" s="127"/>
      <c r="N114" s="127"/>
      <c r="O114" s="126"/>
      <c r="P114" s="126"/>
      <c r="Q114" s="126"/>
      <c r="R114" s="121"/>
    </row>
    <row r="115" ht="10.5" customHeight="1">
      <c r="A115" s="31"/>
      <c r="B115" s="32"/>
      <c r="C115" s="121"/>
      <c r="D115" s="121"/>
      <c r="E115" s="122"/>
      <c r="F115" s="122"/>
      <c r="G115" s="122"/>
      <c r="H115" s="122"/>
      <c r="I115" s="122"/>
      <c r="J115" s="123"/>
      <c r="K115" s="121"/>
      <c r="L115" s="127"/>
      <c r="M115" s="127"/>
      <c r="N115" s="127"/>
      <c r="O115" s="126"/>
      <c r="P115" s="126"/>
      <c r="Q115" s="126"/>
      <c r="R115" s="121"/>
    </row>
    <row r="116" ht="10.5" customHeight="1">
      <c r="A116" s="31"/>
      <c r="B116" s="32"/>
      <c r="C116" s="121"/>
      <c r="D116" s="121"/>
      <c r="E116" s="122"/>
      <c r="F116" s="122"/>
      <c r="G116" s="122"/>
      <c r="H116" s="122"/>
      <c r="I116" s="122"/>
      <c r="J116" s="123"/>
      <c r="K116" s="121"/>
      <c r="L116" s="127"/>
      <c r="M116" s="127"/>
      <c r="N116" s="127"/>
      <c r="O116" s="126"/>
      <c r="P116" s="126"/>
      <c r="Q116" s="126"/>
      <c r="R116" s="121"/>
    </row>
    <row r="117" ht="10.5" customHeight="1">
      <c r="A117" s="31"/>
      <c r="B117" s="32"/>
      <c r="C117" s="121"/>
      <c r="D117" s="121"/>
      <c r="E117" s="122"/>
      <c r="F117" s="122"/>
      <c r="G117" s="122"/>
      <c r="H117" s="122"/>
      <c r="I117" s="122"/>
      <c r="J117" s="123"/>
      <c r="K117" s="121"/>
      <c r="L117" s="127"/>
      <c r="M117" s="127"/>
      <c r="N117" s="127"/>
      <c r="O117" s="126"/>
      <c r="P117" s="126"/>
      <c r="Q117" s="126"/>
      <c r="R117" s="121"/>
    </row>
    <row r="118" ht="10.5" customHeight="1">
      <c r="A118" s="31"/>
      <c r="B118" s="32"/>
      <c r="C118" s="121"/>
      <c r="D118" s="121"/>
      <c r="E118" s="122"/>
      <c r="F118" s="122"/>
      <c r="G118" s="122"/>
      <c r="H118" s="122"/>
      <c r="I118" s="122"/>
      <c r="J118" s="123"/>
      <c r="K118" s="121"/>
      <c r="L118" s="127"/>
      <c r="M118" s="127"/>
      <c r="N118" s="127"/>
      <c r="O118" s="126"/>
      <c r="P118" s="126"/>
      <c r="Q118" s="126"/>
      <c r="R118" s="121"/>
    </row>
    <row r="119" ht="10.5" customHeight="1">
      <c r="A119" s="31"/>
      <c r="B119" s="32"/>
      <c r="C119" s="121"/>
      <c r="D119" s="121"/>
      <c r="E119" s="122"/>
      <c r="F119" s="122"/>
      <c r="G119" s="122"/>
      <c r="H119" s="122"/>
      <c r="I119" s="122"/>
      <c r="J119" s="123"/>
      <c r="K119" s="121"/>
      <c r="L119" s="127"/>
      <c r="M119" s="127"/>
      <c r="N119" s="127"/>
      <c r="O119" s="126"/>
      <c r="P119" s="126"/>
      <c r="Q119" s="126"/>
      <c r="R119" s="121"/>
    </row>
    <row r="120" ht="10.5" customHeight="1">
      <c r="A120" s="31"/>
      <c r="B120" s="32"/>
      <c r="C120" s="121"/>
      <c r="D120" s="121"/>
      <c r="E120" s="122"/>
      <c r="F120" s="122"/>
      <c r="G120" s="122"/>
      <c r="H120" s="122"/>
      <c r="I120" s="122"/>
      <c r="J120" s="123"/>
      <c r="K120" s="121"/>
      <c r="L120" s="127"/>
      <c r="M120" s="127"/>
      <c r="N120" s="127"/>
      <c r="O120" s="126"/>
      <c r="P120" s="126"/>
      <c r="Q120" s="126"/>
      <c r="R120" s="121"/>
    </row>
    <row r="121" ht="10.5" customHeight="1">
      <c r="A121" s="31"/>
      <c r="B121" s="32"/>
      <c r="C121" s="121"/>
      <c r="D121" s="121"/>
      <c r="E121" s="122"/>
      <c r="F121" s="122"/>
      <c r="G121" s="122"/>
      <c r="H121" s="122"/>
      <c r="I121" s="122"/>
      <c r="J121" s="123"/>
      <c r="K121" s="121"/>
      <c r="L121" s="127"/>
      <c r="M121" s="127"/>
      <c r="N121" s="127"/>
      <c r="O121" s="126"/>
      <c r="P121" s="126"/>
      <c r="Q121" s="126"/>
      <c r="R121" s="121"/>
    </row>
    <row r="122" ht="10.5" customHeight="1">
      <c r="A122" s="31"/>
      <c r="B122" s="32"/>
      <c r="C122" s="121"/>
      <c r="D122" s="121"/>
      <c r="E122" s="122"/>
      <c r="F122" s="122"/>
      <c r="G122" s="122"/>
      <c r="H122" s="122"/>
      <c r="I122" s="122"/>
      <c r="J122" s="123"/>
      <c r="K122" s="121"/>
      <c r="L122" s="127"/>
      <c r="M122" s="127"/>
      <c r="N122" s="127"/>
      <c r="O122" s="126"/>
      <c r="P122" s="126"/>
      <c r="Q122" s="126"/>
      <c r="R122" s="121"/>
    </row>
    <row r="123" ht="10.5" customHeight="1">
      <c r="A123" s="31"/>
      <c r="B123" s="32"/>
      <c r="C123" s="121"/>
      <c r="D123" s="121"/>
      <c r="E123" s="122"/>
      <c r="F123" s="122"/>
      <c r="G123" s="122"/>
      <c r="H123" s="122"/>
      <c r="I123" s="122"/>
      <c r="J123" s="123"/>
      <c r="K123" s="121"/>
      <c r="L123" s="127"/>
      <c r="M123" s="127"/>
      <c r="N123" s="127"/>
      <c r="O123" s="126"/>
      <c r="P123" s="126"/>
      <c r="Q123" s="126"/>
      <c r="R123" s="121"/>
    </row>
    <row r="124" ht="10.5" customHeight="1">
      <c r="A124" s="31"/>
      <c r="B124" s="32"/>
      <c r="C124" s="121"/>
      <c r="D124" s="121"/>
      <c r="E124" s="122"/>
      <c r="F124" s="122"/>
      <c r="G124" s="122"/>
      <c r="H124" s="122"/>
      <c r="I124" s="122"/>
      <c r="J124" s="123"/>
      <c r="K124" s="121"/>
      <c r="L124" s="127"/>
      <c r="M124" s="127"/>
      <c r="N124" s="127"/>
      <c r="O124" s="126"/>
      <c r="P124" s="126"/>
      <c r="Q124" s="126"/>
      <c r="R124" s="121"/>
    </row>
    <row r="125" ht="10.5" customHeight="1">
      <c r="A125" s="31"/>
      <c r="B125" s="32"/>
      <c r="C125" s="121"/>
      <c r="D125" s="121"/>
      <c r="E125" s="122"/>
      <c r="F125" s="122"/>
      <c r="G125" s="122"/>
      <c r="H125" s="122"/>
      <c r="I125" s="122"/>
      <c r="J125" s="123"/>
      <c r="K125" s="121"/>
      <c r="L125" s="127"/>
      <c r="M125" s="127"/>
      <c r="N125" s="127"/>
      <c r="O125" s="126"/>
      <c r="P125" s="126"/>
      <c r="Q125" s="126"/>
      <c r="R125" s="121"/>
    </row>
    <row r="126" ht="10.5" customHeight="1">
      <c r="A126" s="31"/>
      <c r="B126" s="32"/>
      <c r="C126" s="121"/>
      <c r="D126" s="121"/>
      <c r="E126" s="122"/>
      <c r="F126" s="122"/>
      <c r="G126" s="122"/>
      <c r="H126" s="122"/>
      <c r="I126" s="122"/>
      <c r="J126" s="123"/>
      <c r="K126" s="121"/>
      <c r="L126" s="127"/>
      <c r="M126" s="127"/>
      <c r="N126" s="127"/>
      <c r="O126" s="126"/>
      <c r="P126" s="126"/>
      <c r="Q126" s="126"/>
      <c r="R126" s="121"/>
    </row>
    <row r="127" ht="10.5" customHeight="1">
      <c r="A127" s="31"/>
      <c r="B127" s="32"/>
      <c r="C127" s="121"/>
      <c r="D127" s="121"/>
      <c r="E127" s="122"/>
      <c r="F127" s="122"/>
      <c r="G127" s="122"/>
      <c r="H127" s="122"/>
      <c r="I127" s="122"/>
      <c r="J127" s="123"/>
      <c r="K127" s="121"/>
      <c r="L127" s="127"/>
      <c r="M127" s="127"/>
      <c r="N127" s="127"/>
      <c r="O127" s="126"/>
      <c r="P127" s="126"/>
      <c r="Q127" s="126"/>
      <c r="R127" s="121"/>
    </row>
    <row r="128" ht="10.5" customHeight="1">
      <c r="A128" s="31"/>
      <c r="B128" s="32"/>
      <c r="C128" s="121"/>
      <c r="D128" s="121"/>
      <c r="E128" s="122"/>
      <c r="F128" s="122"/>
      <c r="G128" s="122"/>
      <c r="H128" s="122"/>
      <c r="I128" s="122"/>
      <c r="J128" s="123"/>
      <c r="K128" s="121"/>
      <c r="L128" s="127"/>
      <c r="M128" s="127"/>
      <c r="N128" s="127"/>
      <c r="O128" s="126"/>
      <c r="P128" s="126"/>
      <c r="Q128" s="126"/>
      <c r="R128" s="121"/>
    </row>
    <row r="129" ht="10.5" customHeight="1">
      <c r="A129" s="31"/>
      <c r="B129" s="32"/>
      <c r="C129" s="121"/>
      <c r="D129" s="121"/>
      <c r="E129" s="122"/>
      <c r="F129" s="122"/>
      <c r="G129" s="122"/>
      <c r="H129" s="122"/>
      <c r="I129" s="122"/>
      <c r="J129" s="123"/>
      <c r="K129" s="121"/>
      <c r="L129" s="127"/>
      <c r="M129" s="127"/>
      <c r="N129" s="127"/>
      <c r="O129" s="126"/>
      <c r="P129" s="126"/>
      <c r="Q129" s="126"/>
      <c r="R129" s="121"/>
    </row>
    <row r="130" ht="10.5" customHeight="1">
      <c r="A130" s="31"/>
      <c r="B130" s="32"/>
      <c r="C130" s="121"/>
      <c r="D130" s="121"/>
      <c r="E130" s="122"/>
      <c r="F130" s="122"/>
      <c r="G130" s="122"/>
      <c r="H130" s="122"/>
      <c r="I130" s="122"/>
      <c r="J130" s="123"/>
      <c r="K130" s="121"/>
      <c r="L130" s="127"/>
      <c r="M130" s="127"/>
      <c r="N130" s="127"/>
      <c r="O130" s="126"/>
      <c r="P130" s="126"/>
      <c r="Q130" s="126"/>
      <c r="R130" s="121"/>
    </row>
    <row r="131" ht="10.5" customHeight="1">
      <c r="A131" s="31"/>
      <c r="B131" s="32"/>
      <c r="C131" s="121"/>
      <c r="D131" s="121"/>
      <c r="E131" s="122"/>
      <c r="F131" s="122"/>
      <c r="G131" s="122"/>
      <c r="H131" s="122"/>
      <c r="I131" s="122"/>
      <c r="J131" s="123"/>
      <c r="K131" s="121"/>
      <c r="L131" s="127"/>
      <c r="M131" s="127"/>
      <c r="N131" s="127"/>
      <c r="O131" s="126"/>
      <c r="P131" s="126"/>
      <c r="Q131" s="126"/>
      <c r="R131" s="121"/>
    </row>
    <row r="132" ht="10.5" customHeight="1">
      <c r="A132" s="31"/>
      <c r="B132" s="32"/>
      <c r="C132" s="121"/>
      <c r="D132" s="121"/>
      <c r="E132" s="122"/>
      <c r="F132" s="122"/>
      <c r="G132" s="122"/>
      <c r="H132" s="122"/>
      <c r="I132" s="122"/>
      <c r="J132" s="123"/>
      <c r="K132" s="121"/>
      <c r="L132" s="127"/>
      <c r="M132" s="127"/>
      <c r="N132" s="127"/>
      <c r="O132" s="126"/>
      <c r="P132" s="126"/>
      <c r="Q132" s="126"/>
      <c r="R132" s="121"/>
    </row>
    <row r="133" ht="10.5" customHeight="1">
      <c r="A133" s="31"/>
      <c r="B133" s="32"/>
      <c r="C133" s="121"/>
      <c r="D133" s="121"/>
      <c r="E133" s="122"/>
      <c r="F133" s="122"/>
      <c r="G133" s="122"/>
      <c r="H133" s="122"/>
      <c r="I133" s="122"/>
      <c r="J133" s="123"/>
      <c r="K133" s="121"/>
      <c r="L133" s="127"/>
      <c r="M133" s="127"/>
      <c r="N133" s="127"/>
      <c r="O133" s="126"/>
      <c r="P133" s="126"/>
      <c r="Q133" s="126"/>
      <c r="R133" s="121"/>
    </row>
    <row r="134" ht="10.5" customHeight="1">
      <c r="A134" s="31"/>
      <c r="B134" s="32"/>
      <c r="C134" s="121"/>
      <c r="D134" s="121"/>
      <c r="E134" s="122"/>
      <c r="F134" s="122"/>
      <c r="G134" s="122"/>
      <c r="H134" s="122"/>
      <c r="I134" s="122"/>
      <c r="J134" s="123"/>
      <c r="K134" s="121"/>
      <c r="L134" s="127"/>
      <c r="M134" s="127"/>
      <c r="N134" s="127"/>
      <c r="O134" s="126"/>
      <c r="P134" s="126"/>
      <c r="Q134" s="126"/>
      <c r="R134" s="121"/>
    </row>
    <row r="135" ht="10.5" customHeight="1">
      <c r="A135" s="31"/>
      <c r="B135" s="32"/>
      <c r="C135" s="121"/>
      <c r="D135" s="121"/>
      <c r="E135" s="122"/>
      <c r="F135" s="122"/>
      <c r="G135" s="122"/>
      <c r="H135" s="122"/>
      <c r="I135" s="122"/>
      <c r="J135" s="123"/>
      <c r="K135" s="121"/>
      <c r="L135" s="127"/>
      <c r="M135" s="127"/>
      <c r="N135" s="127"/>
      <c r="O135" s="126"/>
      <c r="P135" s="126"/>
      <c r="Q135" s="126"/>
      <c r="R135" s="121"/>
    </row>
    <row r="136" ht="10.5" customHeight="1">
      <c r="A136" s="31"/>
      <c r="B136" s="32"/>
      <c r="C136" s="121"/>
      <c r="D136" s="121"/>
      <c r="E136" s="122"/>
      <c r="F136" s="122"/>
      <c r="G136" s="122"/>
      <c r="H136" s="122"/>
      <c r="I136" s="122"/>
      <c r="J136" s="123"/>
      <c r="K136" s="121"/>
      <c r="L136" s="127"/>
      <c r="M136" s="127"/>
      <c r="N136" s="127"/>
      <c r="O136" s="126"/>
      <c r="P136" s="126"/>
      <c r="Q136" s="126"/>
      <c r="R136" s="121"/>
    </row>
    <row r="137" ht="10.5" customHeight="1">
      <c r="A137" s="31"/>
      <c r="B137" s="32"/>
      <c r="C137" s="121"/>
      <c r="D137" s="121"/>
      <c r="E137" s="122"/>
      <c r="F137" s="122"/>
      <c r="G137" s="122"/>
      <c r="H137" s="122"/>
      <c r="I137" s="122"/>
      <c r="J137" s="123"/>
      <c r="K137" s="121"/>
      <c r="L137" s="127"/>
      <c r="M137" s="127"/>
      <c r="N137" s="127"/>
      <c r="O137" s="126"/>
      <c r="P137" s="126"/>
      <c r="Q137" s="126"/>
      <c r="R137" s="121"/>
    </row>
    <row r="138" ht="10.5" customHeight="1">
      <c r="A138" s="31"/>
      <c r="B138" s="32"/>
      <c r="C138" s="121"/>
      <c r="D138" s="121"/>
      <c r="E138" s="122"/>
      <c r="F138" s="122"/>
      <c r="G138" s="122"/>
      <c r="H138" s="122"/>
      <c r="I138" s="122"/>
      <c r="J138" s="123"/>
      <c r="K138" s="121"/>
      <c r="L138" s="127"/>
      <c r="M138" s="127"/>
      <c r="N138" s="127"/>
      <c r="O138" s="126"/>
      <c r="P138" s="126"/>
      <c r="Q138" s="126"/>
      <c r="R138" s="121"/>
    </row>
    <row r="139" ht="10.5" customHeight="1">
      <c r="A139" s="31"/>
      <c r="B139" s="32"/>
      <c r="C139" s="121"/>
      <c r="D139" s="121"/>
      <c r="E139" s="122"/>
      <c r="F139" s="122"/>
      <c r="G139" s="122"/>
      <c r="H139" s="122"/>
      <c r="I139" s="122"/>
      <c r="J139" s="123"/>
      <c r="K139" s="121"/>
      <c r="L139" s="127"/>
      <c r="M139" s="127"/>
      <c r="N139" s="127"/>
      <c r="O139" s="126"/>
      <c r="P139" s="126"/>
      <c r="Q139" s="126"/>
      <c r="R139" s="121"/>
    </row>
    <row r="140" ht="10.5" customHeight="1">
      <c r="A140" s="31"/>
      <c r="B140" s="32"/>
      <c r="C140" s="121"/>
      <c r="D140" s="121"/>
      <c r="E140" s="122"/>
      <c r="F140" s="122"/>
      <c r="G140" s="122"/>
      <c r="H140" s="122"/>
      <c r="I140" s="122"/>
      <c r="J140" s="123"/>
      <c r="K140" s="121"/>
      <c r="L140" s="127"/>
      <c r="M140" s="127"/>
      <c r="N140" s="127"/>
      <c r="O140" s="126"/>
      <c r="P140" s="126"/>
      <c r="Q140" s="126"/>
      <c r="R140" s="121"/>
    </row>
    <row r="141" ht="10.5" customHeight="1">
      <c r="A141" s="31"/>
      <c r="B141" s="32"/>
      <c r="C141" s="121"/>
      <c r="D141" s="121"/>
      <c r="E141" s="122"/>
      <c r="F141" s="122"/>
      <c r="G141" s="122"/>
      <c r="H141" s="122"/>
      <c r="I141" s="122"/>
      <c r="J141" s="123"/>
      <c r="K141" s="121"/>
      <c r="L141" s="127"/>
      <c r="M141" s="127"/>
      <c r="N141" s="127"/>
      <c r="O141" s="126"/>
      <c r="P141" s="126"/>
      <c r="Q141" s="126"/>
      <c r="R141" s="121"/>
    </row>
    <row r="142" ht="10.5" customHeight="1">
      <c r="A142" s="31"/>
      <c r="B142" s="32"/>
      <c r="C142" s="121"/>
      <c r="D142" s="121"/>
      <c r="E142" s="122"/>
      <c r="F142" s="122"/>
      <c r="G142" s="122"/>
      <c r="H142" s="122"/>
      <c r="I142" s="122"/>
      <c r="J142" s="123"/>
      <c r="K142" s="121"/>
      <c r="L142" s="127"/>
      <c r="M142" s="127"/>
      <c r="N142" s="127"/>
      <c r="O142" s="126"/>
      <c r="P142" s="126"/>
      <c r="Q142" s="126"/>
      <c r="R142" s="121"/>
    </row>
    <row r="143" ht="15.75" customHeight="1">
      <c r="E143" s="122"/>
      <c r="F143" s="122"/>
      <c r="G143" s="122"/>
      <c r="H143" s="122"/>
      <c r="I143" s="122"/>
    </row>
    <row r="144" ht="15.75" customHeight="1">
      <c r="E144" s="122"/>
      <c r="F144" s="122"/>
      <c r="G144" s="122"/>
      <c r="H144" s="122"/>
      <c r="I144" s="122"/>
    </row>
    <row r="145" ht="15.75" customHeight="1">
      <c r="E145" s="122"/>
      <c r="F145" s="122"/>
      <c r="G145" s="122"/>
      <c r="H145" s="122"/>
      <c r="I145" s="122"/>
    </row>
    <row r="146" ht="15.75" customHeight="1">
      <c r="E146" s="33"/>
      <c r="F146" s="33"/>
      <c r="G146" s="33"/>
      <c r="H146" s="33"/>
      <c r="I146" s="33"/>
    </row>
    <row r="147" ht="15.75" customHeight="1">
      <c r="E147" s="33"/>
      <c r="F147" s="33"/>
      <c r="G147" s="33"/>
      <c r="H147" s="33"/>
      <c r="I147" s="33"/>
    </row>
    <row r="148" ht="15.75" customHeight="1">
      <c r="E148" s="33"/>
      <c r="F148" s="33"/>
      <c r="G148" s="33"/>
      <c r="H148" s="33"/>
      <c r="I148" s="33"/>
    </row>
    <row r="149" ht="15.75" customHeight="1">
      <c r="E149" s="33"/>
      <c r="F149" s="33"/>
      <c r="G149" s="33"/>
      <c r="H149" s="33"/>
      <c r="I149" s="33"/>
    </row>
    <row r="150" ht="15.75" customHeight="1">
      <c r="E150" s="33"/>
      <c r="F150" s="33"/>
      <c r="G150" s="33"/>
      <c r="H150" s="33"/>
      <c r="I150" s="33"/>
    </row>
    <row r="151" ht="15.75" customHeight="1">
      <c r="E151" s="33"/>
      <c r="F151" s="33"/>
      <c r="G151" s="33"/>
      <c r="H151" s="33"/>
      <c r="I151" s="33"/>
    </row>
    <row r="152" ht="15.75" customHeight="1">
      <c r="E152" s="33"/>
      <c r="F152" s="33"/>
      <c r="G152" s="33"/>
      <c r="H152" s="33"/>
      <c r="I152" s="33"/>
    </row>
    <row r="153" ht="15.75" customHeight="1">
      <c r="E153" s="33"/>
      <c r="F153" s="33"/>
      <c r="G153" s="33"/>
      <c r="H153" s="33"/>
      <c r="I153" s="33"/>
    </row>
    <row r="154" ht="15.75" customHeight="1">
      <c r="E154" s="33"/>
      <c r="F154" s="33"/>
      <c r="G154" s="33"/>
      <c r="H154" s="33"/>
      <c r="I154" s="33"/>
    </row>
    <row r="155" ht="15.75" customHeight="1">
      <c r="E155" s="33"/>
      <c r="F155" s="33"/>
      <c r="G155" s="33"/>
      <c r="H155" s="33"/>
      <c r="I155" s="33"/>
    </row>
    <row r="156" ht="15.75" customHeight="1">
      <c r="E156" s="33"/>
      <c r="F156" s="33"/>
      <c r="G156" s="33"/>
      <c r="H156" s="33"/>
      <c r="I156" s="33"/>
    </row>
    <row r="157" ht="15.75" customHeight="1">
      <c r="E157" s="33"/>
      <c r="F157" s="33"/>
      <c r="G157" s="33"/>
      <c r="H157" s="33"/>
      <c r="I157" s="33"/>
    </row>
    <row r="158" ht="15.75" customHeight="1">
      <c r="E158" s="33"/>
      <c r="F158" s="33"/>
      <c r="G158" s="33"/>
      <c r="H158" s="33"/>
      <c r="I158" s="33"/>
    </row>
    <row r="159" ht="15.75" customHeight="1">
      <c r="E159" s="33"/>
      <c r="F159" s="33"/>
      <c r="G159" s="33"/>
      <c r="H159" s="33"/>
      <c r="I159" s="33"/>
    </row>
    <row r="160" ht="15.75" customHeight="1">
      <c r="E160" s="33"/>
      <c r="F160" s="33"/>
      <c r="G160" s="33"/>
      <c r="H160" s="33"/>
      <c r="I160" s="33"/>
    </row>
    <row r="161" ht="15.75" customHeight="1">
      <c r="E161" s="33"/>
      <c r="F161" s="33"/>
      <c r="G161" s="33"/>
      <c r="H161" s="33"/>
      <c r="I161" s="33"/>
    </row>
    <row r="162" ht="15.75" customHeight="1">
      <c r="E162" s="33"/>
      <c r="F162" s="33"/>
      <c r="G162" s="33"/>
      <c r="H162" s="33"/>
      <c r="I162" s="33"/>
    </row>
    <row r="163" ht="15.75" customHeight="1">
      <c r="E163" s="33"/>
      <c r="F163" s="33"/>
      <c r="G163" s="33"/>
      <c r="H163" s="33"/>
      <c r="I163" s="33"/>
    </row>
    <row r="164" ht="15.75" customHeight="1">
      <c r="E164" s="33"/>
      <c r="F164" s="33"/>
      <c r="G164" s="33"/>
      <c r="H164" s="33"/>
      <c r="I164" s="33"/>
    </row>
    <row r="165" ht="15.75" customHeight="1">
      <c r="E165" s="33"/>
      <c r="F165" s="33"/>
      <c r="G165" s="33"/>
      <c r="H165" s="33"/>
      <c r="I165" s="33"/>
    </row>
    <row r="166" ht="15.75" customHeight="1">
      <c r="E166" s="33"/>
      <c r="F166" s="33"/>
      <c r="G166" s="33"/>
      <c r="H166" s="33"/>
      <c r="I166" s="33"/>
    </row>
    <row r="167" ht="15.75" customHeight="1">
      <c r="E167" s="33"/>
      <c r="F167" s="33"/>
      <c r="G167" s="33"/>
      <c r="H167" s="33"/>
      <c r="I167" s="33"/>
    </row>
    <row r="168" ht="15.75" customHeight="1">
      <c r="E168" s="33"/>
      <c r="F168" s="33"/>
      <c r="G168" s="33"/>
      <c r="H168" s="33"/>
      <c r="I168" s="33"/>
    </row>
    <row r="169" ht="15.75" customHeight="1">
      <c r="E169" s="33"/>
      <c r="F169" s="33"/>
      <c r="G169" s="33"/>
      <c r="H169" s="33"/>
      <c r="I169" s="33"/>
    </row>
    <row r="170" ht="15.75" customHeight="1">
      <c r="E170" s="33"/>
      <c r="F170" s="33"/>
      <c r="G170" s="33"/>
      <c r="H170" s="33"/>
      <c r="I170" s="33"/>
    </row>
    <row r="171" ht="15.75" customHeight="1">
      <c r="E171" s="33"/>
      <c r="F171" s="33"/>
      <c r="G171" s="33"/>
      <c r="H171" s="33"/>
      <c r="I171" s="33"/>
    </row>
    <row r="172" ht="15.75" customHeight="1">
      <c r="E172" s="33"/>
      <c r="F172" s="33"/>
      <c r="G172" s="33"/>
      <c r="H172" s="33"/>
      <c r="I172" s="33"/>
    </row>
    <row r="173" ht="15.75" customHeight="1">
      <c r="E173" s="33"/>
      <c r="F173" s="33"/>
      <c r="G173" s="33"/>
      <c r="H173" s="33"/>
      <c r="I173" s="33"/>
    </row>
    <row r="174" ht="15.75" customHeight="1">
      <c r="E174" s="33"/>
      <c r="F174" s="33"/>
      <c r="G174" s="33"/>
      <c r="H174" s="33"/>
      <c r="I174" s="33"/>
    </row>
    <row r="175" ht="15.75" customHeight="1">
      <c r="E175" s="33"/>
      <c r="F175" s="33"/>
      <c r="G175" s="33"/>
      <c r="H175" s="33"/>
      <c r="I175" s="33"/>
    </row>
    <row r="176" ht="15.75" customHeight="1">
      <c r="E176" s="33"/>
      <c r="F176" s="33"/>
      <c r="G176" s="33"/>
      <c r="H176" s="33"/>
      <c r="I176" s="33"/>
    </row>
    <row r="177" ht="15.75" customHeight="1">
      <c r="E177" s="33"/>
      <c r="F177" s="33"/>
      <c r="G177" s="33"/>
      <c r="H177" s="33"/>
      <c r="I177" s="33"/>
    </row>
    <row r="178" ht="15.75" customHeight="1">
      <c r="E178" s="33"/>
      <c r="F178" s="33"/>
      <c r="G178" s="33"/>
      <c r="H178" s="33"/>
      <c r="I178" s="33"/>
    </row>
    <row r="179" ht="15.75" customHeight="1">
      <c r="E179" s="33"/>
      <c r="F179" s="33"/>
      <c r="G179" s="33"/>
      <c r="H179" s="33"/>
      <c r="I179" s="33"/>
    </row>
    <row r="180" ht="15.75" customHeight="1">
      <c r="E180" s="33"/>
      <c r="F180" s="33"/>
      <c r="G180" s="33"/>
      <c r="H180" s="33"/>
      <c r="I180" s="33"/>
    </row>
    <row r="181" ht="15.75" customHeight="1">
      <c r="E181" s="33"/>
      <c r="F181" s="33"/>
      <c r="G181" s="33"/>
      <c r="H181" s="33"/>
      <c r="I181" s="33"/>
    </row>
    <row r="182" ht="15.75" customHeight="1">
      <c r="E182" s="33"/>
      <c r="F182" s="33"/>
      <c r="G182" s="33"/>
      <c r="H182" s="33"/>
      <c r="I182" s="33"/>
    </row>
    <row r="183" ht="15.75" customHeight="1">
      <c r="E183" s="33"/>
      <c r="F183" s="33"/>
      <c r="G183" s="33"/>
      <c r="H183" s="33"/>
      <c r="I183" s="33"/>
    </row>
    <row r="184" ht="15.75" customHeight="1">
      <c r="E184" s="33"/>
      <c r="F184" s="33"/>
      <c r="G184" s="33"/>
      <c r="H184" s="33"/>
      <c r="I184" s="33"/>
    </row>
    <row r="185" ht="15.75" customHeight="1">
      <c r="E185" s="33"/>
      <c r="F185" s="33"/>
      <c r="G185" s="33"/>
      <c r="H185" s="33"/>
      <c r="I185" s="33"/>
    </row>
    <row r="186" ht="15.75" customHeight="1">
      <c r="E186" s="33"/>
      <c r="F186" s="33"/>
      <c r="G186" s="33"/>
      <c r="H186" s="33"/>
      <c r="I186" s="33"/>
    </row>
    <row r="187" ht="15.75" customHeight="1">
      <c r="E187" s="33"/>
      <c r="F187" s="33"/>
      <c r="G187" s="33"/>
      <c r="H187" s="33"/>
      <c r="I187" s="33"/>
    </row>
    <row r="188" ht="15.75" customHeight="1">
      <c r="E188" s="33"/>
      <c r="F188" s="33"/>
      <c r="G188" s="33"/>
      <c r="H188" s="33"/>
      <c r="I188" s="33"/>
    </row>
    <row r="189" ht="15.75" customHeight="1">
      <c r="E189" s="33"/>
      <c r="F189" s="33"/>
      <c r="G189" s="33"/>
      <c r="H189" s="33"/>
      <c r="I189" s="33"/>
    </row>
    <row r="190" ht="15.75" customHeight="1">
      <c r="E190" s="33"/>
      <c r="F190" s="33"/>
      <c r="G190" s="33"/>
      <c r="H190" s="33"/>
      <c r="I190" s="33"/>
    </row>
    <row r="191" ht="15.75" customHeight="1">
      <c r="E191" s="33"/>
      <c r="F191" s="33"/>
      <c r="G191" s="33"/>
      <c r="H191" s="33"/>
      <c r="I191" s="33"/>
    </row>
    <row r="192" ht="15.75" customHeight="1">
      <c r="E192" s="33"/>
      <c r="F192" s="33"/>
      <c r="G192" s="33"/>
      <c r="H192" s="33"/>
      <c r="I192" s="33"/>
    </row>
    <row r="193" ht="15.75" customHeight="1">
      <c r="E193" s="33"/>
      <c r="F193" s="33"/>
      <c r="G193" s="33"/>
      <c r="H193" s="33"/>
      <c r="I193" s="33"/>
    </row>
    <row r="194" ht="15.75" customHeight="1">
      <c r="E194" s="33"/>
      <c r="F194" s="33"/>
      <c r="G194" s="33"/>
      <c r="H194" s="33"/>
      <c r="I194" s="33"/>
    </row>
    <row r="195" ht="15.75" customHeight="1">
      <c r="E195" s="33"/>
      <c r="F195" s="33"/>
      <c r="G195" s="33"/>
      <c r="H195" s="33"/>
      <c r="I195" s="33"/>
    </row>
    <row r="196" ht="15.75" customHeight="1">
      <c r="E196" s="33"/>
      <c r="F196" s="33"/>
      <c r="G196" s="33"/>
      <c r="H196" s="33"/>
      <c r="I196" s="33"/>
    </row>
    <row r="197" ht="15.75" customHeight="1">
      <c r="E197" s="33"/>
      <c r="F197" s="33"/>
      <c r="G197" s="33"/>
      <c r="H197" s="33"/>
      <c r="I197" s="33"/>
    </row>
    <row r="198" ht="15.75" customHeight="1">
      <c r="E198" s="33"/>
      <c r="F198" s="33"/>
      <c r="G198" s="33"/>
      <c r="H198" s="33"/>
      <c r="I198" s="33"/>
    </row>
    <row r="199" ht="15.75" customHeight="1">
      <c r="E199" s="33"/>
      <c r="F199" s="33"/>
      <c r="G199" s="33"/>
      <c r="H199" s="33"/>
      <c r="I199" s="33"/>
    </row>
    <row r="200" ht="15.75" customHeight="1">
      <c r="E200" s="33"/>
      <c r="F200" s="33"/>
      <c r="G200" s="33"/>
      <c r="H200" s="33"/>
      <c r="I200" s="33"/>
    </row>
    <row r="201" ht="15.75" customHeight="1">
      <c r="E201" s="33"/>
      <c r="F201" s="33"/>
      <c r="G201" s="33"/>
      <c r="H201" s="33"/>
      <c r="I201" s="33"/>
    </row>
    <row r="202" ht="15.75" customHeight="1">
      <c r="E202" s="33"/>
      <c r="F202" s="33"/>
      <c r="G202" s="33"/>
      <c r="H202" s="33"/>
      <c r="I202" s="33"/>
    </row>
    <row r="203" ht="15.75" customHeight="1">
      <c r="E203" s="33"/>
      <c r="F203" s="33"/>
      <c r="G203" s="33"/>
      <c r="H203" s="33"/>
      <c r="I203" s="33"/>
    </row>
    <row r="204" ht="15.75" customHeight="1">
      <c r="E204" s="33"/>
      <c r="F204" s="33"/>
      <c r="G204" s="33"/>
      <c r="H204" s="33"/>
      <c r="I204" s="33"/>
    </row>
    <row r="205" ht="15.75" customHeight="1">
      <c r="E205" s="33"/>
      <c r="F205" s="33"/>
      <c r="G205" s="33"/>
      <c r="H205" s="33"/>
      <c r="I205" s="33"/>
    </row>
    <row r="206" ht="15.75" customHeight="1">
      <c r="E206" s="33"/>
      <c r="F206" s="33"/>
      <c r="G206" s="33"/>
      <c r="H206" s="33"/>
      <c r="I206" s="33"/>
    </row>
    <row r="207" ht="15.75" customHeight="1">
      <c r="E207" s="33"/>
      <c r="F207" s="33"/>
      <c r="G207" s="33"/>
      <c r="H207" s="33"/>
      <c r="I207" s="33"/>
    </row>
    <row r="208" ht="15.75" customHeight="1">
      <c r="E208" s="33"/>
      <c r="F208" s="33"/>
      <c r="G208" s="33"/>
      <c r="H208" s="33"/>
      <c r="I208" s="33"/>
    </row>
    <row r="209" ht="15.75" customHeight="1">
      <c r="E209" s="33"/>
      <c r="F209" s="33"/>
      <c r="G209" s="33"/>
      <c r="H209" s="33"/>
      <c r="I209" s="33"/>
    </row>
    <row r="210" ht="15.75" customHeight="1">
      <c r="E210" s="33"/>
      <c r="F210" s="33"/>
      <c r="G210" s="33"/>
      <c r="H210" s="33"/>
      <c r="I210" s="33"/>
    </row>
    <row r="211" ht="15.75" customHeight="1">
      <c r="E211" s="33"/>
      <c r="F211" s="33"/>
      <c r="G211" s="33"/>
      <c r="H211" s="33"/>
      <c r="I211" s="33"/>
    </row>
    <row r="212" ht="15.75" customHeight="1">
      <c r="E212" s="33"/>
      <c r="F212" s="33"/>
      <c r="G212" s="33"/>
      <c r="H212" s="33"/>
      <c r="I212" s="33"/>
    </row>
    <row r="213" ht="15.75" customHeight="1">
      <c r="E213" s="33"/>
      <c r="F213" s="33"/>
      <c r="G213" s="33"/>
      <c r="H213" s="33"/>
      <c r="I213" s="33"/>
    </row>
    <row r="214" ht="15.75" customHeight="1">
      <c r="E214" s="33"/>
      <c r="F214" s="33"/>
      <c r="G214" s="33"/>
      <c r="H214" s="33"/>
      <c r="I214" s="33"/>
    </row>
    <row r="215" ht="15.75" customHeight="1">
      <c r="E215" s="33"/>
      <c r="F215" s="33"/>
      <c r="G215" s="33"/>
      <c r="H215" s="33"/>
      <c r="I215" s="33"/>
    </row>
    <row r="216" ht="15.75" customHeight="1">
      <c r="E216" s="33"/>
      <c r="F216" s="33"/>
      <c r="G216" s="33"/>
      <c r="H216" s="33"/>
      <c r="I216" s="33"/>
    </row>
    <row r="217" ht="15.75" customHeight="1">
      <c r="E217" s="33"/>
      <c r="F217" s="33"/>
      <c r="G217" s="33"/>
      <c r="H217" s="33"/>
      <c r="I217" s="33"/>
    </row>
    <row r="218" ht="15.75" customHeight="1">
      <c r="E218" s="33"/>
      <c r="F218" s="33"/>
      <c r="G218" s="33"/>
      <c r="H218" s="33"/>
      <c r="I218" s="33"/>
    </row>
    <row r="219" ht="15.75" customHeight="1">
      <c r="E219" s="33"/>
      <c r="F219" s="33"/>
      <c r="G219" s="33"/>
      <c r="H219" s="33"/>
      <c r="I219" s="33"/>
    </row>
    <row r="220" ht="15.75" customHeight="1">
      <c r="E220" s="33"/>
      <c r="F220" s="33"/>
      <c r="G220" s="33"/>
      <c r="H220" s="33"/>
      <c r="I220" s="33"/>
    </row>
    <row r="221" ht="15.75" customHeight="1">
      <c r="E221" s="33"/>
      <c r="F221" s="33"/>
      <c r="G221" s="33"/>
      <c r="H221" s="33"/>
      <c r="I221" s="33"/>
    </row>
    <row r="222" ht="15.75" customHeight="1">
      <c r="E222" s="33"/>
      <c r="F222" s="33"/>
      <c r="G222" s="33"/>
      <c r="H222" s="33"/>
      <c r="I222" s="33"/>
    </row>
    <row r="223" ht="15.75" customHeight="1">
      <c r="E223" s="33"/>
      <c r="F223" s="33"/>
      <c r="G223" s="33"/>
      <c r="H223" s="33"/>
      <c r="I223" s="33"/>
    </row>
    <row r="224" ht="15.75" customHeight="1">
      <c r="E224" s="33"/>
      <c r="F224" s="33"/>
      <c r="G224" s="33"/>
      <c r="H224" s="33"/>
      <c r="I224" s="33"/>
    </row>
    <row r="225" ht="15.75" customHeight="1">
      <c r="E225" s="33"/>
      <c r="F225" s="33"/>
      <c r="G225" s="33"/>
      <c r="H225" s="33"/>
      <c r="I225" s="33"/>
    </row>
    <row r="226" ht="15.75" customHeight="1">
      <c r="E226" s="33"/>
      <c r="F226" s="33"/>
      <c r="G226" s="33"/>
      <c r="H226" s="33"/>
      <c r="I226" s="33"/>
    </row>
    <row r="227" ht="15.75" customHeight="1">
      <c r="E227" s="33"/>
      <c r="F227" s="33"/>
      <c r="G227" s="33"/>
      <c r="H227" s="33"/>
      <c r="I227" s="33"/>
    </row>
    <row r="228" ht="15.75" customHeight="1">
      <c r="E228" s="33"/>
      <c r="F228" s="33"/>
      <c r="G228" s="33"/>
      <c r="H228" s="33"/>
      <c r="I228" s="33"/>
    </row>
    <row r="229" ht="15.75" customHeight="1">
      <c r="E229" s="33"/>
      <c r="F229" s="33"/>
      <c r="G229" s="33"/>
      <c r="H229" s="33"/>
      <c r="I229" s="33"/>
    </row>
    <row r="230" ht="15.75" customHeight="1">
      <c r="E230" s="33"/>
      <c r="F230" s="33"/>
      <c r="G230" s="33"/>
      <c r="H230" s="33"/>
      <c r="I230" s="33"/>
    </row>
    <row r="231" ht="15.75" customHeight="1">
      <c r="E231" s="33"/>
      <c r="F231" s="33"/>
      <c r="G231" s="33"/>
      <c r="H231" s="33"/>
      <c r="I231" s="33"/>
    </row>
    <row r="232" ht="15.75" customHeight="1">
      <c r="E232" s="33"/>
      <c r="F232" s="33"/>
      <c r="G232" s="33"/>
      <c r="H232" s="33"/>
      <c r="I232" s="33"/>
    </row>
    <row r="233" ht="15.75" customHeight="1">
      <c r="E233" s="33"/>
      <c r="F233" s="33"/>
      <c r="G233" s="33"/>
      <c r="H233" s="33"/>
      <c r="I233" s="33"/>
    </row>
    <row r="234" ht="15.75" customHeight="1">
      <c r="E234" s="33"/>
      <c r="F234" s="33"/>
      <c r="G234" s="33"/>
      <c r="H234" s="33"/>
      <c r="I234" s="33"/>
    </row>
    <row r="235" ht="15.75" customHeight="1">
      <c r="E235" s="33"/>
      <c r="F235" s="33"/>
      <c r="G235" s="33"/>
      <c r="H235" s="33"/>
      <c r="I235" s="33"/>
    </row>
    <row r="236" ht="15.75" customHeight="1">
      <c r="E236" s="33"/>
      <c r="F236" s="33"/>
      <c r="G236" s="33"/>
      <c r="H236" s="33"/>
      <c r="I236" s="33"/>
    </row>
    <row r="237" ht="15.75" customHeight="1">
      <c r="E237" s="33"/>
      <c r="F237" s="33"/>
      <c r="G237" s="33"/>
      <c r="H237" s="33"/>
      <c r="I237" s="33"/>
    </row>
    <row r="238" ht="15.75" customHeight="1">
      <c r="E238" s="33"/>
      <c r="F238" s="33"/>
      <c r="G238" s="33"/>
      <c r="H238" s="33"/>
      <c r="I238" s="33"/>
    </row>
    <row r="239" ht="15.75" customHeight="1">
      <c r="E239" s="33"/>
      <c r="F239" s="33"/>
      <c r="G239" s="33"/>
      <c r="H239" s="33"/>
      <c r="I239" s="33"/>
    </row>
    <row r="240" ht="15.75" customHeight="1">
      <c r="E240" s="33"/>
      <c r="F240" s="33"/>
      <c r="G240" s="33"/>
      <c r="H240" s="33"/>
      <c r="I240" s="33"/>
    </row>
    <row r="241" ht="15.75" customHeight="1">
      <c r="E241" s="33"/>
      <c r="F241" s="33"/>
      <c r="G241" s="33"/>
      <c r="H241" s="33"/>
      <c r="I241" s="33"/>
    </row>
    <row r="242" ht="15.75" customHeight="1">
      <c r="E242" s="33"/>
      <c r="F242" s="33"/>
      <c r="G242" s="33"/>
      <c r="H242" s="33"/>
      <c r="I242" s="33"/>
    </row>
    <row r="243" ht="15.75" customHeight="1">
      <c r="E243" s="33"/>
      <c r="F243" s="33"/>
      <c r="G243" s="33"/>
      <c r="H243" s="33"/>
      <c r="I243" s="33"/>
    </row>
    <row r="244" ht="15.75" customHeight="1">
      <c r="E244" s="33"/>
      <c r="F244" s="33"/>
      <c r="G244" s="33"/>
      <c r="H244" s="33"/>
      <c r="I244" s="33"/>
    </row>
    <row r="245" ht="15.75" customHeight="1">
      <c r="E245" s="33"/>
      <c r="F245" s="33"/>
      <c r="G245" s="33"/>
      <c r="H245" s="33"/>
      <c r="I245" s="33"/>
    </row>
    <row r="246" ht="15.75" customHeight="1">
      <c r="E246" s="33"/>
      <c r="F246" s="33"/>
      <c r="G246" s="33"/>
      <c r="H246" s="33"/>
      <c r="I246" s="33"/>
    </row>
    <row r="247" ht="15.75" customHeight="1">
      <c r="E247" s="33"/>
      <c r="F247" s="33"/>
      <c r="G247" s="33"/>
      <c r="H247" s="33"/>
      <c r="I247" s="33"/>
    </row>
    <row r="248" ht="15.75" customHeight="1">
      <c r="E248" s="33"/>
      <c r="F248" s="33"/>
      <c r="G248" s="33"/>
      <c r="H248" s="33"/>
      <c r="I248" s="33"/>
    </row>
    <row r="249" ht="15.75" customHeight="1">
      <c r="E249" s="33"/>
      <c r="F249" s="33"/>
      <c r="G249" s="33"/>
      <c r="H249" s="33"/>
      <c r="I249" s="33"/>
    </row>
    <row r="250" ht="15.75" customHeight="1">
      <c r="E250" s="33"/>
      <c r="F250" s="33"/>
      <c r="G250" s="33"/>
      <c r="H250" s="33"/>
      <c r="I250" s="33"/>
    </row>
    <row r="251" ht="15.75" customHeight="1">
      <c r="E251" s="33"/>
      <c r="F251" s="33"/>
      <c r="G251" s="33"/>
      <c r="H251" s="33"/>
      <c r="I251" s="33"/>
    </row>
    <row r="252" ht="15.75" customHeight="1">
      <c r="E252" s="33"/>
      <c r="F252" s="33"/>
      <c r="G252" s="33"/>
      <c r="H252" s="33"/>
      <c r="I252" s="33"/>
    </row>
    <row r="253" ht="15.75" customHeight="1">
      <c r="E253" s="33"/>
      <c r="F253" s="33"/>
      <c r="G253" s="33"/>
      <c r="H253" s="33"/>
      <c r="I253" s="33"/>
    </row>
    <row r="254" ht="15.75" customHeight="1">
      <c r="E254" s="33"/>
      <c r="F254" s="33"/>
      <c r="G254" s="33"/>
      <c r="H254" s="33"/>
      <c r="I254" s="33"/>
    </row>
    <row r="255" ht="15.75" customHeight="1">
      <c r="E255" s="33"/>
      <c r="F255" s="33"/>
      <c r="G255" s="33"/>
      <c r="H255" s="33"/>
      <c r="I255" s="33"/>
    </row>
    <row r="256" ht="15.75" customHeight="1">
      <c r="E256" s="33"/>
      <c r="F256" s="33"/>
      <c r="G256" s="33"/>
      <c r="H256" s="33"/>
      <c r="I256" s="33"/>
    </row>
    <row r="257" ht="15.75" customHeight="1">
      <c r="E257" s="33"/>
      <c r="F257" s="33"/>
      <c r="G257" s="33"/>
      <c r="H257" s="33"/>
      <c r="I257" s="33"/>
    </row>
    <row r="258" ht="15.75" customHeight="1">
      <c r="E258" s="33"/>
      <c r="F258" s="33"/>
      <c r="G258" s="33"/>
      <c r="H258" s="33"/>
      <c r="I258" s="33"/>
    </row>
    <row r="259" ht="15.75" customHeight="1">
      <c r="E259" s="33"/>
      <c r="F259" s="33"/>
      <c r="G259" s="33"/>
      <c r="H259" s="33"/>
      <c r="I259" s="33"/>
    </row>
    <row r="260" ht="15.75" customHeight="1">
      <c r="E260" s="33"/>
      <c r="F260" s="33"/>
      <c r="G260" s="33"/>
      <c r="H260" s="33"/>
      <c r="I260" s="33"/>
    </row>
    <row r="261" ht="15.75" customHeight="1">
      <c r="E261" s="33"/>
      <c r="F261" s="33"/>
      <c r="G261" s="33"/>
      <c r="H261" s="33"/>
      <c r="I261" s="33"/>
    </row>
    <row r="262" ht="15.75" customHeight="1">
      <c r="E262" s="33"/>
      <c r="F262" s="33"/>
      <c r="G262" s="33"/>
      <c r="H262" s="33"/>
      <c r="I262" s="33"/>
    </row>
    <row r="263" ht="15.75" customHeight="1">
      <c r="E263" s="33"/>
      <c r="F263" s="33"/>
      <c r="G263" s="33"/>
      <c r="H263" s="33"/>
      <c r="I263" s="33"/>
    </row>
    <row r="264" ht="15.75" customHeight="1">
      <c r="E264" s="33"/>
      <c r="F264" s="33"/>
      <c r="G264" s="33"/>
      <c r="H264" s="33"/>
      <c r="I264" s="33"/>
    </row>
    <row r="265" ht="15.75" customHeight="1">
      <c r="E265" s="33"/>
      <c r="F265" s="33"/>
      <c r="G265" s="33"/>
      <c r="H265" s="33"/>
      <c r="I265" s="33"/>
    </row>
    <row r="266" ht="15.75" customHeight="1">
      <c r="E266" s="33"/>
      <c r="F266" s="33"/>
      <c r="G266" s="33"/>
      <c r="H266" s="33"/>
      <c r="I266" s="33"/>
    </row>
    <row r="267" ht="15.75" customHeight="1">
      <c r="E267" s="33"/>
      <c r="F267" s="33"/>
      <c r="G267" s="33"/>
      <c r="H267" s="33"/>
      <c r="I267" s="33"/>
    </row>
    <row r="268" ht="15.75" customHeight="1">
      <c r="E268" s="33"/>
      <c r="F268" s="33"/>
      <c r="G268" s="33"/>
      <c r="H268" s="33"/>
      <c r="I268" s="33"/>
    </row>
    <row r="269" ht="15.75" customHeight="1">
      <c r="E269" s="33"/>
      <c r="F269" s="33"/>
      <c r="G269" s="33"/>
      <c r="H269" s="33"/>
      <c r="I269" s="33"/>
    </row>
    <row r="270" ht="15.75" customHeight="1">
      <c r="E270" s="33"/>
      <c r="F270" s="33"/>
      <c r="G270" s="33"/>
      <c r="H270" s="33"/>
      <c r="I270" s="33"/>
    </row>
    <row r="271" ht="15.75" customHeight="1">
      <c r="E271" s="33"/>
      <c r="F271" s="33"/>
      <c r="G271" s="33"/>
      <c r="H271" s="33"/>
      <c r="I271" s="33"/>
    </row>
    <row r="272" ht="15.75" customHeight="1">
      <c r="E272" s="33"/>
      <c r="F272" s="33"/>
      <c r="G272" s="33"/>
      <c r="H272" s="33"/>
      <c r="I272" s="33"/>
    </row>
    <row r="273" ht="15.75" customHeight="1">
      <c r="E273" s="33"/>
      <c r="F273" s="33"/>
      <c r="G273" s="33"/>
      <c r="H273" s="33"/>
      <c r="I273" s="33"/>
    </row>
    <row r="274" ht="15.75" customHeight="1">
      <c r="E274" s="33"/>
      <c r="F274" s="33"/>
      <c r="G274" s="33"/>
      <c r="H274" s="33"/>
      <c r="I274" s="33"/>
    </row>
    <row r="275" ht="15.75" customHeight="1">
      <c r="E275" s="33"/>
      <c r="F275" s="33"/>
      <c r="G275" s="33"/>
      <c r="H275" s="33"/>
      <c r="I275" s="33"/>
    </row>
    <row r="276" ht="15.75" customHeight="1">
      <c r="E276" s="33"/>
      <c r="F276" s="33"/>
      <c r="G276" s="33"/>
      <c r="H276" s="33"/>
      <c r="I276" s="33"/>
    </row>
    <row r="277" ht="15.75" customHeight="1">
      <c r="E277" s="33"/>
      <c r="F277" s="33"/>
      <c r="G277" s="33"/>
      <c r="H277" s="33"/>
      <c r="I277" s="33"/>
    </row>
    <row r="278" ht="15.75" customHeight="1">
      <c r="E278" s="33"/>
      <c r="F278" s="33"/>
      <c r="G278" s="33"/>
      <c r="H278" s="33"/>
      <c r="I278" s="33"/>
    </row>
    <row r="279" ht="15.75" customHeight="1">
      <c r="E279" s="33"/>
      <c r="F279" s="33"/>
      <c r="G279" s="33"/>
      <c r="H279" s="33"/>
      <c r="I279" s="33"/>
    </row>
    <row r="280" ht="15.75" customHeight="1">
      <c r="E280" s="33"/>
      <c r="F280" s="33"/>
      <c r="G280" s="33"/>
      <c r="H280" s="33"/>
      <c r="I280" s="33"/>
    </row>
    <row r="281" ht="15.75" customHeight="1">
      <c r="E281" s="33"/>
      <c r="F281" s="33"/>
      <c r="G281" s="33"/>
      <c r="H281" s="33"/>
      <c r="I281" s="33"/>
    </row>
    <row r="282" ht="15.75" customHeight="1">
      <c r="E282" s="33"/>
      <c r="F282" s="33"/>
      <c r="G282" s="33"/>
      <c r="H282" s="33"/>
      <c r="I282" s="33"/>
    </row>
    <row r="283" ht="15.75" customHeight="1">
      <c r="E283" s="33"/>
      <c r="F283" s="33"/>
      <c r="G283" s="33"/>
      <c r="H283" s="33"/>
      <c r="I283" s="33"/>
    </row>
    <row r="284" ht="15.75" customHeight="1">
      <c r="E284" s="33"/>
      <c r="F284" s="33"/>
      <c r="G284" s="33"/>
      <c r="H284" s="33"/>
      <c r="I284" s="33"/>
    </row>
    <row r="285" ht="15.75" customHeight="1">
      <c r="E285" s="33"/>
      <c r="F285" s="33"/>
      <c r="G285" s="33"/>
      <c r="H285" s="33"/>
      <c r="I285" s="33"/>
    </row>
    <row r="286" ht="15.75" customHeight="1">
      <c r="E286" s="33"/>
      <c r="F286" s="33"/>
      <c r="G286" s="33"/>
      <c r="H286" s="33"/>
      <c r="I286" s="33"/>
    </row>
    <row r="287" ht="15.75" customHeight="1">
      <c r="E287" s="33"/>
      <c r="F287" s="33"/>
      <c r="G287" s="33"/>
      <c r="H287" s="33"/>
      <c r="I287" s="33"/>
    </row>
    <row r="288" ht="15.75" customHeight="1">
      <c r="E288" s="33"/>
      <c r="F288" s="33"/>
      <c r="G288" s="33"/>
      <c r="H288" s="33"/>
      <c r="I288" s="33"/>
    </row>
    <row r="289" ht="15.75" customHeight="1">
      <c r="E289" s="33"/>
      <c r="F289" s="33"/>
      <c r="G289" s="33"/>
      <c r="H289" s="33"/>
      <c r="I289" s="33"/>
    </row>
    <row r="290" ht="15.75" customHeight="1">
      <c r="E290" s="33"/>
      <c r="F290" s="33"/>
      <c r="G290" s="33"/>
      <c r="H290" s="33"/>
      <c r="I290" s="33"/>
    </row>
    <row r="291" ht="15.75" customHeight="1">
      <c r="E291" s="33"/>
      <c r="F291" s="33"/>
      <c r="G291" s="33"/>
      <c r="H291" s="33"/>
      <c r="I291" s="33"/>
    </row>
    <row r="292" ht="15.75" customHeight="1">
      <c r="E292" s="33"/>
      <c r="F292" s="33"/>
      <c r="G292" s="33"/>
      <c r="H292" s="33"/>
      <c r="I292" s="33"/>
    </row>
    <row r="293" ht="15.75" customHeight="1">
      <c r="E293" s="33"/>
      <c r="F293" s="33"/>
      <c r="G293" s="33"/>
      <c r="H293" s="33"/>
      <c r="I293" s="33"/>
    </row>
    <row r="294" ht="15.75" customHeight="1">
      <c r="E294" s="33"/>
      <c r="F294" s="33"/>
      <c r="G294" s="33"/>
      <c r="H294" s="33"/>
      <c r="I294" s="33"/>
    </row>
    <row r="295" ht="15.75" customHeight="1">
      <c r="E295" s="33"/>
      <c r="F295" s="33"/>
      <c r="G295" s="33"/>
      <c r="H295" s="33"/>
      <c r="I295" s="33"/>
    </row>
    <row r="296" ht="15.75" customHeight="1">
      <c r="E296" s="33"/>
      <c r="F296" s="33"/>
      <c r="G296" s="33"/>
      <c r="H296" s="33"/>
      <c r="I296" s="33"/>
    </row>
    <row r="297" ht="15.75" customHeight="1">
      <c r="E297" s="33"/>
      <c r="F297" s="33"/>
      <c r="G297" s="33"/>
      <c r="H297" s="33"/>
      <c r="I297" s="33"/>
    </row>
    <row r="298" ht="15.75" customHeight="1">
      <c r="E298" s="33"/>
      <c r="F298" s="33"/>
      <c r="G298" s="33"/>
      <c r="H298" s="33"/>
      <c r="I298" s="33"/>
    </row>
    <row r="299" ht="15.75" customHeight="1">
      <c r="E299" s="33"/>
      <c r="F299" s="33"/>
      <c r="G299" s="33"/>
      <c r="H299" s="33"/>
      <c r="I299" s="33"/>
    </row>
    <row r="300" ht="15.75" customHeight="1">
      <c r="E300" s="33"/>
      <c r="F300" s="33"/>
      <c r="G300" s="33"/>
      <c r="H300" s="33"/>
      <c r="I300" s="33"/>
    </row>
    <row r="301" ht="15.75" customHeight="1">
      <c r="E301" s="33"/>
      <c r="F301" s="33"/>
      <c r="G301" s="33"/>
      <c r="H301" s="33"/>
      <c r="I301" s="33"/>
    </row>
    <row r="302" ht="15.75" customHeight="1">
      <c r="E302" s="33"/>
      <c r="F302" s="33"/>
      <c r="G302" s="33"/>
      <c r="H302" s="33"/>
      <c r="I302" s="33"/>
    </row>
    <row r="303" ht="15.75" customHeight="1">
      <c r="E303" s="33"/>
      <c r="F303" s="33"/>
      <c r="G303" s="33"/>
      <c r="H303" s="33"/>
      <c r="I303" s="33"/>
    </row>
    <row r="304" ht="15.75" customHeight="1">
      <c r="E304" s="33"/>
      <c r="F304" s="33"/>
      <c r="G304" s="33"/>
      <c r="H304" s="33"/>
      <c r="I304" s="33"/>
    </row>
    <row r="305" ht="15.75" customHeight="1">
      <c r="E305" s="33"/>
      <c r="F305" s="33"/>
      <c r="G305" s="33"/>
      <c r="H305" s="33"/>
      <c r="I305" s="33"/>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22AEDDB-2FCB-4B15-8AD7-2F5C6041BC01}" filter="1" showAutoFilter="1">
      <autoFilter ref="$A$10:$R$142"/>
    </customSheetView>
  </customSheetViews>
  <conditionalFormatting sqref="L11:T105">
    <cfRule type="containsText" dxfId="2" priority="1" operator="containsText" text="OK">
      <formula>NOT(ISERROR(SEARCH(("OK"),(L11))))</formula>
    </cfRule>
  </conditionalFormatting>
  <conditionalFormatting sqref="L11:T105">
    <cfRule type="cellIs" dxfId="3" priority="2" operator="equal">
      <formula>"NG"</formula>
    </cfRule>
  </conditionalFormatting>
  <conditionalFormatting sqref="L11:T105">
    <cfRule type="cellIs" dxfId="4" priority="3" operator="equal">
      <formula>"NT"</formula>
    </cfRule>
  </conditionalFormatting>
  <conditionalFormatting sqref="L11:T105">
    <cfRule type="cellIs" dxfId="5" priority="4" operator="equal">
      <formula>"BK"</formula>
    </cfRule>
  </conditionalFormatting>
  <conditionalFormatting sqref="C11:J105">
    <cfRule type="expression" dxfId="6" priority="5">
      <formula>C10=C11</formula>
    </cfRule>
  </conditionalFormatting>
  <conditionalFormatting sqref="L11:T105">
    <cfRule type="cellIs" dxfId="4" priority="6" operator="equal">
      <formula>"対象外"</formula>
    </cfRule>
  </conditionalFormatting>
  <dataValidations>
    <dataValidation type="list" allowBlank="1" showErrorMessage="1" sqref="M2 Q2 U2">
      <formula1>"Windows10,Android(SP),Android(TB)"</formula1>
    </dataValidation>
    <dataValidation type="list" allowBlank="1" sqref="L11:L105 P11:P105 T11:T10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8" t="s">
        <v>2</v>
      </c>
      <c r="C2" s="129" t="s">
        <v>259</v>
      </c>
      <c r="D2" s="129" t="s">
        <v>260</v>
      </c>
      <c r="E2" s="129" t="s">
        <v>261</v>
      </c>
      <c r="F2" s="129" t="s">
        <v>262</v>
      </c>
      <c r="G2" s="129" t="s">
        <v>263</v>
      </c>
      <c r="H2" s="129" t="s">
        <v>264</v>
      </c>
      <c r="I2" s="129" t="s">
        <v>265</v>
      </c>
    </row>
    <row r="3">
      <c r="B3" s="130">
        <f t="shared" ref="B3:B12" si="1">ROW()-ROW($B$2)</f>
        <v>1</v>
      </c>
      <c r="C3" s="131"/>
      <c r="D3" s="132"/>
      <c r="E3" s="132"/>
      <c r="F3" s="132"/>
      <c r="G3" s="132"/>
      <c r="H3" s="132"/>
      <c r="I3" s="132"/>
    </row>
    <row r="4">
      <c r="B4" s="130">
        <f t="shared" si="1"/>
        <v>2</v>
      </c>
      <c r="C4" s="131"/>
      <c r="D4" s="132"/>
      <c r="E4" s="132"/>
      <c r="F4" s="132"/>
      <c r="G4" s="132"/>
      <c r="H4" s="132"/>
      <c r="I4" s="132"/>
    </row>
    <row r="5">
      <c r="B5" s="130">
        <f t="shared" si="1"/>
        <v>3</v>
      </c>
      <c r="C5" s="131"/>
      <c r="D5" s="132"/>
      <c r="E5" s="132"/>
      <c r="F5" s="132"/>
      <c r="G5" s="132"/>
      <c r="H5" s="132"/>
      <c r="I5" s="132"/>
    </row>
    <row r="6">
      <c r="B6" s="130">
        <f t="shared" si="1"/>
        <v>4</v>
      </c>
      <c r="C6" s="131"/>
      <c r="D6" s="132"/>
      <c r="E6" s="132"/>
      <c r="F6" s="132"/>
      <c r="G6" s="132"/>
      <c r="H6" s="132"/>
      <c r="I6" s="132"/>
    </row>
    <row r="7">
      <c r="B7" s="130">
        <f t="shared" si="1"/>
        <v>5</v>
      </c>
      <c r="C7" s="131"/>
      <c r="D7" s="132"/>
      <c r="E7" s="132"/>
      <c r="F7" s="132"/>
      <c r="G7" s="132"/>
      <c r="H7" s="132"/>
      <c r="I7" s="132"/>
    </row>
    <row r="8">
      <c r="B8" s="130">
        <f t="shared" si="1"/>
        <v>6</v>
      </c>
      <c r="C8" s="131"/>
      <c r="D8" s="132"/>
      <c r="E8" s="132"/>
      <c r="F8" s="132"/>
      <c r="G8" s="132"/>
      <c r="H8" s="132"/>
      <c r="I8" s="132"/>
    </row>
    <row r="9">
      <c r="B9" s="130">
        <f t="shared" si="1"/>
        <v>7</v>
      </c>
      <c r="C9" s="131"/>
      <c r="D9" s="132"/>
      <c r="E9" s="132"/>
      <c r="F9" s="132"/>
      <c r="G9" s="132"/>
      <c r="H9" s="132"/>
      <c r="I9" s="132"/>
    </row>
    <row r="10">
      <c r="B10" s="130">
        <f t="shared" si="1"/>
        <v>8</v>
      </c>
      <c r="C10" s="131"/>
      <c r="D10" s="132"/>
      <c r="E10" s="132"/>
      <c r="F10" s="132"/>
      <c r="G10" s="132"/>
      <c r="H10" s="132"/>
      <c r="I10" s="132"/>
    </row>
    <row r="11">
      <c r="B11" s="130">
        <f t="shared" si="1"/>
        <v>9</v>
      </c>
      <c r="C11" s="131"/>
      <c r="D11" s="132"/>
      <c r="E11" s="132"/>
      <c r="F11" s="132"/>
      <c r="G11" s="132"/>
      <c r="H11" s="132"/>
      <c r="I11" s="132"/>
    </row>
    <row r="12">
      <c r="B12" s="130">
        <f t="shared" si="1"/>
        <v>10</v>
      </c>
      <c r="C12" s="131"/>
      <c r="D12" s="132"/>
      <c r="E12" s="132"/>
      <c r="F12" s="132"/>
      <c r="G12" s="132"/>
      <c r="H12" s="132"/>
      <c r="I12" s="1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4"/>
      <c r="O1" s="34"/>
      <c r="P1" s="31"/>
      <c r="Q1" s="31"/>
      <c r="R1" s="31"/>
      <c r="S1" s="31"/>
    </row>
    <row r="2">
      <c r="A2" s="31"/>
      <c r="B2" s="35" t="s">
        <v>266</v>
      </c>
      <c r="C2" s="36"/>
      <c r="D2" s="36"/>
      <c r="E2" s="36"/>
      <c r="F2" s="36"/>
      <c r="G2" s="36"/>
      <c r="H2" s="36"/>
      <c r="I2" s="36"/>
      <c r="J2" s="36"/>
      <c r="K2" s="36"/>
      <c r="L2" s="36"/>
      <c r="M2" s="133" t="s">
        <v>267</v>
      </c>
      <c r="N2" s="134"/>
      <c r="O2" s="134"/>
      <c r="P2" s="135"/>
      <c r="Q2" s="31"/>
      <c r="R2" s="31"/>
      <c r="S2" s="31"/>
    </row>
    <row r="3" ht="13.5" customHeight="1">
      <c r="A3" s="44"/>
      <c r="B3" s="45"/>
      <c r="C3" s="36"/>
      <c r="D3" s="36"/>
      <c r="E3" s="36"/>
      <c r="F3" s="36"/>
      <c r="G3" s="36"/>
      <c r="H3" s="36"/>
      <c r="I3" s="36"/>
      <c r="J3" s="136"/>
      <c r="K3" s="36"/>
      <c r="L3" s="36"/>
      <c r="M3" s="137" t="s">
        <v>6</v>
      </c>
      <c r="N3" s="138">
        <f>COUNT($B:$B)-$P$7</f>
        <v>99</v>
      </c>
      <c r="O3" s="139" t="s">
        <v>13</v>
      </c>
      <c r="P3" s="140">
        <f t="shared" ref="P3:P7" si="1">COUNTIF($M$10:$M$109,O3)</f>
        <v>1</v>
      </c>
      <c r="Q3" s="44"/>
      <c r="R3" s="44"/>
      <c r="S3" s="44"/>
    </row>
    <row r="4" ht="13.5" customHeight="1">
      <c r="A4" s="44"/>
      <c r="B4" s="45"/>
      <c r="C4" s="141" t="s">
        <v>26</v>
      </c>
      <c r="D4" s="142"/>
      <c r="E4" s="52"/>
      <c r="F4" s="36"/>
      <c r="G4" s="36"/>
      <c r="H4" s="36"/>
      <c r="I4" s="36"/>
      <c r="J4" s="143"/>
      <c r="K4" s="36"/>
      <c r="L4" s="36"/>
      <c r="M4" s="144" t="s">
        <v>7</v>
      </c>
      <c r="N4" s="145">
        <f>SUM($N$6,$P$4,$P$5)/$N$3</f>
        <v>0.0404040404</v>
      </c>
      <c r="O4" s="146" t="s">
        <v>14</v>
      </c>
      <c r="P4" s="147">
        <f t="shared" si="1"/>
        <v>1</v>
      </c>
      <c r="Q4" s="44"/>
      <c r="R4" s="44"/>
      <c r="S4" s="44"/>
    </row>
    <row r="5" ht="13.5" customHeight="1">
      <c r="A5" s="44"/>
      <c r="B5" s="45"/>
      <c r="C5" s="148" t="str">
        <f>IF(D4="PC","OS",IF(OR(D4="Android",D4="iOS",D4="FP"),"ブラウザ","自動表示"))</f>
        <v>自動表示</v>
      </c>
      <c r="D5" s="149"/>
      <c r="E5" s="52"/>
      <c r="F5" s="36"/>
      <c r="G5" s="36"/>
      <c r="H5" s="36"/>
      <c r="I5" s="36"/>
      <c r="J5" s="143"/>
      <c r="K5" s="36"/>
      <c r="L5" s="36"/>
      <c r="M5" s="150" t="s">
        <v>10</v>
      </c>
      <c r="N5" s="151">
        <f>$N$6/$N$3</f>
        <v>0.0202020202</v>
      </c>
      <c r="O5" s="146" t="s">
        <v>15</v>
      </c>
      <c r="P5" s="147">
        <f t="shared" si="1"/>
        <v>1</v>
      </c>
      <c r="Q5" s="44"/>
      <c r="R5" s="44"/>
      <c r="S5" s="44"/>
    </row>
    <row r="6" ht="13.5" customHeight="1">
      <c r="A6" s="44"/>
      <c r="B6" s="45"/>
      <c r="C6" s="148" t="str">
        <f>IF(C5="OS","ブラウザ",IF(C5="ブラウザ","端末名","自動表示"))</f>
        <v>自動表示</v>
      </c>
      <c r="D6" s="149"/>
      <c r="E6" s="52"/>
      <c r="F6" s="36"/>
      <c r="G6" s="36"/>
      <c r="H6" s="36"/>
      <c r="I6" s="36"/>
      <c r="J6" s="143"/>
      <c r="K6" s="36"/>
      <c r="L6" s="36"/>
      <c r="M6" s="152" t="s">
        <v>11</v>
      </c>
      <c r="N6" s="153">
        <f>SUM($P$3,$P$4)</f>
        <v>2</v>
      </c>
      <c r="O6" s="146" t="s">
        <v>17</v>
      </c>
      <c r="P6" s="147">
        <f t="shared" si="1"/>
        <v>1</v>
      </c>
      <c r="Q6" s="44"/>
      <c r="R6" s="44"/>
      <c r="S6" s="44"/>
    </row>
    <row r="7" ht="13.5" customHeight="1">
      <c r="A7" s="44"/>
      <c r="B7" s="45"/>
      <c r="C7" s="154" t="str">
        <f>IF(C6="自動表示","自動表示","Ver")</f>
        <v>自動表示</v>
      </c>
      <c r="D7" s="155"/>
      <c r="E7" s="52"/>
      <c r="F7" s="36"/>
      <c r="G7" s="36"/>
      <c r="H7" s="36"/>
      <c r="I7" s="36"/>
      <c r="J7" s="143"/>
      <c r="K7" s="36"/>
      <c r="L7" s="36"/>
      <c r="M7" s="156" t="s">
        <v>12</v>
      </c>
      <c r="N7" s="157">
        <f>$N$3-$N$6</f>
        <v>97</v>
      </c>
      <c r="O7" s="158" t="s">
        <v>18</v>
      </c>
      <c r="P7" s="159">
        <f t="shared" si="1"/>
        <v>1</v>
      </c>
      <c r="Q7" s="44"/>
      <c r="R7" s="44"/>
      <c r="S7" s="44"/>
    </row>
    <row r="8" ht="10.5" customHeight="1">
      <c r="A8" s="31"/>
      <c r="B8" s="32"/>
      <c r="C8" s="31"/>
      <c r="D8" s="31"/>
      <c r="E8" s="31"/>
      <c r="F8" s="31"/>
      <c r="G8" s="31"/>
      <c r="H8" s="31"/>
      <c r="I8" s="31"/>
      <c r="J8" s="31"/>
      <c r="K8" s="31"/>
      <c r="L8" s="31"/>
      <c r="M8" s="143"/>
      <c r="N8" s="143"/>
      <c r="O8" s="31"/>
      <c r="P8" s="31"/>
      <c r="Q8" s="31"/>
      <c r="R8" s="31"/>
      <c r="S8" s="31"/>
    </row>
    <row r="9" ht="18.75" customHeight="1">
      <c r="A9" s="68"/>
      <c r="B9" s="69" t="s">
        <v>2</v>
      </c>
      <c r="C9" s="74" t="s">
        <v>268</v>
      </c>
      <c r="D9" s="160" t="s">
        <v>269</v>
      </c>
      <c r="E9" s="74" t="s">
        <v>270</v>
      </c>
      <c r="F9" s="74" t="s">
        <v>271</v>
      </c>
      <c r="G9" s="74" t="s">
        <v>39</v>
      </c>
      <c r="H9" s="74" t="s">
        <v>40</v>
      </c>
      <c r="I9" s="161" t="s">
        <v>41</v>
      </c>
      <c r="J9" s="161" t="s">
        <v>42</v>
      </c>
      <c r="K9" s="74" t="s">
        <v>43</v>
      </c>
      <c r="L9" s="75" t="s">
        <v>44</v>
      </c>
      <c r="M9" s="162" t="s">
        <v>45</v>
      </c>
      <c r="N9" s="163" t="s">
        <v>46</v>
      </c>
      <c r="O9" s="164" t="s">
        <v>47</v>
      </c>
      <c r="P9" s="164" t="s">
        <v>48</v>
      </c>
      <c r="Q9" s="165" t="s">
        <v>272</v>
      </c>
      <c r="R9" s="166" t="s">
        <v>49</v>
      </c>
      <c r="S9" s="68"/>
    </row>
    <row r="10">
      <c r="A10" s="31"/>
      <c r="B10" s="80">
        <f t="shared" ref="B10:B109" si="2">(ROW()-ROW($B$9))</f>
        <v>1</v>
      </c>
      <c r="C10" s="167"/>
      <c r="D10" s="167"/>
      <c r="E10" s="167"/>
      <c r="F10" s="168"/>
      <c r="G10" s="169"/>
      <c r="H10" s="169"/>
      <c r="I10" s="169"/>
      <c r="J10" s="169"/>
      <c r="K10" s="169"/>
      <c r="L10" s="168"/>
      <c r="M10" s="170" t="s">
        <v>13</v>
      </c>
      <c r="N10" s="171"/>
      <c r="O10" s="172"/>
      <c r="P10" s="173"/>
      <c r="Q10" s="174"/>
      <c r="R10" s="175"/>
      <c r="S10" s="121"/>
    </row>
    <row r="11">
      <c r="A11" s="31"/>
      <c r="B11" s="80">
        <f t="shared" si="2"/>
        <v>2</v>
      </c>
      <c r="C11" s="176"/>
      <c r="D11" s="167"/>
      <c r="E11" s="177"/>
      <c r="F11" s="169"/>
      <c r="G11" s="169"/>
      <c r="H11" s="169"/>
      <c r="I11" s="169"/>
      <c r="J11" s="169"/>
      <c r="K11" s="169"/>
      <c r="L11" s="168"/>
      <c r="M11" s="170" t="s">
        <v>15</v>
      </c>
      <c r="N11" s="171"/>
      <c r="O11" s="172"/>
      <c r="P11" s="173"/>
      <c r="Q11" s="174"/>
      <c r="R11" s="175"/>
      <c r="S11" s="121"/>
    </row>
    <row r="12">
      <c r="A12" s="31"/>
      <c r="B12" s="80">
        <f t="shared" si="2"/>
        <v>3</v>
      </c>
      <c r="C12" s="176"/>
      <c r="D12" s="167"/>
      <c r="E12" s="177"/>
      <c r="F12" s="169"/>
      <c r="G12" s="169"/>
      <c r="H12" s="169"/>
      <c r="I12" s="169"/>
      <c r="J12" s="169"/>
      <c r="K12" s="169"/>
      <c r="L12" s="168"/>
      <c r="M12" s="170" t="s">
        <v>18</v>
      </c>
      <c r="N12" s="171"/>
      <c r="O12" s="172"/>
      <c r="P12" s="173"/>
      <c r="Q12" s="174"/>
      <c r="R12" s="175"/>
      <c r="S12" s="121"/>
    </row>
    <row r="13">
      <c r="A13" s="31"/>
      <c r="B13" s="80">
        <f t="shared" si="2"/>
        <v>4</v>
      </c>
      <c r="C13" s="176"/>
      <c r="D13" s="167"/>
      <c r="E13" s="177"/>
      <c r="F13" s="169"/>
      <c r="G13" s="169"/>
      <c r="H13" s="169"/>
      <c r="I13" s="169"/>
      <c r="J13" s="169"/>
      <c r="K13" s="169"/>
      <c r="L13" s="168"/>
      <c r="M13" s="170" t="s">
        <v>14</v>
      </c>
      <c r="N13" s="171"/>
      <c r="O13" s="172"/>
      <c r="P13" s="173"/>
      <c r="Q13" s="174"/>
      <c r="R13" s="175"/>
      <c r="S13" s="121"/>
    </row>
    <row r="14">
      <c r="A14" s="31"/>
      <c r="B14" s="80">
        <f t="shared" si="2"/>
        <v>5</v>
      </c>
      <c r="C14" s="176"/>
      <c r="D14" s="167"/>
      <c r="E14" s="177"/>
      <c r="F14" s="169"/>
      <c r="G14" s="169"/>
      <c r="H14" s="169"/>
      <c r="I14" s="169"/>
      <c r="J14" s="169"/>
      <c r="K14" s="169"/>
      <c r="L14" s="168"/>
      <c r="M14" s="170" t="s">
        <v>17</v>
      </c>
      <c r="N14" s="171"/>
      <c r="O14" s="172"/>
      <c r="P14" s="173"/>
      <c r="Q14" s="174"/>
      <c r="R14" s="175"/>
      <c r="S14" s="121"/>
    </row>
    <row r="15">
      <c r="A15" s="31"/>
      <c r="B15" s="80">
        <f t="shared" si="2"/>
        <v>6</v>
      </c>
      <c r="C15" s="176"/>
      <c r="D15" s="167"/>
      <c r="E15" s="177"/>
      <c r="F15" s="169"/>
      <c r="G15" s="169"/>
      <c r="H15" s="169"/>
      <c r="I15" s="169"/>
      <c r="J15" s="169"/>
      <c r="K15" s="169"/>
      <c r="L15" s="168"/>
      <c r="M15" s="170"/>
      <c r="N15" s="171"/>
      <c r="O15" s="172"/>
      <c r="P15" s="173"/>
      <c r="Q15" s="174"/>
      <c r="R15" s="175"/>
      <c r="S15" s="121"/>
    </row>
    <row r="16">
      <c r="A16" s="31"/>
      <c r="B16" s="80">
        <f t="shared" si="2"/>
        <v>7</v>
      </c>
      <c r="C16" s="176"/>
      <c r="D16" s="167"/>
      <c r="E16" s="177"/>
      <c r="F16" s="169"/>
      <c r="G16" s="169"/>
      <c r="H16" s="169"/>
      <c r="I16" s="169"/>
      <c r="J16" s="169"/>
      <c r="K16" s="169"/>
      <c r="L16" s="168"/>
      <c r="M16" s="170"/>
      <c r="N16" s="171"/>
      <c r="O16" s="172"/>
      <c r="P16" s="173"/>
      <c r="Q16" s="174"/>
      <c r="R16" s="175"/>
      <c r="S16" s="121"/>
    </row>
    <row r="17">
      <c r="A17" s="31"/>
      <c r="B17" s="80">
        <f t="shared" si="2"/>
        <v>8</v>
      </c>
      <c r="C17" s="176"/>
      <c r="D17" s="167"/>
      <c r="E17" s="177"/>
      <c r="F17" s="169"/>
      <c r="G17" s="169"/>
      <c r="H17" s="169"/>
      <c r="I17" s="169"/>
      <c r="J17" s="169"/>
      <c r="K17" s="169"/>
      <c r="L17" s="168"/>
      <c r="M17" s="170"/>
      <c r="N17" s="171"/>
      <c r="O17" s="172"/>
      <c r="P17" s="173"/>
      <c r="Q17" s="174"/>
      <c r="R17" s="175"/>
      <c r="S17" s="121"/>
    </row>
    <row r="18">
      <c r="A18" s="31"/>
      <c r="B18" s="80">
        <f t="shared" si="2"/>
        <v>9</v>
      </c>
      <c r="C18" s="176"/>
      <c r="D18" s="167"/>
      <c r="E18" s="177"/>
      <c r="F18" s="169"/>
      <c r="G18" s="169"/>
      <c r="H18" s="169"/>
      <c r="I18" s="169"/>
      <c r="J18" s="169"/>
      <c r="K18" s="169"/>
      <c r="L18" s="168"/>
      <c r="M18" s="170"/>
      <c r="N18" s="171"/>
      <c r="O18" s="172"/>
      <c r="P18" s="173"/>
      <c r="Q18" s="174"/>
      <c r="R18" s="175"/>
      <c r="S18" s="121"/>
    </row>
    <row r="19">
      <c r="A19" s="31"/>
      <c r="B19" s="80">
        <f t="shared" si="2"/>
        <v>10</v>
      </c>
      <c r="C19" s="176"/>
      <c r="D19" s="167"/>
      <c r="E19" s="177"/>
      <c r="F19" s="169"/>
      <c r="G19" s="169"/>
      <c r="H19" s="169"/>
      <c r="I19" s="169"/>
      <c r="J19" s="169"/>
      <c r="K19" s="169"/>
      <c r="L19" s="168"/>
      <c r="M19" s="170"/>
      <c r="N19" s="171"/>
      <c r="O19" s="172"/>
      <c r="P19" s="173"/>
      <c r="Q19" s="174"/>
      <c r="R19" s="175"/>
      <c r="S19" s="121"/>
    </row>
    <row r="20">
      <c r="A20" s="31"/>
      <c r="B20" s="80">
        <f t="shared" si="2"/>
        <v>11</v>
      </c>
      <c r="C20" s="176"/>
      <c r="D20" s="167"/>
      <c r="E20" s="177"/>
      <c r="F20" s="169"/>
      <c r="G20" s="169"/>
      <c r="H20" s="169"/>
      <c r="I20" s="169"/>
      <c r="J20" s="169"/>
      <c r="K20" s="169"/>
      <c r="L20" s="168"/>
      <c r="M20" s="170"/>
      <c r="N20" s="171"/>
      <c r="O20" s="172"/>
      <c r="P20" s="173"/>
      <c r="Q20" s="174"/>
      <c r="R20" s="175"/>
      <c r="S20" s="121"/>
    </row>
    <row r="21" ht="15.75" customHeight="1">
      <c r="A21" s="31"/>
      <c r="B21" s="80">
        <f t="shared" si="2"/>
        <v>12</v>
      </c>
      <c r="C21" s="176"/>
      <c r="D21" s="167"/>
      <c r="E21" s="177"/>
      <c r="F21" s="169"/>
      <c r="G21" s="169"/>
      <c r="H21" s="169"/>
      <c r="I21" s="169"/>
      <c r="J21" s="169"/>
      <c r="K21" s="169"/>
      <c r="L21" s="168"/>
      <c r="M21" s="170"/>
      <c r="N21" s="171"/>
      <c r="O21" s="172"/>
      <c r="P21" s="173"/>
      <c r="Q21" s="174"/>
      <c r="R21" s="175"/>
      <c r="S21" s="121"/>
    </row>
    <row r="22" ht="15.75" customHeight="1">
      <c r="A22" s="31"/>
      <c r="B22" s="80">
        <f t="shared" si="2"/>
        <v>13</v>
      </c>
      <c r="C22" s="176"/>
      <c r="D22" s="167"/>
      <c r="E22" s="177"/>
      <c r="F22" s="169"/>
      <c r="G22" s="169"/>
      <c r="H22" s="169"/>
      <c r="I22" s="169"/>
      <c r="J22" s="169"/>
      <c r="K22" s="169"/>
      <c r="L22" s="168"/>
      <c r="M22" s="170"/>
      <c r="N22" s="171"/>
      <c r="O22" s="172"/>
      <c r="P22" s="173"/>
      <c r="Q22" s="174"/>
      <c r="R22" s="175"/>
      <c r="S22" s="121"/>
    </row>
    <row r="23" ht="15.75" customHeight="1">
      <c r="A23" s="31"/>
      <c r="B23" s="80">
        <f t="shared" si="2"/>
        <v>14</v>
      </c>
      <c r="C23" s="176"/>
      <c r="D23" s="167"/>
      <c r="E23" s="177"/>
      <c r="F23" s="169"/>
      <c r="G23" s="169"/>
      <c r="H23" s="169"/>
      <c r="I23" s="169"/>
      <c r="J23" s="169"/>
      <c r="K23" s="169"/>
      <c r="L23" s="168"/>
      <c r="M23" s="170"/>
      <c r="N23" s="171"/>
      <c r="O23" s="172"/>
      <c r="P23" s="173"/>
      <c r="Q23" s="174"/>
      <c r="R23" s="175"/>
      <c r="S23" s="121"/>
    </row>
    <row r="24" ht="15.75" customHeight="1">
      <c r="A24" s="31"/>
      <c r="B24" s="80">
        <f t="shared" si="2"/>
        <v>15</v>
      </c>
      <c r="C24" s="176"/>
      <c r="D24" s="167"/>
      <c r="E24" s="177"/>
      <c r="F24" s="169"/>
      <c r="G24" s="169"/>
      <c r="H24" s="169"/>
      <c r="I24" s="169"/>
      <c r="J24" s="169"/>
      <c r="K24" s="169"/>
      <c r="L24" s="168"/>
      <c r="M24" s="170"/>
      <c r="N24" s="171"/>
      <c r="O24" s="172"/>
      <c r="P24" s="173"/>
      <c r="Q24" s="174"/>
      <c r="R24" s="175"/>
      <c r="S24" s="121"/>
    </row>
    <row r="25" ht="15.75" customHeight="1">
      <c r="A25" s="31"/>
      <c r="B25" s="80">
        <f t="shared" si="2"/>
        <v>16</v>
      </c>
      <c r="C25" s="176"/>
      <c r="D25" s="167"/>
      <c r="E25" s="177"/>
      <c r="F25" s="169"/>
      <c r="G25" s="169"/>
      <c r="H25" s="169"/>
      <c r="I25" s="169"/>
      <c r="J25" s="169"/>
      <c r="K25" s="169"/>
      <c r="L25" s="168"/>
      <c r="M25" s="170"/>
      <c r="N25" s="171"/>
      <c r="O25" s="172"/>
      <c r="P25" s="173"/>
      <c r="Q25" s="174"/>
      <c r="R25" s="175"/>
      <c r="S25" s="121"/>
    </row>
    <row r="26" ht="15.75" customHeight="1">
      <c r="A26" s="31"/>
      <c r="B26" s="80">
        <f t="shared" si="2"/>
        <v>17</v>
      </c>
      <c r="C26" s="176"/>
      <c r="D26" s="167"/>
      <c r="E26" s="177"/>
      <c r="F26" s="169"/>
      <c r="G26" s="169"/>
      <c r="H26" s="169"/>
      <c r="I26" s="169"/>
      <c r="J26" s="169"/>
      <c r="K26" s="169"/>
      <c r="L26" s="168"/>
      <c r="M26" s="170"/>
      <c r="N26" s="171"/>
      <c r="O26" s="172"/>
      <c r="P26" s="173"/>
      <c r="Q26" s="174"/>
      <c r="R26" s="175"/>
      <c r="S26" s="121"/>
    </row>
    <row r="27" ht="15.75" customHeight="1">
      <c r="A27" s="31"/>
      <c r="B27" s="80">
        <f t="shared" si="2"/>
        <v>18</v>
      </c>
      <c r="C27" s="176"/>
      <c r="D27" s="167"/>
      <c r="E27" s="177"/>
      <c r="F27" s="169"/>
      <c r="G27" s="169"/>
      <c r="H27" s="169"/>
      <c r="I27" s="169"/>
      <c r="J27" s="169"/>
      <c r="K27" s="169"/>
      <c r="L27" s="168"/>
      <c r="M27" s="170"/>
      <c r="N27" s="171"/>
      <c r="O27" s="172"/>
      <c r="P27" s="173"/>
      <c r="Q27" s="174"/>
      <c r="R27" s="175"/>
      <c r="S27" s="121"/>
    </row>
    <row r="28" ht="15.75" customHeight="1">
      <c r="A28" s="31"/>
      <c r="B28" s="80">
        <f t="shared" si="2"/>
        <v>19</v>
      </c>
      <c r="C28" s="176"/>
      <c r="D28" s="167"/>
      <c r="E28" s="177"/>
      <c r="F28" s="169"/>
      <c r="G28" s="169"/>
      <c r="H28" s="169"/>
      <c r="I28" s="169"/>
      <c r="J28" s="169"/>
      <c r="K28" s="169"/>
      <c r="L28" s="168"/>
      <c r="M28" s="170"/>
      <c r="N28" s="171"/>
      <c r="O28" s="172"/>
      <c r="P28" s="173"/>
      <c r="Q28" s="174"/>
      <c r="R28" s="175"/>
      <c r="S28" s="121"/>
    </row>
    <row r="29" ht="15.75" customHeight="1">
      <c r="A29" s="31"/>
      <c r="B29" s="80">
        <f t="shared" si="2"/>
        <v>20</v>
      </c>
      <c r="C29" s="176"/>
      <c r="D29" s="167"/>
      <c r="E29" s="177"/>
      <c r="F29" s="169"/>
      <c r="G29" s="169"/>
      <c r="H29" s="169"/>
      <c r="I29" s="169"/>
      <c r="J29" s="169"/>
      <c r="K29" s="169"/>
      <c r="L29" s="168"/>
      <c r="M29" s="170"/>
      <c r="N29" s="171"/>
      <c r="O29" s="172"/>
      <c r="P29" s="173"/>
      <c r="Q29" s="174"/>
      <c r="R29" s="175"/>
      <c r="S29" s="121"/>
    </row>
    <row r="30" ht="15.75" customHeight="1">
      <c r="A30" s="31"/>
      <c r="B30" s="80">
        <f t="shared" si="2"/>
        <v>21</v>
      </c>
      <c r="C30" s="176"/>
      <c r="D30" s="167"/>
      <c r="E30" s="177"/>
      <c r="F30" s="169"/>
      <c r="G30" s="169"/>
      <c r="H30" s="169"/>
      <c r="I30" s="169"/>
      <c r="J30" s="169"/>
      <c r="K30" s="169"/>
      <c r="L30" s="168"/>
      <c r="M30" s="170"/>
      <c r="N30" s="171"/>
      <c r="O30" s="172"/>
      <c r="P30" s="173"/>
      <c r="Q30" s="174"/>
      <c r="R30" s="175"/>
      <c r="S30" s="121"/>
    </row>
    <row r="31" ht="15.75" customHeight="1">
      <c r="A31" s="31"/>
      <c r="B31" s="80">
        <f t="shared" si="2"/>
        <v>22</v>
      </c>
      <c r="C31" s="176"/>
      <c r="D31" s="167"/>
      <c r="E31" s="177"/>
      <c r="F31" s="169"/>
      <c r="G31" s="169"/>
      <c r="H31" s="169"/>
      <c r="I31" s="169"/>
      <c r="J31" s="169"/>
      <c r="K31" s="169"/>
      <c r="L31" s="168"/>
      <c r="M31" s="170"/>
      <c r="N31" s="171"/>
      <c r="O31" s="172"/>
      <c r="P31" s="173"/>
      <c r="Q31" s="174"/>
      <c r="R31" s="175"/>
      <c r="S31" s="121"/>
    </row>
    <row r="32" ht="15.75" customHeight="1">
      <c r="A32" s="31"/>
      <c r="B32" s="80">
        <f t="shared" si="2"/>
        <v>23</v>
      </c>
      <c r="C32" s="176"/>
      <c r="D32" s="167"/>
      <c r="E32" s="177"/>
      <c r="F32" s="169"/>
      <c r="G32" s="169"/>
      <c r="H32" s="169"/>
      <c r="I32" s="169"/>
      <c r="J32" s="169"/>
      <c r="K32" s="169"/>
      <c r="L32" s="168"/>
      <c r="M32" s="170"/>
      <c r="N32" s="171"/>
      <c r="O32" s="172"/>
      <c r="P32" s="173"/>
      <c r="Q32" s="174"/>
      <c r="R32" s="175"/>
      <c r="S32" s="121"/>
    </row>
    <row r="33" ht="15.75" customHeight="1">
      <c r="A33" s="31"/>
      <c r="B33" s="80">
        <f t="shared" si="2"/>
        <v>24</v>
      </c>
      <c r="C33" s="176"/>
      <c r="D33" s="167"/>
      <c r="E33" s="177"/>
      <c r="F33" s="169"/>
      <c r="G33" s="169"/>
      <c r="H33" s="169"/>
      <c r="I33" s="169"/>
      <c r="J33" s="169"/>
      <c r="K33" s="169"/>
      <c r="L33" s="168"/>
      <c r="M33" s="170"/>
      <c r="N33" s="171"/>
      <c r="O33" s="172"/>
      <c r="P33" s="173"/>
      <c r="Q33" s="174"/>
      <c r="R33" s="175"/>
      <c r="S33" s="121"/>
    </row>
    <row r="34" ht="15.75" customHeight="1">
      <c r="A34" s="31"/>
      <c r="B34" s="80">
        <f t="shared" si="2"/>
        <v>25</v>
      </c>
      <c r="C34" s="176"/>
      <c r="D34" s="167"/>
      <c r="E34" s="177"/>
      <c r="F34" s="169"/>
      <c r="G34" s="169"/>
      <c r="H34" s="169"/>
      <c r="I34" s="169"/>
      <c r="J34" s="169"/>
      <c r="K34" s="169"/>
      <c r="L34" s="168"/>
      <c r="M34" s="170"/>
      <c r="N34" s="171"/>
      <c r="O34" s="172"/>
      <c r="P34" s="173"/>
      <c r="Q34" s="174"/>
      <c r="R34" s="175"/>
      <c r="S34" s="121"/>
    </row>
    <row r="35" ht="15.75" customHeight="1">
      <c r="A35" s="31"/>
      <c r="B35" s="80">
        <f t="shared" si="2"/>
        <v>26</v>
      </c>
      <c r="C35" s="176"/>
      <c r="D35" s="167"/>
      <c r="E35" s="177"/>
      <c r="F35" s="169"/>
      <c r="G35" s="169"/>
      <c r="H35" s="169"/>
      <c r="I35" s="169"/>
      <c r="J35" s="169"/>
      <c r="K35" s="169"/>
      <c r="L35" s="168"/>
      <c r="M35" s="170"/>
      <c r="N35" s="171"/>
      <c r="O35" s="172"/>
      <c r="P35" s="173"/>
      <c r="Q35" s="174"/>
      <c r="R35" s="175"/>
      <c r="S35" s="121"/>
    </row>
    <row r="36" ht="15.75" customHeight="1">
      <c r="A36" s="31"/>
      <c r="B36" s="80">
        <f t="shared" si="2"/>
        <v>27</v>
      </c>
      <c r="C36" s="176"/>
      <c r="D36" s="167"/>
      <c r="E36" s="177"/>
      <c r="F36" s="169"/>
      <c r="G36" s="169"/>
      <c r="H36" s="169"/>
      <c r="I36" s="169"/>
      <c r="J36" s="169"/>
      <c r="K36" s="169"/>
      <c r="L36" s="168"/>
      <c r="M36" s="170"/>
      <c r="N36" s="171"/>
      <c r="O36" s="172"/>
      <c r="P36" s="173"/>
      <c r="Q36" s="174"/>
      <c r="R36" s="175"/>
      <c r="S36" s="121"/>
    </row>
    <row r="37" ht="15.75" customHeight="1">
      <c r="A37" s="31"/>
      <c r="B37" s="80">
        <f t="shared" si="2"/>
        <v>28</v>
      </c>
      <c r="C37" s="176"/>
      <c r="D37" s="167"/>
      <c r="E37" s="177"/>
      <c r="F37" s="169"/>
      <c r="G37" s="169"/>
      <c r="H37" s="169"/>
      <c r="I37" s="169"/>
      <c r="J37" s="169"/>
      <c r="K37" s="169"/>
      <c r="L37" s="168"/>
      <c r="M37" s="170"/>
      <c r="N37" s="171"/>
      <c r="O37" s="172"/>
      <c r="P37" s="173"/>
      <c r="Q37" s="174"/>
      <c r="R37" s="175"/>
      <c r="S37" s="121"/>
    </row>
    <row r="38" ht="15.75" customHeight="1">
      <c r="A38" s="31"/>
      <c r="B38" s="80">
        <f t="shared" si="2"/>
        <v>29</v>
      </c>
      <c r="C38" s="176"/>
      <c r="D38" s="167"/>
      <c r="E38" s="177"/>
      <c r="F38" s="169"/>
      <c r="G38" s="169"/>
      <c r="H38" s="169"/>
      <c r="I38" s="169"/>
      <c r="J38" s="169"/>
      <c r="K38" s="169"/>
      <c r="L38" s="168"/>
      <c r="M38" s="170"/>
      <c r="N38" s="171"/>
      <c r="O38" s="172"/>
      <c r="P38" s="173"/>
      <c r="Q38" s="174"/>
      <c r="R38" s="175"/>
      <c r="S38" s="121"/>
    </row>
    <row r="39" ht="15.75" customHeight="1">
      <c r="A39" s="31"/>
      <c r="B39" s="80">
        <f t="shared" si="2"/>
        <v>30</v>
      </c>
      <c r="C39" s="176"/>
      <c r="D39" s="167"/>
      <c r="E39" s="177"/>
      <c r="F39" s="169"/>
      <c r="G39" s="169"/>
      <c r="H39" s="169"/>
      <c r="I39" s="169"/>
      <c r="J39" s="169"/>
      <c r="K39" s="169"/>
      <c r="L39" s="168"/>
      <c r="M39" s="170"/>
      <c r="N39" s="171"/>
      <c r="O39" s="172"/>
      <c r="P39" s="173"/>
      <c r="Q39" s="174"/>
      <c r="R39" s="175"/>
      <c r="S39" s="121"/>
    </row>
    <row r="40" ht="15.75" customHeight="1">
      <c r="A40" s="31"/>
      <c r="B40" s="80">
        <f t="shared" si="2"/>
        <v>31</v>
      </c>
      <c r="C40" s="176"/>
      <c r="D40" s="167"/>
      <c r="E40" s="177"/>
      <c r="F40" s="169"/>
      <c r="G40" s="169"/>
      <c r="H40" s="169"/>
      <c r="I40" s="169"/>
      <c r="J40" s="169"/>
      <c r="K40" s="169"/>
      <c r="L40" s="168"/>
      <c r="M40" s="170"/>
      <c r="N40" s="171"/>
      <c r="O40" s="172"/>
      <c r="P40" s="173"/>
      <c r="Q40" s="174"/>
      <c r="R40" s="175"/>
      <c r="S40" s="121"/>
    </row>
    <row r="41" ht="15.75" customHeight="1">
      <c r="A41" s="31"/>
      <c r="B41" s="80">
        <f t="shared" si="2"/>
        <v>32</v>
      </c>
      <c r="C41" s="176"/>
      <c r="D41" s="167"/>
      <c r="E41" s="177"/>
      <c r="F41" s="169"/>
      <c r="G41" s="169"/>
      <c r="H41" s="169"/>
      <c r="I41" s="169"/>
      <c r="J41" s="169"/>
      <c r="K41" s="169"/>
      <c r="L41" s="168"/>
      <c r="M41" s="170"/>
      <c r="N41" s="171"/>
      <c r="O41" s="172"/>
      <c r="P41" s="173"/>
      <c r="Q41" s="174"/>
      <c r="R41" s="175"/>
      <c r="S41" s="121"/>
    </row>
    <row r="42" ht="15.75" customHeight="1">
      <c r="A42" s="31"/>
      <c r="B42" s="80">
        <f t="shared" si="2"/>
        <v>33</v>
      </c>
      <c r="C42" s="176"/>
      <c r="D42" s="167"/>
      <c r="E42" s="177"/>
      <c r="F42" s="169"/>
      <c r="G42" s="169"/>
      <c r="H42" s="169"/>
      <c r="I42" s="169"/>
      <c r="J42" s="169"/>
      <c r="K42" s="169"/>
      <c r="L42" s="168"/>
      <c r="M42" s="170"/>
      <c r="N42" s="171"/>
      <c r="O42" s="172"/>
      <c r="P42" s="173"/>
      <c r="Q42" s="174"/>
      <c r="R42" s="175"/>
      <c r="S42" s="121"/>
    </row>
    <row r="43" ht="15.75" customHeight="1">
      <c r="A43" s="31"/>
      <c r="B43" s="80">
        <f t="shared" si="2"/>
        <v>34</v>
      </c>
      <c r="C43" s="176"/>
      <c r="D43" s="167"/>
      <c r="E43" s="177"/>
      <c r="F43" s="169"/>
      <c r="G43" s="169"/>
      <c r="H43" s="169"/>
      <c r="I43" s="169"/>
      <c r="J43" s="169"/>
      <c r="K43" s="169"/>
      <c r="L43" s="178"/>
      <c r="M43" s="170"/>
      <c r="N43" s="171"/>
      <c r="O43" s="172"/>
      <c r="P43" s="173"/>
      <c r="Q43" s="174"/>
      <c r="R43" s="175"/>
      <c r="S43" s="121"/>
    </row>
    <row r="44" ht="15.75" customHeight="1">
      <c r="A44" s="31"/>
      <c r="B44" s="80">
        <f t="shared" si="2"/>
        <v>35</v>
      </c>
      <c r="C44" s="176"/>
      <c r="D44" s="167"/>
      <c r="E44" s="177"/>
      <c r="F44" s="169"/>
      <c r="G44" s="169"/>
      <c r="H44" s="169"/>
      <c r="I44" s="169"/>
      <c r="J44" s="169"/>
      <c r="K44" s="169"/>
      <c r="L44" s="178"/>
      <c r="M44" s="170"/>
      <c r="N44" s="171"/>
      <c r="O44" s="172"/>
      <c r="P44" s="173"/>
      <c r="Q44" s="174"/>
      <c r="R44" s="175"/>
      <c r="S44" s="121"/>
    </row>
    <row r="45" ht="15.75" customHeight="1">
      <c r="A45" s="31"/>
      <c r="B45" s="80">
        <f t="shared" si="2"/>
        <v>36</v>
      </c>
      <c r="C45" s="176"/>
      <c r="D45" s="167"/>
      <c r="E45" s="177"/>
      <c r="F45" s="169"/>
      <c r="G45" s="169"/>
      <c r="H45" s="169"/>
      <c r="I45" s="169"/>
      <c r="J45" s="169"/>
      <c r="K45" s="169"/>
      <c r="L45" s="168"/>
      <c r="M45" s="170"/>
      <c r="N45" s="171"/>
      <c r="O45" s="172"/>
      <c r="P45" s="173"/>
      <c r="Q45" s="174"/>
      <c r="R45" s="175"/>
      <c r="S45" s="121"/>
    </row>
    <row r="46" ht="15.75" customHeight="1">
      <c r="A46" s="31"/>
      <c r="B46" s="80">
        <f t="shared" si="2"/>
        <v>37</v>
      </c>
      <c r="C46" s="176"/>
      <c r="D46" s="167"/>
      <c r="E46" s="177"/>
      <c r="F46" s="169"/>
      <c r="G46" s="169"/>
      <c r="H46" s="169"/>
      <c r="I46" s="169"/>
      <c r="J46" s="169"/>
      <c r="K46" s="169"/>
      <c r="L46" s="168"/>
      <c r="M46" s="170"/>
      <c r="N46" s="171"/>
      <c r="O46" s="172"/>
      <c r="P46" s="173"/>
      <c r="Q46" s="174"/>
      <c r="R46" s="175"/>
      <c r="S46" s="121"/>
    </row>
    <row r="47" ht="15.75" customHeight="1">
      <c r="A47" s="31"/>
      <c r="B47" s="80">
        <f t="shared" si="2"/>
        <v>38</v>
      </c>
      <c r="C47" s="176"/>
      <c r="D47" s="167"/>
      <c r="E47" s="177"/>
      <c r="F47" s="169"/>
      <c r="G47" s="169"/>
      <c r="H47" s="169"/>
      <c r="I47" s="169"/>
      <c r="J47" s="169"/>
      <c r="K47" s="169"/>
      <c r="L47" s="168"/>
      <c r="M47" s="170"/>
      <c r="N47" s="171"/>
      <c r="O47" s="172"/>
      <c r="P47" s="173"/>
      <c r="Q47" s="174"/>
      <c r="R47" s="175"/>
      <c r="S47" s="121"/>
    </row>
    <row r="48" ht="15.75" customHeight="1">
      <c r="A48" s="31"/>
      <c r="B48" s="80">
        <f t="shared" si="2"/>
        <v>39</v>
      </c>
      <c r="C48" s="176"/>
      <c r="D48" s="167"/>
      <c r="E48" s="177"/>
      <c r="F48" s="169"/>
      <c r="G48" s="169"/>
      <c r="H48" s="169"/>
      <c r="I48" s="169"/>
      <c r="J48" s="169"/>
      <c r="K48" s="169"/>
      <c r="L48" s="168"/>
      <c r="M48" s="170"/>
      <c r="N48" s="171"/>
      <c r="O48" s="172"/>
      <c r="P48" s="173"/>
      <c r="Q48" s="174"/>
      <c r="R48" s="175"/>
      <c r="S48" s="121"/>
    </row>
    <row r="49" ht="15.75" customHeight="1">
      <c r="A49" s="31"/>
      <c r="B49" s="80">
        <f t="shared" si="2"/>
        <v>40</v>
      </c>
      <c r="C49" s="176"/>
      <c r="D49" s="167"/>
      <c r="E49" s="177"/>
      <c r="F49" s="169"/>
      <c r="G49" s="169"/>
      <c r="H49" s="169"/>
      <c r="I49" s="169"/>
      <c r="J49" s="169"/>
      <c r="K49" s="169"/>
      <c r="L49" s="168"/>
      <c r="M49" s="170"/>
      <c r="N49" s="171"/>
      <c r="O49" s="172"/>
      <c r="P49" s="173"/>
      <c r="Q49" s="174"/>
      <c r="R49" s="175"/>
      <c r="S49" s="121"/>
    </row>
    <row r="50" ht="15.75" customHeight="1">
      <c r="A50" s="31"/>
      <c r="B50" s="80">
        <f t="shared" si="2"/>
        <v>41</v>
      </c>
      <c r="C50" s="176"/>
      <c r="D50" s="167"/>
      <c r="E50" s="177"/>
      <c r="F50" s="169"/>
      <c r="G50" s="169"/>
      <c r="H50" s="169"/>
      <c r="I50" s="169"/>
      <c r="J50" s="169"/>
      <c r="K50" s="169"/>
      <c r="L50" s="168"/>
      <c r="M50" s="170"/>
      <c r="N50" s="171"/>
      <c r="O50" s="172"/>
      <c r="P50" s="173"/>
      <c r="Q50" s="174"/>
      <c r="R50" s="175"/>
      <c r="S50" s="121"/>
    </row>
    <row r="51" ht="15.75" customHeight="1">
      <c r="A51" s="31"/>
      <c r="B51" s="80">
        <f t="shared" si="2"/>
        <v>42</v>
      </c>
      <c r="C51" s="176"/>
      <c r="D51" s="167"/>
      <c r="E51" s="177"/>
      <c r="F51" s="169"/>
      <c r="G51" s="169"/>
      <c r="H51" s="169"/>
      <c r="I51" s="169"/>
      <c r="J51" s="169"/>
      <c r="K51" s="169"/>
      <c r="L51" s="168"/>
      <c r="M51" s="170"/>
      <c r="N51" s="171"/>
      <c r="O51" s="172"/>
      <c r="P51" s="173"/>
      <c r="Q51" s="174"/>
      <c r="R51" s="175"/>
      <c r="S51" s="121"/>
    </row>
    <row r="52" ht="15.75" customHeight="1">
      <c r="A52" s="31"/>
      <c r="B52" s="80">
        <f t="shared" si="2"/>
        <v>43</v>
      </c>
      <c r="C52" s="176"/>
      <c r="D52" s="167"/>
      <c r="E52" s="177"/>
      <c r="F52" s="169"/>
      <c r="G52" s="169"/>
      <c r="H52" s="169"/>
      <c r="I52" s="169"/>
      <c r="J52" s="169"/>
      <c r="K52" s="169"/>
      <c r="L52" s="168"/>
      <c r="M52" s="170"/>
      <c r="N52" s="171"/>
      <c r="O52" s="172"/>
      <c r="P52" s="173"/>
      <c r="Q52" s="174"/>
      <c r="R52" s="175"/>
      <c r="S52" s="121"/>
    </row>
    <row r="53" ht="15.75" customHeight="1">
      <c r="A53" s="31"/>
      <c r="B53" s="80">
        <f t="shared" si="2"/>
        <v>44</v>
      </c>
      <c r="C53" s="176"/>
      <c r="D53" s="167"/>
      <c r="E53" s="177"/>
      <c r="F53" s="169"/>
      <c r="G53" s="169"/>
      <c r="H53" s="169"/>
      <c r="I53" s="169"/>
      <c r="J53" s="169"/>
      <c r="K53" s="169"/>
      <c r="L53" s="168"/>
      <c r="M53" s="170"/>
      <c r="N53" s="171"/>
      <c r="O53" s="172"/>
      <c r="P53" s="173"/>
      <c r="Q53" s="174"/>
      <c r="R53" s="175"/>
      <c r="S53" s="121"/>
    </row>
    <row r="54" ht="15.75" customHeight="1">
      <c r="A54" s="31"/>
      <c r="B54" s="80">
        <f t="shared" si="2"/>
        <v>45</v>
      </c>
      <c r="C54" s="176"/>
      <c r="D54" s="167"/>
      <c r="E54" s="177"/>
      <c r="F54" s="169"/>
      <c r="G54" s="169"/>
      <c r="H54" s="169"/>
      <c r="I54" s="169"/>
      <c r="J54" s="169"/>
      <c r="K54" s="169"/>
      <c r="L54" s="168"/>
      <c r="M54" s="170"/>
      <c r="N54" s="171"/>
      <c r="O54" s="172"/>
      <c r="P54" s="173"/>
      <c r="Q54" s="174"/>
      <c r="R54" s="175"/>
      <c r="S54" s="121"/>
    </row>
    <row r="55" ht="15.75" customHeight="1">
      <c r="A55" s="31"/>
      <c r="B55" s="80">
        <f t="shared" si="2"/>
        <v>46</v>
      </c>
      <c r="C55" s="176"/>
      <c r="D55" s="167"/>
      <c r="E55" s="177"/>
      <c r="F55" s="169"/>
      <c r="G55" s="169"/>
      <c r="H55" s="169"/>
      <c r="I55" s="169"/>
      <c r="J55" s="169"/>
      <c r="K55" s="169"/>
      <c r="L55" s="168"/>
      <c r="M55" s="170"/>
      <c r="N55" s="171"/>
      <c r="O55" s="172"/>
      <c r="P55" s="173"/>
      <c r="Q55" s="174"/>
      <c r="R55" s="175"/>
      <c r="S55" s="121"/>
    </row>
    <row r="56" ht="15.75" customHeight="1">
      <c r="A56" s="31"/>
      <c r="B56" s="80">
        <f t="shared" si="2"/>
        <v>47</v>
      </c>
      <c r="C56" s="176"/>
      <c r="D56" s="167"/>
      <c r="E56" s="177"/>
      <c r="F56" s="169"/>
      <c r="G56" s="169"/>
      <c r="H56" s="169"/>
      <c r="I56" s="169"/>
      <c r="J56" s="169"/>
      <c r="K56" s="169"/>
      <c r="L56" s="168"/>
      <c r="M56" s="170"/>
      <c r="N56" s="171"/>
      <c r="O56" s="172"/>
      <c r="P56" s="173"/>
      <c r="Q56" s="174"/>
      <c r="R56" s="175"/>
      <c r="S56" s="121"/>
    </row>
    <row r="57" ht="15.75" customHeight="1">
      <c r="A57" s="31"/>
      <c r="B57" s="80">
        <f t="shared" si="2"/>
        <v>48</v>
      </c>
      <c r="C57" s="176"/>
      <c r="D57" s="167"/>
      <c r="E57" s="177"/>
      <c r="F57" s="169"/>
      <c r="G57" s="169"/>
      <c r="H57" s="169"/>
      <c r="I57" s="169"/>
      <c r="J57" s="169"/>
      <c r="K57" s="169"/>
      <c r="L57" s="168"/>
      <c r="M57" s="170"/>
      <c r="N57" s="171"/>
      <c r="O57" s="172"/>
      <c r="P57" s="173"/>
      <c r="Q57" s="174"/>
      <c r="R57" s="175"/>
      <c r="S57" s="121"/>
    </row>
    <row r="58" ht="15.75" customHeight="1">
      <c r="A58" s="31"/>
      <c r="B58" s="80">
        <f t="shared" si="2"/>
        <v>49</v>
      </c>
      <c r="C58" s="176"/>
      <c r="D58" s="167"/>
      <c r="E58" s="177"/>
      <c r="F58" s="169"/>
      <c r="G58" s="169"/>
      <c r="H58" s="169"/>
      <c r="I58" s="169"/>
      <c r="J58" s="169"/>
      <c r="K58" s="169"/>
      <c r="L58" s="168"/>
      <c r="M58" s="170"/>
      <c r="N58" s="171"/>
      <c r="O58" s="172"/>
      <c r="P58" s="173"/>
      <c r="Q58" s="174"/>
      <c r="R58" s="175"/>
      <c r="S58" s="121"/>
    </row>
    <row r="59" ht="15.75" customHeight="1">
      <c r="A59" s="31"/>
      <c r="B59" s="80">
        <f t="shared" si="2"/>
        <v>50</v>
      </c>
      <c r="C59" s="176"/>
      <c r="D59" s="167"/>
      <c r="E59" s="177"/>
      <c r="F59" s="169"/>
      <c r="G59" s="169"/>
      <c r="H59" s="169"/>
      <c r="I59" s="169"/>
      <c r="J59" s="169"/>
      <c r="K59" s="169"/>
      <c r="L59" s="168"/>
      <c r="M59" s="170"/>
      <c r="N59" s="171"/>
      <c r="O59" s="172"/>
      <c r="P59" s="173"/>
      <c r="Q59" s="174"/>
      <c r="R59" s="175"/>
      <c r="S59" s="121"/>
    </row>
    <row r="60" ht="15.75" customHeight="1">
      <c r="A60" s="31"/>
      <c r="B60" s="80">
        <f t="shared" si="2"/>
        <v>51</v>
      </c>
      <c r="C60" s="176"/>
      <c r="D60" s="167"/>
      <c r="E60" s="177"/>
      <c r="F60" s="169"/>
      <c r="G60" s="169"/>
      <c r="H60" s="169"/>
      <c r="I60" s="169"/>
      <c r="J60" s="169"/>
      <c r="K60" s="169"/>
      <c r="L60" s="168"/>
      <c r="M60" s="170"/>
      <c r="N60" s="171"/>
      <c r="O60" s="172"/>
      <c r="P60" s="173"/>
      <c r="Q60" s="174"/>
      <c r="R60" s="175"/>
      <c r="S60" s="121"/>
    </row>
    <row r="61" ht="15.75" customHeight="1">
      <c r="A61" s="31"/>
      <c r="B61" s="80">
        <f t="shared" si="2"/>
        <v>52</v>
      </c>
      <c r="C61" s="176"/>
      <c r="D61" s="167"/>
      <c r="E61" s="177"/>
      <c r="F61" s="169"/>
      <c r="G61" s="169"/>
      <c r="H61" s="169"/>
      <c r="I61" s="169"/>
      <c r="J61" s="169"/>
      <c r="K61" s="169"/>
      <c r="L61" s="168"/>
      <c r="M61" s="170"/>
      <c r="N61" s="171"/>
      <c r="O61" s="172"/>
      <c r="P61" s="173"/>
      <c r="Q61" s="174"/>
      <c r="R61" s="175"/>
      <c r="S61" s="121"/>
    </row>
    <row r="62" ht="15.75" customHeight="1">
      <c r="A62" s="31"/>
      <c r="B62" s="80">
        <f t="shared" si="2"/>
        <v>53</v>
      </c>
      <c r="C62" s="176"/>
      <c r="D62" s="167"/>
      <c r="E62" s="177"/>
      <c r="F62" s="169"/>
      <c r="G62" s="169"/>
      <c r="H62" s="169"/>
      <c r="I62" s="169"/>
      <c r="J62" s="169"/>
      <c r="K62" s="169"/>
      <c r="L62" s="168"/>
      <c r="M62" s="170"/>
      <c r="N62" s="171"/>
      <c r="O62" s="172"/>
      <c r="P62" s="173"/>
      <c r="Q62" s="174"/>
      <c r="R62" s="175"/>
      <c r="S62" s="121"/>
    </row>
    <row r="63" ht="15.75" customHeight="1">
      <c r="A63" s="31"/>
      <c r="B63" s="80">
        <f t="shared" si="2"/>
        <v>54</v>
      </c>
      <c r="C63" s="176"/>
      <c r="D63" s="167"/>
      <c r="E63" s="177"/>
      <c r="F63" s="169"/>
      <c r="G63" s="169"/>
      <c r="H63" s="169"/>
      <c r="I63" s="169"/>
      <c r="J63" s="169"/>
      <c r="K63" s="169"/>
      <c r="L63" s="168"/>
      <c r="M63" s="170"/>
      <c r="N63" s="171"/>
      <c r="O63" s="172"/>
      <c r="P63" s="173"/>
      <c r="Q63" s="174"/>
      <c r="R63" s="175"/>
      <c r="S63" s="121"/>
    </row>
    <row r="64" ht="15.75" customHeight="1">
      <c r="A64" s="31"/>
      <c r="B64" s="80">
        <f t="shared" si="2"/>
        <v>55</v>
      </c>
      <c r="C64" s="176"/>
      <c r="D64" s="167"/>
      <c r="E64" s="177"/>
      <c r="F64" s="169"/>
      <c r="G64" s="169"/>
      <c r="H64" s="169"/>
      <c r="I64" s="169"/>
      <c r="J64" s="169"/>
      <c r="K64" s="169"/>
      <c r="L64" s="168"/>
      <c r="M64" s="170"/>
      <c r="N64" s="171"/>
      <c r="O64" s="172"/>
      <c r="P64" s="173"/>
      <c r="Q64" s="174"/>
      <c r="R64" s="175"/>
      <c r="S64" s="121"/>
    </row>
    <row r="65" ht="15.75" customHeight="1">
      <c r="A65" s="31"/>
      <c r="B65" s="80">
        <f t="shared" si="2"/>
        <v>56</v>
      </c>
      <c r="C65" s="176"/>
      <c r="D65" s="167"/>
      <c r="E65" s="177"/>
      <c r="F65" s="169"/>
      <c r="G65" s="169"/>
      <c r="H65" s="169"/>
      <c r="I65" s="169"/>
      <c r="J65" s="169"/>
      <c r="K65" s="169"/>
      <c r="L65" s="168"/>
      <c r="M65" s="170"/>
      <c r="N65" s="171"/>
      <c r="O65" s="172"/>
      <c r="P65" s="173"/>
      <c r="Q65" s="174"/>
      <c r="R65" s="175"/>
      <c r="S65" s="121"/>
    </row>
    <row r="66" ht="15.75" customHeight="1">
      <c r="A66" s="31"/>
      <c r="B66" s="80">
        <f t="shared" si="2"/>
        <v>57</v>
      </c>
      <c r="C66" s="176"/>
      <c r="D66" s="167"/>
      <c r="E66" s="177"/>
      <c r="F66" s="169"/>
      <c r="G66" s="169"/>
      <c r="H66" s="169"/>
      <c r="I66" s="169"/>
      <c r="J66" s="169"/>
      <c r="K66" s="169"/>
      <c r="L66" s="168"/>
      <c r="M66" s="170"/>
      <c r="N66" s="171"/>
      <c r="O66" s="172"/>
      <c r="P66" s="173"/>
      <c r="Q66" s="174"/>
      <c r="R66" s="175"/>
      <c r="S66" s="121"/>
    </row>
    <row r="67" ht="15.75" customHeight="1">
      <c r="A67" s="31"/>
      <c r="B67" s="80">
        <f t="shared" si="2"/>
        <v>58</v>
      </c>
      <c r="C67" s="176"/>
      <c r="D67" s="167"/>
      <c r="E67" s="177"/>
      <c r="F67" s="169"/>
      <c r="G67" s="169"/>
      <c r="H67" s="169"/>
      <c r="I67" s="169"/>
      <c r="J67" s="169"/>
      <c r="K67" s="169"/>
      <c r="L67" s="168"/>
      <c r="M67" s="170"/>
      <c r="N67" s="171"/>
      <c r="O67" s="172"/>
      <c r="P67" s="173"/>
      <c r="Q67" s="174"/>
      <c r="R67" s="175"/>
      <c r="S67" s="121"/>
    </row>
    <row r="68" ht="15.75" customHeight="1">
      <c r="A68" s="31"/>
      <c r="B68" s="80">
        <f t="shared" si="2"/>
        <v>59</v>
      </c>
      <c r="C68" s="176"/>
      <c r="D68" s="167"/>
      <c r="E68" s="177"/>
      <c r="F68" s="169"/>
      <c r="G68" s="169"/>
      <c r="H68" s="169"/>
      <c r="I68" s="169"/>
      <c r="J68" s="169"/>
      <c r="K68" s="169"/>
      <c r="L68" s="168"/>
      <c r="M68" s="170"/>
      <c r="N68" s="171"/>
      <c r="O68" s="172"/>
      <c r="P68" s="173"/>
      <c r="Q68" s="174"/>
      <c r="R68" s="175"/>
      <c r="S68" s="121"/>
    </row>
    <row r="69" ht="15.75" customHeight="1">
      <c r="A69" s="31"/>
      <c r="B69" s="80">
        <f t="shared" si="2"/>
        <v>60</v>
      </c>
      <c r="C69" s="176"/>
      <c r="D69" s="167"/>
      <c r="E69" s="177"/>
      <c r="F69" s="169"/>
      <c r="G69" s="169"/>
      <c r="H69" s="169"/>
      <c r="I69" s="169"/>
      <c r="J69" s="169"/>
      <c r="K69" s="169"/>
      <c r="L69" s="168"/>
      <c r="M69" s="170"/>
      <c r="N69" s="171"/>
      <c r="O69" s="172"/>
      <c r="P69" s="173"/>
      <c r="Q69" s="174"/>
      <c r="R69" s="175"/>
      <c r="S69" s="121"/>
    </row>
    <row r="70" ht="15.75" customHeight="1">
      <c r="A70" s="31"/>
      <c r="B70" s="80">
        <f t="shared" si="2"/>
        <v>61</v>
      </c>
      <c r="C70" s="176"/>
      <c r="D70" s="167"/>
      <c r="E70" s="177"/>
      <c r="F70" s="169"/>
      <c r="G70" s="169"/>
      <c r="H70" s="169"/>
      <c r="I70" s="169"/>
      <c r="J70" s="169"/>
      <c r="K70" s="169"/>
      <c r="L70" s="168"/>
      <c r="M70" s="170"/>
      <c r="N70" s="171"/>
      <c r="O70" s="172"/>
      <c r="P70" s="173"/>
      <c r="Q70" s="174"/>
      <c r="R70" s="175"/>
      <c r="S70" s="121"/>
    </row>
    <row r="71" ht="15.75" customHeight="1">
      <c r="A71" s="31"/>
      <c r="B71" s="80">
        <f t="shared" si="2"/>
        <v>62</v>
      </c>
      <c r="C71" s="176"/>
      <c r="D71" s="167"/>
      <c r="E71" s="177"/>
      <c r="F71" s="169"/>
      <c r="G71" s="169"/>
      <c r="H71" s="169"/>
      <c r="I71" s="169"/>
      <c r="J71" s="169"/>
      <c r="K71" s="169"/>
      <c r="L71" s="168"/>
      <c r="M71" s="170"/>
      <c r="N71" s="171"/>
      <c r="O71" s="172"/>
      <c r="P71" s="173"/>
      <c r="Q71" s="174"/>
      <c r="R71" s="175"/>
      <c r="S71" s="121"/>
    </row>
    <row r="72" ht="15.75" customHeight="1">
      <c r="A72" s="31"/>
      <c r="B72" s="80">
        <f t="shared" si="2"/>
        <v>63</v>
      </c>
      <c r="C72" s="176"/>
      <c r="D72" s="167"/>
      <c r="E72" s="177"/>
      <c r="F72" s="169"/>
      <c r="G72" s="169"/>
      <c r="H72" s="169"/>
      <c r="I72" s="169"/>
      <c r="J72" s="169"/>
      <c r="K72" s="169"/>
      <c r="L72" s="168"/>
      <c r="M72" s="170"/>
      <c r="N72" s="171"/>
      <c r="O72" s="172"/>
      <c r="P72" s="173"/>
      <c r="Q72" s="174"/>
      <c r="R72" s="175"/>
      <c r="S72" s="121"/>
    </row>
    <row r="73" ht="15.75" customHeight="1">
      <c r="A73" s="31"/>
      <c r="B73" s="80">
        <f t="shared" si="2"/>
        <v>64</v>
      </c>
      <c r="C73" s="176"/>
      <c r="D73" s="167"/>
      <c r="E73" s="177"/>
      <c r="F73" s="169"/>
      <c r="G73" s="169"/>
      <c r="H73" s="169"/>
      <c r="I73" s="169"/>
      <c r="J73" s="169"/>
      <c r="K73" s="169"/>
      <c r="L73" s="168"/>
      <c r="M73" s="170"/>
      <c r="N73" s="171"/>
      <c r="O73" s="172"/>
      <c r="P73" s="173"/>
      <c r="Q73" s="174"/>
      <c r="R73" s="175"/>
      <c r="S73" s="121"/>
    </row>
    <row r="74" ht="15.75" customHeight="1">
      <c r="A74" s="31"/>
      <c r="B74" s="80">
        <f t="shared" si="2"/>
        <v>65</v>
      </c>
      <c r="C74" s="176"/>
      <c r="D74" s="167"/>
      <c r="E74" s="177"/>
      <c r="F74" s="169"/>
      <c r="G74" s="169"/>
      <c r="H74" s="169"/>
      <c r="I74" s="169"/>
      <c r="J74" s="169"/>
      <c r="K74" s="169"/>
      <c r="L74" s="168"/>
      <c r="M74" s="170"/>
      <c r="N74" s="171"/>
      <c r="O74" s="172"/>
      <c r="P74" s="173"/>
      <c r="Q74" s="174"/>
      <c r="R74" s="175"/>
      <c r="S74" s="121"/>
    </row>
    <row r="75" ht="15.75" customHeight="1">
      <c r="A75" s="31"/>
      <c r="B75" s="80">
        <f t="shared" si="2"/>
        <v>66</v>
      </c>
      <c r="C75" s="176"/>
      <c r="D75" s="167"/>
      <c r="E75" s="177"/>
      <c r="F75" s="169"/>
      <c r="G75" s="169"/>
      <c r="H75" s="169"/>
      <c r="I75" s="169"/>
      <c r="J75" s="169"/>
      <c r="K75" s="169"/>
      <c r="L75" s="168"/>
      <c r="M75" s="170"/>
      <c r="N75" s="171"/>
      <c r="O75" s="172"/>
      <c r="P75" s="173"/>
      <c r="Q75" s="174"/>
      <c r="R75" s="175"/>
      <c r="S75" s="121"/>
    </row>
    <row r="76" ht="15.75" customHeight="1">
      <c r="A76" s="31"/>
      <c r="B76" s="80">
        <f t="shared" si="2"/>
        <v>67</v>
      </c>
      <c r="C76" s="176"/>
      <c r="D76" s="167"/>
      <c r="E76" s="177"/>
      <c r="F76" s="169"/>
      <c r="G76" s="169"/>
      <c r="H76" s="169"/>
      <c r="I76" s="169"/>
      <c r="J76" s="169"/>
      <c r="K76" s="169"/>
      <c r="L76" s="168"/>
      <c r="M76" s="170"/>
      <c r="N76" s="171"/>
      <c r="O76" s="172"/>
      <c r="P76" s="173"/>
      <c r="Q76" s="174"/>
      <c r="R76" s="175"/>
      <c r="S76" s="121"/>
    </row>
    <row r="77" ht="15.75" customHeight="1">
      <c r="A77" s="31"/>
      <c r="B77" s="80">
        <f t="shared" si="2"/>
        <v>68</v>
      </c>
      <c r="C77" s="176"/>
      <c r="D77" s="167"/>
      <c r="E77" s="177"/>
      <c r="F77" s="169"/>
      <c r="G77" s="169"/>
      <c r="H77" s="169"/>
      <c r="I77" s="169"/>
      <c r="J77" s="169"/>
      <c r="K77" s="169"/>
      <c r="L77" s="168"/>
      <c r="M77" s="170"/>
      <c r="N77" s="171"/>
      <c r="O77" s="172"/>
      <c r="P77" s="173"/>
      <c r="Q77" s="174"/>
      <c r="R77" s="175"/>
      <c r="S77" s="121"/>
    </row>
    <row r="78" ht="15.75" customHeight="1">
      <c r="A78" s="31"/>
      <c r="B78" s="80">
        <f t="shared" si="2"/>
        <v>69</v>
      </c>
      <c r="C78" s="176"/>
      <c r="D78" s="167"/>
      <c r="E78" s="177"/>
      <c r="F78" s="169"/>
      <c r="G78" s="169"/>
      <c r="H78" s="169"/>
      <c r="I78" s="169"/>
      <c r="J78" s="169"/>
      <c r="K78" s="169"/>
      <c r="L78" s="168"/>
      <c r="M78" s="170"/>
      <c r="N78" s="171"/>
      <c r="O78" s="172"/>
      <c r="P78" s="173"/>
      <c r="Q78" s="174"/>
      <c r="R78" s="175"/>
      <c r="S78" s="121"/>
    </row>
    <row r="79" ht="15.75" customHeight="1">
      <c r="A79" s="31"/>
      <c r="B79" s="80">
        <f t="shared" si="2"/>
        <v>70</v>
      </c>
      <c r="C79" s="176"/>
      <c r="D79" s="167"/>
      <c r="E79" s="177"/>
      <c r="F79" s="169"/>
      <c r="G79" s="169"/>
      <c r="H79" s="169"/>
      <c r="I79" s="169"/>
      <c r="J79" s="169"/>
      <c r="K79" s="169"/>
      <c r="L79" s="168"/>
      <c r="M79" s="170"/>
      <c r="N79" s="171"/>
      <c r="O79" s="172"/>
      <c r="P79" s="173"/>
      <c r="Q79" s="174"/>
      <c r="R79" s="175"/>
      <c r="S79" s="121"/>
    </row>
    <row r="80" ht="15.75" customHeight="1">
      <c r="A80" s="31"/>
      <c r="B80" s="80">
        <f t="shared" si="2"/>
        <v>71</v>
      </c>
      <c r="C80" s="176"/>
      <c r="D80" s="167"/>
      <c r="E80" s="177"/>
      <c r="F80" s="169"/>
      <c r="G80" s="169"/>
      <c r="H80" s="169"/>
      <c r="I80" s="169"/>
      <c r="J80" s="169"/>
      <c r="K80" s="169"/>
      <c r="L80" s="168"/>
      <c r="M80" s="170"/>
      <c r="N80" s="171"/>
      <c r="O80" s="172"/>
      <c r="P80" s="173"/>
      <c r="Q80" s="174"/>
      <c r="R80" s="175"/>
      <c r="S80" s="121"/>
    </row>
    <row r="81" ht="15.75" customHeight="1">
      <c r="A81" s="31"/>
      <c r="B81" s="80">
        <f t="shared" si="2"/>
        <v>72</v>
      </c>
      <c r="C81" s="176"/>
      <c r="D81" s="167"/>
      <c r="E81" s="177"/>
      <c r="F81" s="169"/>
      <c r="G81" s="169"/>
      <c r="H81" s="169"/>
      <c r="I81" s="169"/>
      <c r="J81" s="169"/>
      <c r="K81" s="169"/>
      <c r="L81" s="168"/>
      <c r="M81" s="170"/>
      <c r="N81" s="171"/>
      <c r="O81" s="172"/>
      <c r="P81" s="173"/>
      <c r="Q81" s="174"/>
      <c r="R81" s="175"/>
      <c r="S81" s="121"/>
    </row>
    <row r="82" ht="15.75" customHeight="1">
      <c r="A82" s="31"/>
      <c r="B82" s="80">
        <f t="shared" si="2"/>
        <v>73</v>
      </c>
      <c r="C82" s="176"/>
      <c r="D82" s="167"/>
      <c r="E82" s="177"/>
      <c r="F82" s="169"/>
      <c r="G82" s="169"/>
      <c r="H82" s="169"/>
      <c r="I82" s="169"/>
      <c r="J82" s="169"/>
      <c r="K82" s="169"/>
      <c r="L82" s="168"/>
      <c r="M82" s="170"/>
      <c r="N82" s="171"/>
      <c r="O82" s="172"/>
      <c r="P82" s="173"/>
      <c r="Q82" s="174"/>
      <c r="R82" s="175"/>
      <c r="S82" s="121"/>
    </row>
    <row r="83" ht="15.75" customHeight="1">
      <c r="A83" s="31"/>
      <c r="B83" s="80">
        <f t="shared" si="2"/>
        <v>74</v>
      </c>
      <c r="C83" s="176"/>
      <c r="D83" s="167"/>
      <c r="E83" s="177"/>
      <c r="F83" s="169"/>
      <c r="G83" s="169"/>
      <c r="H83" s="169"/>
      <c r="I83" s="169"/>
      <c r="J83" s="169"/>
      <c r="K83" s="169"/>
      <c r="L83" s="168"/>
      <c r="M83" s="170"/>
      <c r="N83" s="171"/>
      <c r="O83" s="172"/>
      <c r="P83" s="173"/>
      <c r="Q83" s="174"/>
      <c r="R83" s="175"/>
      <c r="S83" s="121"/>
    </row>
    <row r="84" ht="15.75" customHeight="1">
      <c r="A84" s="31"/>
      <c r="B84" s="80">
        <f t="shared" si="2"/>
        <v>75</v>
      </c>
      <c r="C84" s="176"/>
      <c r="D84" s="167"/>
      <c r="E84" s="177"/>
      <c r="F84" s="169"/>
      <c r="G84" s="169"/>
      <c r="H84" s="169"/>
      <c r="I84" s="169"/>
      <c r="J84" s="169"/>
      <c r="K84" s="169"/>
      <c r="L84" s="168"/>
      <c r="M84" s="170"/>
      <c r="N84" s="171"/>
      <c r="O84" s="172"/>
      <c r="P84" s="173"/>
      <c r="Q84" s="174"/>
      <c r="R84" s="175"/>
      <c r="S84" s="121"/>
    </row>
    <row r="85" ht="15.75" customHeight="1">
      <c r="A85" s="31"/>
      <c r="B85" s="80">
        <f t="shared" si="2"/>
        <v>76</v>
      </c>
      <c r="C85" s="176"/>
      <c r="D85" s="167"/>
      <c r="E85" s="177"/>
      <c r="F85" s="169"/>
      <c r="G85" s="169"/>
      <c r="H85" s="169"/>
      <c r="I85" s="169"/>
      <c r="J85" s="169"/>
      <c r="K85" s="169"/>
      <c r="L85" s="168"/>
      <c r="M85" s="170"/>
      <c r="N85" s="171"/>
      <c r="O85" s="172"/>
      <c r="P85" s="173"/>
      <c r="Q85" s="174"/>
      <c r="R85" s="175"/>
      <c r="S85" s="121"/>
    </row>
    <row r="86" ht="15.75" customHeight="1">
      <c r="A86" s="31"/>
      <c r="B86" s="80">
        <f t="shared" si="2"/>
        <v>77</v>
      </c>
      <c r="C86" s="176"/>
      <c r="D86" s="167"/>
      <c r="E86" s="177"/>
      <c r="F86" s="169"/>
      <c r="G86" s="169"/>
      <c r="H86" s="169"/>
      <c r="I86" s="169"/>
      <c r="J86" s="169"/>
      <c r="K86" s="169"/>
      <c r="L86" s="168"/>
      <c r="M86" s="170"/>
      <c r="N86" s="171"/>
      <c r="O86" s="172"/>
      <c r="P86" s="173"/>
      <c r="Q86" s="174"/>
      <c r="R86" s="175"/>
      <c r="S86" s="121"/>
    </row>
    <row r="87" ht="15.75" customHeight="1">
      <c r="A87" s="31"/>
      <c r="B87" s="80">
        <f t="shared" si="2"/>
        <v>78</v>
      </c>
      <c r="C87" s="176"/>
      <c r="D87" s="167"/>
      <c r="E87" s="177"/>
      <c r="F87" s="169"/>
      <c r="G87" s="169"/>
      <c r="H87" s="169"/>
      <c r="I87" s="169"/>
      <c r="J87" s="169"/>
      <c r="K87" s="169"/>
      <c r="L87" s="168"/>
      <c r="M87" s="170"/>
      <c r="N87" s="171"/>
      <c r="O87" s="172"/>
      <c r="P87" s="173"/>
      <c r="Q87" s="174"/>
      <c r="R87" s="175"/>
      <c r="S87" s="121"/>
    </row>
    <row r="88" ht="15.75" customHeight="1">
      <c r="A88" s="31"/>
      <c r="B88" s="80">
        <f t="shared" si="2"/>
        <v>79</v>
      </c>
      <c r="C88" s="176"/>
      <c r="D88" s="167"/>
      <c r="E88" s="177"/>
      <c r="F88" s="169"/>
      <c r="G88" s="169"/>
      <c r="H88" s="169"/>
      <c r="I88" s="169"/>
      <c r="J88" s="169"/>
      <c r="K88" s="169"/>
      <c r="L88" s="168"/>
      <c r="M88" s="170"/>
      <c r="N88" s="171"/>
      <c r="O88" s="172"/>
      <c r="P88" s="173"/>
      <c r="Q88" s="174"/>
      <c r="R88" s="175"/>
      <c r="S88" s="121"/>
    </row>
    <row r="89" ht="15.75" customHeight="1">
      <c r="A89" s="31"/>
      <c r="B89" s="80">
        <f t="shared" si="2"/>
        <v>80</v>
      </c>
      <c r="C89" s="176"/>
      <c r="D89" s="167"/>
      <c r="E89" s="177"/>
      <c r="F89" s="169"/>
      <c r="G89" s="169"/>
      <c r="H89" s="169"/>
      <c r="I89" s="169"/>
      <c r="J89" s="169"/>
      <c r="K89" s="169"/>
      <c r="L89" s="168"/>
      <c r="M89" s="170"/>
      <c r="N89" s="171"/>
      <c r="O89" s="172"/>
      <c r="P89" s="173"/>
      <c r="Q89" s="174"/>
      <c r="R89" s="175"/>
      <c r="S89" s="121"/>
    </row>
    <row r="90" ht="15.75" customHeight="1">
      <c r="A90" s="31"/>
      <c r="B90" s="80">
        <f t="shared" si="2"/>
        <v>81</v>
      </c>
      <c r="C90" s="176"/>
      <c r="D90" s="167"/>
      <c r="E90" s="177"/>
      <c r="F90" s="169"/>
      <c r="G90" s="169"/>
      <c r="H90" s="169"/>
      <c r="I90" s="169"/>
      <c r="J90" s="169"/>
      <c r="K90" s="169"/>
      <c r="L90" s="168"/>
      <c r="M90" s="170"/>
      <c r="N90" s="171"/>
      <c r="O90" s="172"/>
      <c r="P90" s="173"/>
      <c r="Q90" s="174"/>
      <c r="R90" s="175"/>
      <c r="S90" s="121"/>
    </row>
    <row r="91" ht="15.75" customHeight="1">
      <c r="A91" s="31"/>
      <c r="B91" s="80">
        <f t="shared" si="2"/>
        <v>82</v>
      </c>
      <c r="C91" s="176"/>
      <c r="D91" s="167"/>
      <c r="E91" s="177"/>
      <c r="F91" s="169"/>
      <c r="G91" s="169"/>
      <c r="H91" s="169"/>
      <c r="I91" s="169"/>
      <c r="J91" s="169"/>
      <c r="K91" s="169"/>
      <c r="L91" s="168"/>
      <c r="M91" s="170"/>
      <c r="N91" s="171"/>
      <c r="O91" s="172"/>
      <c r="P91" s="173"/>
      <c r="Q91" s="174"/>
      <c r="R91" s="175"/>
      <c r="S91" s="121"/>
    </row>
    <row r="92" ht="15.75" customHeight="1">
      <c r="A92" s="31"/>
      <c r="B92" s="80">
        <f t="shared" si="2"/>
        <v>83</v>
      </c>
      <c r="C92" s="176"/>
      <c r="D92" s="167"/>
      <c r="E92" s="177"/>
      <c r="F92" s="169"/>
      <c r="G92" s="169"/>
      <c r="H92" s="169"/>
      <c r="I92" s="169"/>
      <c r="J92" s="169"/>
      <c r="K92" s="169"/>
      <c r="L92" s="168"/>
      <c r="M92" s="170"/>
      <c r="N92" s="171"/>
      <c r="O92" s="172"/>
      <c r="P92" s="173"/>
      <c r="Q92" s="174"/>
      <c r="R92" s="175"/>
      <c r="S92" s="121"/>
    </row>
    <row r="93" ht="15.75" customHeight="1">
      <c r="A93" s="31"/>
      <c r="B93" s="80">
        <f t="shared" si="2"/>
        <v>84</v>
      </c>
      <c r="C93" s="176"/>
      <c r="D93" s="167"/>
      <c r="E93" s="177"/>
      <c r="F93" s="169"/>
      <c r="G93" s="169"/>
      <c r="H93" s="169"/>
      <c r="I93" s="169"/>
      <c r="J93" s="169"/>
      <c r="K93" s="169"/>
      <c r="L93" s="168"/>
      <c r="M93" s="170"/>
      <c r="N93" s="171"/>
      <c r="O93" s="172"/>
      <c r="P93" s="173"/>
      <c r="Q93" s="174"/>
      <c r="R93" s="175"/>
      <c r="S93" s="121"/>
    </row>
    <row r="94" ht="15.75" customHeight="1">
      <c r="A94" s="31"/>
      <c r="B94" s="80">
        <f t="shared" si="2"/>
        <v>85</v>
      </c>
      <c r="C94" s="176"/>
      <c r="D94" s="167"/>
      <c r="E94" s="177"/>
      <c r="F94" s="169"/>
      <c r="G94" s="169"/>
      <c r="H94" s="169"/>
      <c r="I94" s="169"/>
      <c r="J94" s="169"/>
      <c r="K94" s="169"/>
      <c r="L94" s="168"/>
      <c r="M94" s="170"/>
      <c r="N94" s="171"/>
      <c r="O94" s="172"/>
      <c r="P94" s="173"/>
      <c r="Q94" s="174"/>
      <c r="R94" s="175"/>
      <c r="S94" s="121"/>
    </row>
    <row r="95" ht="15.75" customHeight="1">
      <c r="A95" s="31"/>
      <c r="B95" s="80">
        <f t="shared" si="2"/>
        <v>86</v>
      </c>
      <c r="C95" s="176"/>
      <c r="D95" s="167"/>
      <c r="E95" s="177"/>
      <c r="F95" s="169"/>
      <c r="G95" s="169"/>
      <c r="H95" s="169"/>
      <c r="I95" s="169"/>
      <c r="J95" s="169"/>
      <c r="K95" s="169"/>
      <c r="L95" s="168"/>
      <c r="M95" s="170"/>
      <c r="N95" s="171"/>
      <c r="O95" s="172"/>
      <c r="P95" s="173"/>
      <c r="Q95" s="174"/>
      <c r="R95" s="175"/>
      <c r="S95" s="121"/>
    </row>
    <row r="96" ht="15.75" customHeight="1">
      <c r="A96" s="31"/>
      <c r="B96" s="80">
        <f t="shared" si="2"/>
        <v>87</v>
      </c>
      <c r="C96" s="176"/>
      <c r="D96" s="167"/>
      <c r="E96" s="177"/>
      <c r="F96" s="169"/>
      <c r="G96" s="169"/>
      <c r="H96" s="169"/>
      <c r="I96" s="169"/>
      <c r="J96" s="169"/>
      <c r="K96" s="169"/>
      <c r="L96" s="168"/>
      <c r="M96" s="170"/>
      <c r="N96" s="171"/>
      <c r="O96" s="172"/>
      <c r="P96" s="173"/>
      <c r="Q96" s="174"/>
      <c r="R96" s="175"/>
      <c r="S96" s="121"/>
    </row>
    <row r="97" ht="15.75" customHeight="1">
      <c r="A97" s="31"/>
      <c r="B97" s="80">
        <f t="shared" si="2"/>
        <v>88</v>
      </c>
      <c r="C97" s="176"/>
      <c r="D97" s="167"/>
      <c r="E97" s="177"/>
      <c r="F97" s="169"/>
      <c r="G97" s="169"/>
      <c r="H97" s="169"/>
      <c r="I97" s="169"/>
      <c r="J97" s="169"/>
      <c r="K97" s="169"/>
      <c r="L97" s="168"/>
      <c r="M97" s="170"/>
      <c r="N97" s="171"/>
      <c r="O97" s="172"/>
      <c r="P97" s="173"/>
      <c r="Q97" s="174"/>
      <c r="R97" s="175"/>
      <c r="S97" s="121"/>
    </row>
    <row r="98" ht="15.75" customHeight="1">
      <c r="A98" s="31"/>
      <c r="B98" s="80">
        <f t="shared" si="2"/>
        <v>89</v>
      </c>
      <c r="C98" s="176"/>
      <c r="D98" s="167"/>
      <c r="E98" s="177"/>
      <c r="F98" s="169"/>
      <c r="G98" s="169"/>
      <c r="H98" s="169"/>
      <c r="I98" s="169"/>
      <c r="J98" s="169"/>
      <c r="K98" s="169"/>
      <c r="L98" s="168"/>
      <c r="M98" s="170"/>
      <c r="N98" s="171"/>
      <c r="O98" s="172"/>
      <c r="P98" s="173"/>
      <c r="Q98" s="174"/>
      <c r="R98" s="175"/>
      <c r="S98" s="121"/>
    </row>
    <row r="99" ht="15.75" customHeight="1">
      <c r="A99" s="31"/>
      <c r="B99" s="80">
        <f t="shared" si="2"/>
        <v>90</v>
      </c>
      <c r="C99" s="176"/>
      <c r="D99" s="167"/>
      <c r="E99" s="177"/>
      <c r="F99" s="169"/>
      <c r="G99" s="169"/>
      <c r="H99" s="169"/>
      <c r="I99" s="169"/>
      <c r="J99" s="169"/>
      <c r="K99" s="169"/>
      <c r="L99" s="168"/>
      <c r="M99" s="170"/>
      <c r="N99" s="171"/>
      <c r="O99" s="172"/>
      <c r="P99" s="173"/>
      <c r="Q99" s="174"/>
      <c r="R99" s="175"/>
      <c r="S99" s="121"/>
    </row>
    <row r="100" ht="15.75" customHeight="1">
      <c r="A100" s="31"/>
      <c r="B100" s="80">
        <f t="shared" si="2"/>
        <v>91</v>
      </c>
      <c r="C100" s="176"/>
      <c r="D100" s="167"/>
      <c r="E100" s="177"/>
      <c r="F100" s="169"/>
      <c r="G100" s="169"/>
      <c r="H100" s="169"/>
      <c r="I100" s="169"/>
      <c r="J100" s="169"/>
      <c r="K100" s="169"/>
      <c r="L100" s="168"/>
      <c r="M100" s="170"/>
      <c r="N100" s="171"/>
      <c r="O100" s="172"/>
      <c r="P100" s="173"/>
      <c r="Q100" s="174"/>
      <c r="R100" s="175"/>
      <c r="S100" s="121"/>
    </row>
    <row r="101" ht="15.75" customHeight="1">
      <c r="A101" s="31"/>
      <c r="B101" s="80">
        <f t="shared" si="2"/>
        <v>92</v>
      </c>
      <c r="C101" s="176"/>
      <c r="D101" s="167"/>
      <c r="E101" s="177"/>
      <c r="F101" s="169"/>
      <c r="G101" s="169"/>
      <c r="H101" s="169"/>
      <c r="I101" s="169"/>
      <c r="J101" s="169"/>
      <c r="K101" s="169"/>
      <c r="L101" s="168"/>
      <c r="M101" s="170"/>
      <c r="N101" s="171"/>
      <c r="O101" s="172"/>
      <c r="P101" s="173"/>
      <c r="Q101" s="174"/>
      <c r="R101" s="175"/>
      <c r="S101" s="121"/>
    </row>
    <row r="102" ht="15.75" customHeight="1">
      <c r="A102" s="31"/>
      <c r="B102" s="80">
        <f t="shared" si="2"/>
        <v>93</v>
      </c>
      <c r="C102" s="176"/>
      <c r="D102" s="167"/>
      <c r="E102" s="177"/>
      <c r="F102" s="169"/>
      <c r="G102" s="169"/>
      <c r="H102" s="169"/>
      <c r="I102" s="169"/>
      <c r="J102" s="169"/>
      <c r="K102" s="169"/>
      <c r="L102" s="168"/>
      <c r="M102" s="170"/>
      <c r="N102" s="171"/>
      <c r="O102" s="172"/>
      <c r="P102" s="173"/>
      <c r="Q102" s="174"/>
      <c r="R102" s="175"/>
      <c r="S102" s="121"/>
    </row>
    <row r="103" ht="15.75" customHeight="1">
      <c r="A103" s="31"/>
      <c r="B103" s="80">
        <f t="shared" si="2"/>
        <v>94</v>
      </c>
      <c r="C103" s="176"/>
      <c r="D103" s="167"/>
      <c r="E103" s="177"/>
      <c r="F103" s="169"/>
      <c r="G103" s="169"/>
      <c r="H103" s="169"/>
      <c r="I103" s="169"/>
      <c r="J103" s="169"/>
      <c r="K103" s="169"/>
      <c r="L103" s="168"/>
      <c r="M103" s="170"/>
      <c r="N103" s="171"/>
      <c r="O103" s="172"/>
      <c r="P103" s="173"/>
      <c r="Q103" s="174"/>
      <c r="R103" s="175"/>
      <c r="S103" s="121"/>
    </row>
    <row r="104" ht="15.75" customHeight="1">
      <c r="A104" s="31"/>
      <c r="B104" s="80">
        <f t="shared" si="2"/>
        <v>95</v>
      </c>
      <c r="C104" s="176"/>
      <c r="D104" s="167"/>
      <c r="E104" s="177"/>
      <c r="F104" s="169"/>
      <c r="G104" s="169"/>
      <c r="H104" s="169"/>
      <c r="I104" s="169"/>
      <c r="J104" s="169"/>
      <c r="K104" s="169"/>
      <c r="L104" s="168"/>
      <c r="M104" s="170"/>
      <c r="N104" s="171"/>
      <c r="O104" s="172"/>
      <c r="P104" s="173"/>
      <c r="Q104" s="174"/>
      <c r="R104" s="175"/>
      <c r="S104" s="121"/>
    </row>
    <row r="105" ht="15.75" customHeight="1">
      <c r="A105" s="31"/>
      <c r="B105" s="80">
        <f t="shared" si="2"/>
        <v>96</v>
      </c>
      <c r="C105" s="176"/>
      <c r="D105" s="167"/>
      <c r="E105" s="177"/>
      <c r="F105" s="169"/>
      <c r="G105" s="169"/>
      <c r="H105" s="169"/>
      <c r="I105" s="169"/>
      <c r="J105" s="169"/>
      <c r="K105" s="169"/>
      <c r="L105" s="168"/>
      <c r="M105" s="170"/>
      <c r="N105" s="171"/>
      <c r="O105" s="172"/>
      <c r="P105" s="173"/>
      <c r="Q105" s="174"/>
      <c r="R105" s="175"/>
      <c r="S105" s="121"/>
    </row>
    <row r="106" ht="15.75" customHeight="1">
      <c r="A106" s="31"/>
      <c r="B106" s="80">
        <f t="shared" si="2"/>
        <v>97</v>
      </c>
      <c r="C106" s="176"/>
      <c r="D106" s="167"/>
      <c r="E106" s="177"/>
      <c r="F106" s="169"/>
      <c r="G106" s="169"/>
      <c r="H106" s="169"/>
      <c r="I106" s="169"/>
      <c r="J106" s="169"/>
      <c r="K106" s="169"/>
      <c r="L106" s="168"/>
      <c r="M106" s="170"/>
      <c r="N106" s="171"/>
      <c r="O106" s="172"/>
      <c r="P106" s="173"/>
      <c r="Q106" s="174"/>
      <c r="R106" s="175"/>
      <c r="S106" s="121"/>
    </row>
    <row r="107" ht="15.75" customHeight="1">
      <c r="A107" s="31"/>
      <c r="B107" s="80">
        <f t="shared" si="2"/>
        <v>98</v>
      </c>
      <c r="C107" s="176"/>
      <c r="D107" s="167"/>
      <c r="E107" s="177"/>
      <c r="F107" s="169"/>
      <c r="G107" s="169"/>
      <c r="H107" s="169"/>
      <c r="I107" s="169"/>
      <c r="J107" s="169"/>
      <c r="K107" s="169"/>
      <c r="L107" s="168"/>
      <c r="M107" s="170"/>
      <c r="N107" s="171"/>
      <c r="O107" s="172"/>
      <c r="P107" s="173"/>
      <c r="Q107" s="174"/>
      <c r="R107" s="175"/>
      <c r="S107" s="121"/>
    </row>
    <row r="108" ht="15.75" customHeight="1">
      <c r="A108" s="31"/>
      <c r="B108" s="80">
        <f t="shared" si="2"/>
        <v>99</v>
      </c>
      <c r="C108" s="176"/>
      <c r="D108" s="167"/>
      <c r="E108" s="177"/>
      <c r="F108" s="169"/>
      <c r="G108" s="169"/>
      <c r="H108" s="169"/>
      <c r="I108" s="169"/>
      <c r="J108" s="169"/>
      <c r="K108" s="169"/>
      <c r="L108" s="168"/>
      <c r="M108" s="170"/>
      <c r="N108" s="171"/>
      <c r="O108" s="172"/>
      <c r="P108" s="173"/>
      <c r="Q108" s="174"/>
      <c r="R108" s="175"/>
      <c r="S108" s="121"/>
    </row>
    <row r="109" ht="15.75" customHeight="1">
      <c r="A109" s="31"/>
      <c r="B109" s="179">
        <f t="shared" si="2"/>
        <v>100</v>
      </c>
      <c r="C109" s="176"/>
      <c r="D109" s="167"/>
      <c r="E109" s="177"/>
      <c r="F109" s="169"/>
      <c r="G109" s="180"/>
      <c r="H109" s="180"/>
      <c r="I109" s="180"/>
      <c r="J109" s="180"/>
      <c r="K109" s="180"/>
      <c r="L109" s="181"/>
      <c r="M109" s="182"/>
      <c r="N109" s="183"/>
      <c r="O109" s="184"/>
      <c r="P109" s="185"/>
      <c r="Q109" s="186"/>
      <c r="R109" s="187"/>
      <c r="S109" s="121"/>
    </row>
    <row r="110" ht="10.5" customHeight="1">
      <c r="A110" s="31"/>
      <c r="B110" s="188"/>
      <c r="C110" s="124"/>
      <c r="D110" s="124"/>
      <c r="E110" s="124"/>
      <c r="F110" s="189"/>
      <c r="G110" s="189"/>
      <c r="H110" s="189"/>
      <c r="I110" s="189"/>
      <c r="J110" s="189"/>
      <c r="K110" s="189"/>
      <c r="L110" s="124"/>
      <c r="M110" s="190"/>
      <c r="N110" s="190"/>
      <c r="O110" s="190"/>
      <c r="P110" s="125"/>
      <c r="Q110" s="125"/>
      <c r="R110" s="125"/>
      <c r="S110" s="12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22AEDDB-2FCB-4B15-8AD7-2F5C6041BC01}"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