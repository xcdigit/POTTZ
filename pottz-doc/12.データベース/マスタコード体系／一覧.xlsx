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688"/>
  </bookViews>
  <sheets>
    <sheet name="変更履歴" sheetId="50" r:id="rId1"/>
    <sheet name="コードグループ一覧" sheetId="59" r:id="rId2"/>
    <sheet name="マスタコード一覧" sheetId="62" r:id="rId3"/>
    <sheet name="コード体系" sheetId="63" r:id="rId4"/>
  </sheets>
  <definedNames>
    <definedName name="_xlnm._FilterDatabase" localSheetId="1" hidden="1">コードグループ一覧!$A$4:$CQ$51</definedName>
    <definedName name="_xlnm._FilterDatabase" localSheetId="2" hidden="1">マスタコード一覧!$A$4:$CQ$119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コードグループ一覧!$A$1:$CL$38</definedName>
    <definedName name="_xlnm.Print_Area" localSheetId="3">コード体系!$A$1:$CL$63</definedName>
    <definedName name="_xlnm.Print_Area" localSheetId="2">マスタコード一覧!$A$1:$CL$121</definedName>
    <definedName name="_xlnm.Print_Area" localSheetId="0">変更履歴!$A$1:$BN$27</definedName>
    <definedName name="_xlnm.Print_Titles" localSheetId="1">コードグループ一覧!$1:$4</definedName>
    <definedName name="_xlnm.Print_Titles" localSheetId="2">マスタコード一覧!$1:$4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<sst xmlns="http://schemas.openxmlformats.org/spreadsheetml/2006/main" count="321" uniqueCount="207">
  <si>
    <t>ドキュメントID</t>
  </si>
  <si>
    <t>ドキュメント名称</t>
  </si>
  <si>
    <t>作成日</t>
  </si>
  <si>
    <t>更新日</t>
  </si>
  <si>
    <t>更新者</t>
  </si>
  <si>
    <t>ﾊﾞｰｼﾞｮﾝ</t>
  </si>
  <si>
    <t>マスタコード体系／一覧</t>
  </si>
  <si>
    <t>変更履歴</t>
  </si>
  <si>
    <t>日付</t>
  </si>
  <si>
    <t>作成/変更者</t>
  </si>
  <si>
    <t>概要（対象、修正内容 等）</t>
  </si>
  <si>
    <t>補足</t>
  </si>
  <si>
    <t>■■</t>
  </si>
  <si>
    <t>穆政道</t>
  </si>
  <si>
    <t>作成</t>
  </si>
  <si>
    <t>1.コードグループ一覧</t>
  </si>
  <si>
    <t>コード
グループID</t>
  </si>
  <si>
    <t>コード分類名称</t>
  </si>
  <si>
    <t>体系
有無</t>
  </si>
  <si>
    <t>説明</t>
  </si>
  <si>
    <t>備考</t>
  </si>
  <si>
    <t>通信完了区分</t>
  </si>
  <si>
    <t>削除区分</t>
  </si>
  <si>
    <t>削除状態</t>
  </si>
  <si>
    <t>「運用メッセージ履歴マスタ」「会社内メッセージ履歴マスタ」利用</t>
  </si>
  <si>
    <t>読み状態</t>
  </si>
  <si>
    <t>APPバージョン状態</t>
  </si>
  <si>
    <t>「APPバージョンマスタ」利用</t>
  </si>
  <si>
    <t>支払状態</t>
  </si>
  <si>
    <t>申込状態</t>
  </si>
  <si>
    <t>会社状態</t>
  </si>
  <si>
    <t>「会社情報マスタ」利用</t>
  </si>
  <si>
    <t>帳票_区分</t>
  </si>
  <si>
    <t>帳票_方向</t>
  </si>
  <si>
    <t>位置</t>
  </si>
  <si>
    <r>
      <rPr>
        <sz val="9"/>
        <rFont val="ＭＳ ゴシック"/>
        <charset val="128"/>
      </rPr>
      <t>「帳票編集明</t>
    </r>
    <r>
      <rPr>
        <sz val="9"/>
        <rFont val="宋体"/>
        <charset val="134"/>
      </rPr>
      <t>细</t>
    </r>
    <r>
      <rPr>
        <sz val="9"/>
        <rFont val="ＭＳ ゴシック"/>
        <charset val="128"/>
      </rPr>
      <t>」利用</t>
    </r>
  </si>
  <si>
    <t>分類</t>
  </si>
  <si>
    <t>フィールド名を表示</t>
  </si>
  <si>
    <t>ユーザー状態</t>
  </si>
  <si>
    <t>アクション区分</t>
  </si>
  <si>
    <t>ログレベル</t>
  </si>
  <si>
    <t>入荷状態</t>
  </si>
  <si>
    <t>連携済</t>
  </si>
  <si>
    <t>検品済、入庫済、入荷確定、ピッキングリスト出力済、出庫済、梱包済、出荷確定同じコード</t>
  </si>
  <si>
    <t>取込エラーフラグ</t>
  </si>
  <si>
    <t>出荷状態</t>
  </si>
  <si>
    <t>納品書出力</t>
  </si>
  <si>
    <t>引当済</t>
  </si>
  <si>
    <t>入/出荷予定区分</t>
  </si>
  <si>
    <t>入出庫区分</t>
  </si>
  <si>
    <t>棚卸確定</t>
  </si>
  <si>
    <t>差異チェック</t>
  </si>
  <si>
    <t>完了チェック</t>
  </si>
  <si>
    <t>返品区分</t>
  </si>
  <si>
    <t>移動調整区分</t>
  </si>
  <si>
    <t>採番区分</t>
  </si>
  <si>
    <t>2.マスタコード一覧</t>
  </si>
  <si>
    <t>コード値</t>
  </si>
  <si>
    <t>コード内容</t>
  </si>
  <si>
    <t>桁数</t>
  </si>
  <si>
    <t>並び順</t>
  </si>
  <si>
    <t>完了</t>
  </si>
  <si>
    <t>未完了</t>
  </si>
  <si>
    <t>強制完了</t>
  </si>
  <si>
    <t>削除済み</t>
  </si>
  <si>
    <t>未削除</t>
  </si>
  <si>
    <t>正常</t>
  </si>
  <si>
    <t>削除</t>
  </si>
  <si>
    <t>既読</t>
  </si>
  <si>
    <t>未読</t>
  </si>
  <si>
    <t>公開</t>
  </si>
  <si>
    <t>非公開</t>
  </si>
  <si>
    <t>未支払</t>
  </si>
  <si>
    <t>支払済み</t>
  </si>
  <si>
    <t>未受付</t>
  </si>
  <si>
    <t>受付済み</t>
  </si>
  <si>
    <t>却下</t>
  </si>
  <si>
    <t>存続</t>
  </si>
  <si>
    <t>申込</t>
  </si>
  <si>
    <t>退会</t>
  </si>
  <si>
    <t>停止</t>
  </si>
  <si>
    <t>納品書</t>
  </si>
  <si>
    <t>ピッキングリスト （シングル）</t>
  </si>
  <si>
    <t>入荷予定一覧</t>
  </si>
  <si>
    <t>横</t>
  </si>
  <si>
    <t>縦</t>
  </si>
  <si>
    <t>1行目の左部分</t>
  </si>
  <si>
    <t>1行目の中間部分</t>
  </si>
  <si>
    <t>1行目の右部分</t>
  </si>
  <si>
    <t>2行目の左部分</t>
  </si>
  <si>
    <t>2行目の中間部分</t>
  </si>
  <si>
    <t>2行目の右部分</t>
  </si>
  <si>
    <t>テーブル</t>
  </si>
  <si>
    <t>テキスト</t>
  </si>
  <si>
    <t>バーコード</t>
  </si>
  <si>
    <t>計算テキスト</t>
  </si>
  <si>
    <t>表示</t>
  </si>
  <si>
    <t>非表示</t>
  </si>
  <si>
    <t>本会員</t>
  </si>
  <si>
    <t>仮会員</t>
  </si>
  <si>
    <t>入庫入力</t>
  </si>
  <si>
    <t>入庫削除</t>
  </si>
  <si>
    <t>出庫入力</t>
  </si>
  <si>
    <t>出庫削除</t>
  </si>
  <si>
    <t>出荷検品</t>
  </si>
  <si>
    <t>梱包</t>
  </si>
  <si>
    <t>出荷確定</t>
  </si>
  <si>
    <t>出荷確定取消</t>
  </si>
  <si>
    <t>返品入力</t>
  </si>
  <si>
    <t>返品削除</t>
  </si>
  <si>
    <t>在庫移動</t>
  </si>
  <si>
    <t>在庫調整</t>
  </si>
  <si>
    <t>棚卸確定取消</t>
  </si>
  <si>
    <t>INFO</t>
  </si>
  <si>
    <t>インフォ</t>
  </si>
  <si>
    <t>WARN</t>
  </si>
  <si>
    <t>警告</t>
  </si>
  <si>
    <t>ERROR</t>
  </si>
  <si>
    <t>エラー</t>
  </si>
  <si>
    <t>検品待ち</t>
  </si>
  <si>
    <t>入庫待ち</t>
  </si>
  <si>
    <t>入庫中</t>
  </si>
  <si>
    <t>入荷確定待ち</t>
  </si>
  <si>
    <t>入荷済み</t>
  </si>
  <si>
    <t xml:space="preserve">ON </t>
  </si>
  <si>
    <t>OFF(default)</t>
  </si>
  <si>
    <t>未連携</t>
  </si>
  <si>
    <t>導入された商品IDは存在しません</t>
  </si>
  <si>
    <t>インポート時にエラーが発生しました</t>
  </si>
  <si>
    <t>マスターテーブルのインポート中にエラーが発生しました</t>
  </si>
  <si>
    <t>サブテーブルのインポート中にエラーが発生しました</t>
  </si>
  <si>
    <t>インポートされたフィールドの数またはタイプが一致しません</t>
  </si>
  <si>
    <t>引当失敗</t>
  </si>
  <si>
    <t xml:space="preserve">引当待ち </t>
  </si>
  <si>
    <t>出庫待ち</t>
  </si>
  <si>
    <t>出庫中</t>
  </si>
  <si>
    <t>梱包待ち</t>
  </si>
  <si>
    <t>出荷確定待ち</t>
  </si>
  <si>
    <t>出荷済み</t>
  </si>
  <si>
    <t>未出力</t>
  </si>
  <si>
    <t>出力済</t>
  </si>
  <si>
    <t>再出力</t>
  </si>
  <si>
    <t>引当待ち(default)</t>
  </si>
  <si>
    <t>引当不足</t>
  </si>
  <si>
    <t>入荷</t>
  </si>
  <si>
    <t>出荷</t>
  </si>
  <si>
    <t>入庫</t>
  </si>
  <si>
    <t>出庫</t>
  </si>
  <si>
    <t>OFF</t>
  </si>
  <si>
    <t>売上返品</t>
  </si>
  <si>
    <t>仕入返品</t>
  </si>
  <si>
    <t>移動</t>
  </si>
  <si>
    <t>調整</t>
  </si>
  <si>
    <t>A</t>
  </si>
  <si>
    <t>B</t>
  </si>
  <si>
    <t>3.コード体系</t>
  </si>
  <si>
    <t>1.オーダー番号</t>
  </si>
  <si>
    <t>固定文言</t>
  </si>
  <si>
    <t>システム日付</t>
  </si>
  <si>
    <t>4桁乱数</t>
  </si>
  <si>
    <t>O</t>
  </si>
  <si>
    <t>R</t>
  </si>
  <si>
    <t>D</t>
  </si>
  <si>
    <t>E</t>
  </si>
  <si>
    <t>_</t>
  </si>
  <si>
    <t>Y</t>
  </si>
  <si>
    <t>M</t>
  </si>
  <si>
    <t>H</t>
  </si>
  <si>
    <t>m</t>
  </si>
  <si>
    <t>s</t>
  </si>
  <si>
    <t>ms</t>
  </si>
  <si>
    <t>No</t>
  </si>
  <si>
    <t>内容</t>
  </si>
  <si>
    <t>システム日付を設定</t>
  </si>
  <si>
    <t>"0000"～"9999"の4桁乱数</t>
  </si>
  <si>
    <t>先頭ゼロ埋め４桁とする</t>
  </si>
  <si>
    <t>2.ロケーションコード</t>
  </si>
  <si>
    <t>倉庫略称</t>
  </si>
  <si>
    <t>区分</t>
  </si>
  <si>
    <t>ゾーン</t>
  </si>
  <si>
    <t>列＊</t>
  </si>
  <si>
    <t>棚＊</t>
  </si>
  <si>
    <t>段＊</t>
  </si>
  <si>
    <t>＊区分はSの場合、表示</t>
  </si>
  <si>
    <t>X</t>
  </si>
  <si>
    <t>-</t>
  </si>
  <si>
    <t>棚(S)、カゴ車またはオリコン(C)、箱（段ボール）(B)</t>
  </si>
  <si>
    <t>例：A1,B1,C1,D1,E1</t>
  </si>
  <si>
    <t>列</t>
  </si>
  <si>
    <t>例：A,B,C,D,E</t>
  </si>
  <si>
    <t>棚</t>
  </si>
  <si>
    <t>例：01,02,03,04,05</t>
  </si>
  <si>
    <t>段</t>
  </si>
  <si>
    <t>例：1,2,3,4,5</t>
  </si>
  <si>
    <t>3.入荷予定番号/出荷指示番号</t>
  </si>
  <si>
    <t>会社略称</t>
  </si>
  <si>
    <t>連番</t>
  </si>
  <si>
    <t>入荷:A 出荷:B</t>
  </si>
  <si>
    <t>年月</t>
  </si>
  <si>
    <t>8桁、テーブル「mtb_number(採番マスタ)」より取得</t>
  </si>
  <si>
    <t>4.入荷予定明細行No/出荷指示明細行No</t>
  </si>
  <si>
    <t>入荷予定番号/出荷指示番号</t>
  </si>
  <si>
    <t>連番*</t>
  </si>
  <si>
    <t>XXXXXXX</t>
  </si>
  <si>
    <r>
      <rPr>
        <sz val="11"/>
        <rFont val="MS Gothic"/>
        <charset val="128"/>
      </rPr>
      <t xml:space="preserve">* </t>
    </r>
    <r>
      <rPr>
        <sz val="11"/>
        <rFont val="ＭＳ 明朝"/>
        <charset val="128"/>
      </rPr>
      <t>00</t>
    </r>
    <r>
      <rPr>
        <sz val="11"/>
        <rFont val="MS Gothic"/>
        <charset val="128"/>
      </rPr>
      <t>1</t>
    </r>
    <r>
      <rPr>
        <sz val="11"/>
        <rFont val="ＭＳ 明朝"/>
        <charset val="128"/>
      </rPr>
      <t xml:space="preserve"> ～ "999" までの番号とする（必ず</t>
    </r>
    <r>
      <rPr>
        <sz val="11"/>
        <rFont val="MS Gothic"/>
        <charset val="128"/>
      </rPr>
      <t>3</t>
    </r>
    <r>
      <rPr>
        <sz val="11"/>
        <rFont val="ＭＳ 明朝"/>
        <charset val="128"/>
      </rPr>
      <t>桁とする）</t>
    </r>
  </si>
  <si>
    <t>5.ピッキング明細行No</t>
  </si>
  <si>
    <t>入荷予定明細行No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</si>
</sst>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-#,##0;&quot;-&quot;"/>
    <numFmt numFmtId="177" formatCode="&quot;F&quot;##"/>
    <numFmt numFmtId="178" formatCode="0.0_ "/>
    <numFmt numFmtId="179" formatCode="00"/>
    <numFmt numFmtId="180" formatCode="0.0_);[Red]\(0.0\)"/>
  </numFmts>
  <fonts count="43">
    <font>
      <sz val="11"/>
      <name val="ＭＳ 明朝"/>
      <charset val="128"/>
    </font>
    <font>
      <sz val="9"/>
      <color theme="1"/>
      <name val="ＭＳ ゴシック"/>
      <charset val="128"/>
    </font>
    <font>
      <sz val="9"/>
      <name val="ＭＳ ゴシック"/>
      <charset val="128"/>
    </font>
    <font>
      <sz val="11"/>
      <name val="ＭＳ ゴシック"/>
      <charset val="128"/>
    </font>
    <font>
      <sz val="11"/>
      <name val="ＭＳ 明朝"/>
      <charset val="128"/>
    </font>
    <font>
      <b/>
      <sz val="9"/>
      <name val="ＭＳ ゴシック"/>
      <charset val="128"/>
    </font>
    <font>
      <sz val="9"/>
      <color theme="0"/>
      <name val="ＭＳ ゴシック"/>
      <charset val="128"/>
    </font>
    <font>
      <sz val="11"/>
      <color theme="1"/>
      <name val="宋体"/>
      <charset val="134"/>
      <scheme val="minor"/>
    </font>
    <font>
      <sz val="11"/>
      <name val="ＭＳ 明朝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明朝"/>
      <charset val="128"/>
    </font>
    <font>
      <sz val="10"/>
      <color indexed="8"/>
      <name val="Arial"/>
      <charset val="134"/>
    </font>
    <font>
      <b/>
      <sz val="12"/>
      <name val="Arial"/>
      <charset val="134"/>
    </font>
    <font>
      <sz val="10"/>
      <name val="ＭＳ ゴシック"/>
      <charset val="128"/>
    </font>
    <font>
      <sz val="10"/>
      <name val="Arial"/>
      <charset val="134"/>
    </font>
    <font>
      <b/>
      <i/>
      <sz val="10"/>
      <name val="Times New Roman"/>
      <charset val="134"/>
    </font>
    <font>
      <b/>
      <sz val="11"/>
      <name val="Helv"/>
      <charset val="134"/>
    </font>
    <font>
      <sz val="10"/>
      <name val="Helv"/>
      <charset val="134"/>
    </font>
    <font>
      <sz val="10"/>
      <name val="ＭＳ Ｐゴシック"/>
      <charset val="134"/>
    </font>
    <font>
      <sz val="11"/>
      <color theme="1"/>
      <name val="宋体"/>
      <charset val="134"/>
      <scheme val="minor"/>
    </font>
    <font>
      <sz val="11"/>
      <name val="ＭＳ Ｐゴシック"/>
      <charset val="134"/>
    </font>
    <font>
      <sz val="14"/>
      <name val="ＭＳ 明朝"/>
      <charset val="128"/>
    </font>
    <font>
      <sz val="9"/>
      <name val="宋体"/>
      <charset val="134"/>
    </font>
    <font>
      <sz val="9"/>
      <name val="ＭＳ ゴシック"/>
      <charset val="128"/>
    </font>
    <font>
      <sz val="11"/>
      <name val="MS Gothic"/>
      <charset val="128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6" borderId="1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2" applyNumberFormat="0" applyAlignment="0" applyProtection="0">
      <alignment vertical="center"/>
    </xf>
    <xf numFmtId="0" fontId="18" fillId="8" borderId="23" applyNumberFormat="0" applyAlignment="0" applyProtection="0">
      <alignment vertical="center"/>
    </xf>
    <xf numFmtId="0" fontId="19" fillId="8" borderId="22" applyNumberFormat="0" applyAlignment="0" applyProtection="0">
      <alignment vertical="center"/>
    </xf>
    <xf numFmtId="0" fontId="20" fillId="9" borderId="24" applyNumberFormat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8" fillId="0" borderId="0"/>
    <xf numFmtId="0" fontId="28" fillId="0" borderId="0"/>
    <xf numFmtId="176" fontId="29" fillId="0" borderId="0" applyFill="0" applyBorder="0" applyAlignment="0"/>
    <xf numFmtId="0" fontId="30" fillId="0" borderId="27" applyNumberFormat="0" applyAlignment="0" applyProtection="0">
      <alignment horizontal="left" vertical="center"/>
    </xf>
    <xf numFmtId="0" fontId="30" fillId="0" borderId="3">
      <alignment horizontal="left" vertical="center"/>
    </xf>
    <xf numFmtId="0" fontId="31" fillId="0" borderId="0" applyBorder="0"/>
    <xf numFmtId="0" fontId="31" fillId="0" borderId="0"/>
    <xf numFmtId="0" fontId="32" fillId="0" borderId="0"/>
    <xf numFmtId="0" fontId="33" fillId="0" borderId="0">
      <alignment horizontal="left"/>
    </xf>
    <xf numFmtId="0" fontId="34" fillId="0" borderId="0"/>
    <xf numFmtId="0" fontId="35" fillId="0" borderId="0"/>
    <xf numFmtId="0" fontId="36" fillId="0" borderId="0">
      <alignment vertical="center"/>
    </xf>
    <xf numFmtId="0" fontId="36" fillId="0" borderId="0"/>
    <xf numFmtId="0" fontId="37" fillId="0" borderId="0">
      <alignment vertical="center"/>
    </xf>
    <xf numFmtId="0" fontId="38" fillId="0" borderId="0"/>
    <xf numFmtId="0" fontId="38" fillId="0" borderId="0"/>
    <xf numFmtId="0" fontId="36" fillId="0" borderId="10">
      <alignment horizontal="left"/>
    </xf>
    <xf numFmtId="49" fontId="36" fillId="0" borderId="0">
      <alignment horizontal="left" wrapText="1"/>
    </xf>
    <xf numFmtId="49" fontId="36" fillId="0" borderId="10">
      <alignment horizontal="left"/>
    </xf>
    <xf numFmtId="49" fontId="36" fillId="0" borderId="10">
      <alignment horizontal="left" vertical="top" wrapText="1"/>
    </xf>
    <xf numFmtId="0" fontId="36" fillId="0" borderId="0">
      <alignment wrapText="1"/>
    </xf>
    <xf numFmtId="0" fontId="39" fillId="0" borderId="0"/>
  </cellStyleXfs>
  <cellXfs count="12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0" fontId="2" fillId="2" borderId="0" xfId="63" applyFont="1" applyFill="1" applyAlignment="1">
      <alignment vertical="center"/>
    </xf>
    <xf numFmtId="0" fontId="3" fillId="2" borderId="0" xfId="63" applyFont="1" applyFill="1" applyAlignment="1">
      <alignment vertical="center"/>
    </xf>
    <xf numFmtId="0" fontId="2" fillId="2" borderId="0" xfId="0" applyFont="1" applyFill="1" applyAlignment="1">
      <alignment vertical="center"/>
    </xf>
    <xf numFmtId="177" fontId="2" fillId="2" borderId="0" xfId="0" applyNumberFormat="1" applyFont="1" applyFill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4" fillId="2" borderId="0" xfId="0" applyFont="1" applyFill="1"/>
    <xf numFmtId="0" fontId="2" fillId="4" borderId="4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horizontal="centerContinuous" vertical="center"/>
    </xf>
    <xf numFmtId="0" fontId="1" fillId="3" borderId="3" xfId="0" applyFont="1" applyFill="1" applyBorder="1" applyAlignment="1">
      <alignment horizontal="centerContinuous" vertical="center"/>
    </xf>
    <xf numFmtId="14" fontId="1" fillId="2" borderId="2" xfId="0" applyNumberFormat="1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1" fillId="3" borderId="4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178" fontId="1" fillId="2" borderId="2" xfId="62" applyNumberFormat="1" applyFont="1" applyFill="1" applyBorder="1" applyAlignment="1">
      <alignment horizontal="centerContinuous" vertical="center"/>
    </xf>
    <xf numFmtId="0" fontId="1" fillId="0" borderId="0" xfId="0" applyFont="1" applyAlignment="1">
      <alignment vertical="center"/>
    </xf>
    <xf numFmtId="0" fontId="2" fillId="0" borderId="0" xfId="63" applyFont="1" applyAlignment="1">
      <alignment vertical="center"/>
    </xf>
    <xf numFmtId="0" fontId="2" fillId="0" borderId="0" xfId="64" applyFont="1" applyAlignment="1">
      <alignment vertical="center"/>
    </xf>
    <xf numFmtId="0" fontId="5" fillId="0" borderId="0" xfId="63" applyFont="1" applyAlignment="1">
      <alignment vertical="center"/>
    </xf>
    <xf numFmtId="0" fontId="3" fillId="0" borderId="0" xfId="63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0" xfId="63" applyFont="1" applyAlignment="1">
      <alignment horizontal="centerContinuous" vertical="center"/>
    </xf>
    <xf numFmtId="0" fontId="2" fillId="0" borderId="0" xfId="63" applyFont="1" applyAlignment="1">
      <alignment horizontal="center" vertical="center" wrapText="1"/>
    </xf>
    <xf numFmtId="179" fontId="2" fillId="0" borderId="0" xfId="63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38" fontId="2" fillId="0" borderId="0" xfId="4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0" xfId="62" applyFont="1">
      <alignment vertical="center"/>
    </xf>
    <xf numFmtId="0" fontId="1" fillId="3" borderId="1" xfId="62" applyFont="1" applyFill="1" applyBorder="1" applyAlignment="1">
      <alignment horizontal="centerContinuous" vertical="center"/>
    </xf>
    <xf numFmtId="0" fontId="1" fillId="2" borderId="1" xfId="62" applyFont="1" applyFill="1" applyBorder="1" applyAlignment="1">
      <alignment horizontal="centerContinuous" vertical="center"/>
    </xf>
    <xf numFmtId="0" fontId="1" fillId="5" borderId="11" xfId="62" applyFont="1" applyFill="1" applyBorder="1" applyAlignment="1">
      <alignment horizontal="center" vertical="center"/>
    </xf>
    <xf numFmtId="0" fontId="1" fillId="5" borderId="12" xfId="62" applyFont="1" applyFill="1" applyBorder="1" applyAlignment="1">
      <alignment horizontal="center" vertical="center"/>
    </xf>
    <xf numFmtId="0" fontId="1" fillId="5" borderId="13" xfId="62" applyFont="1" applyFill="1" applyBorder="1" applyAlignment="1">
      <alignment horizontal="center" vertical="center"/>
    </xf>
    <xf numFmtId="0" fontId="1" fillId="5" borderId="14" xfId="62" applyFont="1" applyFill="1" applyBorder="1" applyAlignment="1">
      <alignment horizontal="center" vertical="center"/>
    </xf>
    <xf numFmtId="0" fontId="6" fillId="0" borderId="0" xfId="62" applyFont="1" applyAlignment="1">
      <alignment vertical="center" wrapText="1"/>
    </xf>
    <xf numFmtId="14" fontId="1" fillId="0" borderId="15" xfId="62" applyNumberFormat="1" applyFont="1" applyBorder="1" applyAlignment="1">
      <alignment horizontal="center" vertical="center"/>
    </xf>
    <xf numFmtId="0" fontId="1" fillId="0" borderId="15" xfId="62" applyFont="1" applyBorder="1" applyAlignment="1">
      <alignment horizontal="center" vertical="center"/>
    </xf>
    <xf numFmtId="14" fontId="1" fillId="0" borderId="2" xfId="62" applyNumberFormat="1" applyFont="1" applyBorder="1" applyAlignment="1">
      <alignment horizontal="center" vertical="center"/>
    </xf>
    <xf numFmtId="14" fontId="1" fillId="0" borderId="3" xfId="62" applyNumberFormat="1" applyFont="1" applyBorder="1" applyAlignment="1">
      <alignment horizontal="center" vertical="center"/>
    </xf>
    <xf numFmtId="14" fontId="1" fillId="0" borderId="4" xfId="62" applyNumberFormat="1" applyFont="1" applyBorder="1" applyAlignment="1">
      <alignment horizontal="center" vertical="center"/>
    </xf>
    <xf numFmtId="0" fontId="1" fillId="0" borderId="1" xfId="62" applyFont="1" applyBorder="1" applyAlignment="1">
      <alignment horizontal="center" vertical="center"/>
    </xf>
    <xf numFmtId="0" fontId="1" fillId="0" borderId="2" xfId="62" applyFont="1" applyBorder="1" applyAlignment="1">
      <alignment horizontal="center" vertical="center"/>
    </xf>
    <xf numFmtId="0" fontId="1" fillId="0" borderId="3" xfId="62" applyFont="1" applyBorder="1" applyAlignment="1">
      <alignment horizontal="center" vertical="center"/>
    </xf>
    <xf numFmtId="0" fontId="1" fillId="0" borderId="4" xfId="62" applyFont="1" applyBorder="1" applyAlignment="1">
      <alignment horizontal="center" vertical="center"/>
    </xf>
    <xf numFmtId="180" fontId="1" fillId="0" borderId="15" xfId="62" applyNumberFormat="1" applyFont="1" applyBorder="1" applyAlignment="1">
      <alignment horizontal="center" vertical="center"/>
    </xf>
    <xf numFmtId="0" fontId="1" fillId="0" borderId="16" xfId="62" applyFont="1" applyBorder="1" applyAlignment="1">
      <alignment vertical="center" wrapText="1"/>
    </xf>
    <xf numFmtId="0" fontId="1" fillId="0" borderId="17" xfId="62" applyFont="1" applyBorder="1">
      <alignment vertical="center"/>
    </xf>
    <xf numFmtId="0" fontId="1" fillId="0" borderId="2" xfId="62" applyFont="1" applyBorder="1">
      <alignment vertical="center"/>
    </xf>
    <xf numFmtId="0" fontId="1" fillId="0" borderId="3" xfId="62" applyFont="1" applyBorder="1">
      <alignment vertical="center"/>
    </xf>
    <xf numFmtId="0" fontId="1" fillId="3" borderId="2" xfId="62" applyFont="1" applyFill="1" applyBorder="1" applyAlignment="1">
      <alignment horizontal="centerContinuous" vertical="center"/>
    </xf>
    <xf numFmtId="0" fontId="1" fillId="3" borderId="3" xfId="62" applyFont="1" applyFill="1" applyBorder="1" applyAlignment="1">
      <alignment horizontal="centerContinuous" vertical="center"/>
    </xf>
    <xf numFmtId="14" fontId="1" fillId="2" borderId="2" xfId="62" applyNumberFormat="1" applyFont="1" applyFill="1" applyBorder="1" applyAlignment="1">
      <alignment horizontal="centerContinuous" vertical="center"/>
    </xf>
    <xf numFmtId="0" fontId="1" fillId="2" borderId="3" xfId="62" applyFont="1" applyFill="1" applyBorder="1" applyAlignment="1">
      <alignment horizontal="centerContinuous" vertical="center"/>
    </xf>
    <xf numFmtId="0" fontId="1" fillId="0" borderId="18" xfId="62" applyFont="1" applyBorder="1">
      <alignment vertical="center"/>
    </xf>
    <xf numFmtId="0" fontId="1" fillId="0" borderId="4" xfId="62" applyFont="1" applyBorder="1">
      <alignment vertical="center"/>
    </xf>
    <xf numFmtId="0" fontId="1" fillId="3" borderId="4" xfId="62" applyFont="1" applyFill="1" applyBorder="1" applyAlignment="1">
      <alignment horizontal="centerContinuous" vertical="center"/>
    </xf>
    <xf numFmtId="0" fontId="1" fillId="2" borderId="4" xfId="62" applyFont="1" applyFill="1" applyBorder="1" applyAlignment="1">
      <alignment horizontal="centerContinuous" vertical="center"/>
    </xf>
    <xf numFmtId="0" fontId="1" fillId="0" borderId="15" xfId="62" applyFont="1" applyBorder="1" applyAlignment="1">
      <alignment vertical="center" shrinkToFit="1"/>
    </xf>
    <xf numFmtId="0" fontId="1" fillId="0" borderId="1" xfId="62" applyFont="1" applyBorder="1" applyAlignment="1">
      <alignment vertical="center" shrinkToFit="1"/>
    </xf>
    <xf numFmtId="0" fontId="1" fillId="2" borderId="2" xfId="62" applyFont="1" applyFill="1" applyBorder="1" applyAlignment="1">
      <alignment horizontal="centerContinuous"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2" borderId="5" xfId="0" applyFont="1" applyFill="1" applyBorder="1" applyAlignment="1" quotePrefix="1">
      <alignment horizontal="center" vertical="center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d__x000a_JournalTemplate=C:\COMFO\CTALK\JOURSTD.TPL_x000d__x000a_LbStateAddress=3 3 0 251 1 89 2 311_x000d__x000a_LbStateJou" xfId="49"/>
    <cellStyle name="_x0001_+_x0001_+_x0001_+_x0001_+_x0001_+_x0001_+_x0001_+_x0001_+_x0001_+_x0001_+_x0001_+_x0001_+_x0001_+_x0001_+_x0001_+_x0001_+_x0001_+_x0001_+_x0001_+_x0001_+_x0001_+_x0001_" xfId="50"/>
    <cellStyle name="Calc Currency (0)" xfId="51"/>
    <cellStyle name="Header1" xfId="52"/>
    <cellStyle name="Header2" xfId="53"/>
    <cellStyle name="IBM(401K)" xfId="54"/>
    <cellStyle name="J401K" xfId="55"/>
    <cellStyle name="Normal_#18-Internet" xfId="56"/>
    <cellStyle name="section" xfId="57"/>
    <cellStyle name="subhead" xfId="58"/>
    <cellStyle name="スタイル 1" xfId="59"/>
    <cellStyle name="標準 2" xfId="60"/>
    <cellStyle name="標準 3" xfId="61"/>
    <cellStyle name="標準 4" xfId="62"/>
    <cellStyle name="標準_HK435907_EAM想定利用者調査資料" xfId="63"/>
    <cellStyle name="標準_HK445903_設置場所比較検討" xfId="64"/>
    <cellStyle name="標準上詰め（折り返し）" xfId="65"/>
    <cellStyle name="文字下詰め（折り返し）" xfId="66"/>
    <cellStyle name="文字下詰め（折り返しなし）" xfId="67"/>
    <cellStyle name="文字上詰め（折り返し）" xfId="68"/>
    <cellStyle name="文字上詰め（折り返しなし）" xfId="69"/>
    <cellStyle name="未定義" xfId="70"/>
  </cellStyles>
  <tableStyles count="0" defaultTableStyle="TableStyleMedium2" defaultPivotStyle="PivotStyleLight16"/>
  <colors>
    <mruColors>
      <color rgb="00FFCCFF"/>
      <color rgb="00CCFF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9050">
          <a:solidFill>
            <a:sysClr val="windowText" lastClr="00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N27"/>
  <sheetViews>
    <sheetView tabSelected="1" view="pageBreakPreview" zoomScalePageLayoutView="85" zoomScaleNormal="100" workbookViewId="0">
      <selection activeCell="A1" sqref="A1"/>
    </sheetView>
  </sheetViews>
  <sheetFormatPr defaultColWidth="2.125" defaultRowHeight="11.25"/>
  <cols>
    <col min="1" max="1" width="2.125" style="88"/>
    <col min="2" max="2" width="2.125" style="88" customWidth="1"/>
    <col min="3" max="16384" width="2.125" style="88"/>
  </cols>
  <sheetData>
    <row r="1" ht="13.5" customHeight="1" spans="1:66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 t="s">
        <v>1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110" t="s">
        <v>2</v>
      </c>
      <c r="AV1" s="111"/>
      <c r="AW1" s="111"/>
      <c r="AX1" s="111"/>
      <c r="AY1" s="116"/>
      <c r="AZ1" s="110" t="s">
        <v>3</v>
      </c>
      <c r="BA1" s="111"/>
      <c r="BB1" s="111"/>
      <c r="BC1" s="111"/>
      <c r="BD1" s="116"/>
      <c r="BE1" s="110" t="s">
        <v>4</v>
      </c>
      <c r="BF1" s="111"/>
      <c r="BG1" s="111"/>
      <c r="BH1" s="111"/>
      <c r="BI1" s="111"/>
      <c r="BJ1" s="116"/>
      <c r="BK1" s="110" t="s">
        <v>5</v>
      </c>
      <c r="BL1" s="111"/>
      <c r="BM1" s="111"/>
      <c r="BN1" s="116"/>
    </row>
    <row r="2" ht="13.5" customHeight="1" spans="1:66">
      <c r="A2" s="90"/>
      <c r="B2" s="90"/>
      <c r="C2" s="90"/>
      <c r="D2" s="90"/>
      <c r="E2" s="90"/>
      <c r="F2" s="90"/>
      <c r="G2" s="90"/>
      <c r="H2" s="90"/>
      <c r="I2" s="90"/>
      <c r="J2" s="90" t="s">
        <v>6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112">
        <f>MIN(B$7:B$27)</f>
        <v>45518</v>
      </c>
      <c r="AV2" s="113"/>
      <c r="AW2" s="113"/>
      <c r="AX2" s="113"/>
      <c r="AY2" s="117"/>
      <c r="AZ2" s="112" t="str">
        <f>IF(COUNTA(B7:B27)&gt;1,MAX(B$7:B$27),"")</f>
        <v/>
      </c>
      <c r="BA2" s="113"/>
      <c r="BB2" s="113"/>
      <c r="BC2" s="113"/>
      <c r="BD2" s="117"/>
      <c r="BE2" s="120" t="str">
        <f>VLOOKUP(MAX($B$7:$B27),$B$7:$L27,6,FALSE)</f>
        <v>穆政道</v>
      </c>
      <c r="BF2" s="113"/>
      <c r="BG2" s="113"/>
      <c r="BH2" s="113"/>
      <c r="BI2" s="113"/>
      <c r="BJ2" s="117"/>
      <c r="BK2" s="46">
        <f>MAX(M$7:M$27)</f>
        <v>1</v>
      </c>
      <c r="BL2" s="113"/>
      <c r="BM2" s="113"/>
      <c r="BN2" s="117"/>
    </row>
    <row r="4" spans="2:2">
      <c r="B4" s="88" t="s">
        <v>7</v>
      </c>
    </row>
    <row r="6" ht="13.5" customHeight="1" spans="2:65">
      <c r="B6" s="91" t="s">
        <v>8</v>
      </c>
      <c r="C6" s="92"/>
      <c r="D6" s="92"/>
      <c r="E6" s="92"/>
      <c r="F6" s="93"/>
      <c r="G6" s="94" t="s">
        <v>9</v>
      </c>
      <c r="H6" s="94"/>
      <c r="I6" s="94"/>
      <c r="J6" s="94"/>
      <c r="K6" s="94"/>
      <c r="L6" s="94"/>
      <c r="M6" s="94" t="s">
        <v>5</v>
      </c>
      <c r="N6" s="94"/>
      <c r="O6" s="94"/>
      <c r="P6" s="94"/>
      <c r="Q6" s="94"/>
      <c r="R6" s="91" t="s">
        <v>10</v>
      </c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3"/>
      <c r="AW6" s="94" t="s">
        <v>11</v>
      </c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</row>
    <row r="7" ht="23.25" spans="1:65">
      <c r="A7" s="95" t="s">
        <v>12</v>
      </c>
      <c r="B7" s="96">
        <v>45518</v>
      </c>
      <c r="C7" s="97"/>
      <c r="D7" s="97"/>
      <c r="E7" s="97"/>
      <c r="F7" s="97"/>
      <c r="G7" s="97" t="s">
        <v>13</v>
      </c>
      <c r="H7" s="97"/>
      <c r="I7" s="97"/>
      <c r="J7" s="97"/>
      <c r="K7" s="97"/>
      <c r="L7" s="97"/>
      <c r="M7" s="105">
        <v>1</v>
      </c>
      <c r="N7" s="105"/>
      <c r="O7" s="105"/>
      <c r="P7" s="105"/>
      <c r="Q7" s="105"/>
      <c r="R7" s="106" t="s">
        <v>14</v>
      </c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14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</row>
    <row r="8" ht="22.5" spans="1:65">
      <c r="A8" s="95" t="s">
        <v>12</v>
      </c>
      <c r="B8" s="98"/>
      <c r="C8" s="99"/>
      <c r="D8" s="99"/>
      <c r="E8" s="99"/>
      <c r="F8" s="100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8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15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</row>
    <row r="9" ht="22.5" spans="1:65">
      <c r="A9" s="95" t="s">
        <v>12</v>
      </c>
      <c r="B9" s="102"/>
      <c r="C9" s="103"/>
      <c r="D9" s="103"/>
      <c r="E9" s="103"/>
      <c r="F9" s="104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8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15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</row>
    <row r="10" ht="22.5" spans="1:65">
      <c r="A10" s="95" t="s">
        <v>12</v>
      </c>
      <c r="B10" s="102"/>
      <c r="C10" s="103"/>
      <c r="D10" s="103"/>
      <c r="E10" s="103"/>
      <c r="F10" s="104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8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15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</row>
    <row r="11" ht="22.5" spans="1:65">
      <c r="A11" s="95" t="s">
        <v>12</v>
      </c>
      <c r="B11" s="102"/>
      <c r="C11" s="103"/>
      <c r="D11" s="103"/>
      <c r="E11" s="103"/>
      <c r="F11" s="104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8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15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</row>
    <row r="12" ht="22.5" spans="1:65">
      <c r="A12" s="95" t="s">
        <v>12</v>
      </c>
      <c r="B12" s="102"/>
      <c r="C12" s="103"/>
      <c r="D12" s="103"/>
      <c r="E12" s="103"/>
      <c r="F12" s="104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8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15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</row>
    <row r="13" ht="22.5" spans="1:65">
      <c r="A13" s="95" t="s">
        <v>12</v>
      </c>
      <c r="B13" s="102"/>
      <c r="C13" s="103"/>
      <c r="D13" s="103"/>
      <c r="E13" s="103"/>
      <c r="F13" s="104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8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15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</row>
    <row r="14" ht="22.5" spans="1:65">
      <c r="A14" s="95" t="s">
        <v>12</v>
      </c>
      <c r="B14" s="102"/>
      <c r="C14" s="103"/>
      <c r="D14" s="103"/>
      <c r="E14" s="103"/>
      <c r="F14" s="104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8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15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</row>
    <row r="15" ht="22.5" spans="1:65">
      <c r="A15" s="95" t="s">
        <v>12</v>
      </c>
      <c r="B15" s="102"/>
      <c r="C15" s="103"/>
      <c r="D15" s="103"/>
      <c r="E15" s="103"/>
      <c r="F15" s="104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8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15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</row>
    <row r="16" ht="22.5" spans="1:65">
      <c r="A16" s="95" t="s">
        <v>12</v>
      </c>
      <c r="B16" s="102"/>
      <c r="C16" s="103"/>
      <c r="D16" s="103"/>
      <c r="E16" s="103"/>
      <c r="F16" s="104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8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15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</row>
    <row r="17" ht="22.5" spans="1:65">
      <c r="A17" s="95" t="s">
        <v>12</v>
      </c>
      <c r="B17" s="102"/>
      <c r="C17" s="103"/>
      <c r="D17" s="103"/>
      <c r="E17" s="103"/>
      <c r="F17" s="104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8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15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</row>
    <row r="18" ht="22.5" spans="1:65">
      <c r="A18" s="95" t="s">
        <v>12</v>
      </c>
      <c r="B18" s="102"/>
      <c r="C18" s="103"/>
      <c r="D18" s="103"/>
      <c r="E18" s="103"/>
      <c r="F18" s="104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8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15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</row>
    <row r="19" ht="22.5" spans="1:65">
      <c r="A19" s="95" t="s">
        <v>12</v>
      </c>
      <c r="B19" s="102"/>
      <c r="C19" s="103"/>
      <c r="D19" s="103"/>
      <c r="E19" s="103"/>
      <c r="F19" s="104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8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15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</row>
    <row r="20" ht="22.5" spans="1:65">
      <c r="A20" s="95" t="s">
        <v>12</v>
      </c>
      <c r="B20" s="102"/>
      <c r="C20" s="103"/>
      <c r="D20" s="103"/>
      <c r="E20" s="103"/>
      <c r="F20" s="104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8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15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</row>
    <row r="21" ht="22.5" spans="1:65">
      <c r="A21" s="95" t="s">
        <v>12</v>
      </c>
      <c r="B21" s="102"/>
      <c r="C21" s="103"/>
      <c r="D21" s="103"/>
      <c r="E21" s="103"/>
      <c r="F21" s="104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8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15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</row>
    <row r="22" ht="22.5" spans="1:65">
      <c r="A22" s="95" t="s">
        <v>12</v>
      </c>
      <c r="B22" s="102"/>
      <c r="C22" s="103"/>
      <c r="D22" s="103"/>
      <c r="E22" s="103"/>
      <c r="F22" s="104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8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15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</row>
    <row r="23" ht="22.5" spans="1:65">
      <c r="A23" s="95" t="s">
        <v>12</v>
      </c>
      <c r="B23" s="102"/>
      <c r="C23" s="103"/>
      <c r="D23" s="103"/>
      <c r="E23" s="103"/>
      <c r="F23" s="104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8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15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</row>
    <row r="24" ht="22.5" spans="1:65">
      <c r="A24" s="95" t="s">
        <v>12</v>
      </c>
      <c r="B24" s="102"/>
      <c r="C24" s="103"/>
      <c r="D24" s="103"/>
      <c r="E24" s="103"/>
      <c r="F24" s="104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8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15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</row>
    <row r="25" ht="22.5" spans="1:65">
      <c r="A25" s="95" t="s">
        <v>12</v>
      </c>
      <c r="B25" s="102"/>
      <c r="C25" s="103"/>
      <c r="D25" s="103"/>
      <c r="E25" s="103"/>
      <c r="F25" s="104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8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15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</row>
    <row r="26" ht="22.5" spans="1:65">
      <c r="A26" s="95" t="s">
        <v>12</v>
      </c>
      <c r="B26" s="102"/>
      <c r="C26" s="103"/>
      <c r="D26" s="103"/>
      <c r="E26" s="103"/>
      <c r="F26" s="104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8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15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</row>
    <row r="27" ht="22.5" spans="1:65">
      <c r="A27" s="95" t="s">
        <v>12</v>
      </c>
      <c r="B27" s="102"/>
      <c r="C27" s="103"/>
      <c r="D27" s="103"/>
      <c r="E27" s="103"/>
      <c r="F27" s="104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8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15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</row>
  </sheetData>
  <mergeCells count="110">
    <mergeCell ref="B6:F6"/>
    <mergeCell ref="G6:L6"/>
    <mergeCell ref="M6:Q6"/>
    <mergeCell ref="R6:AV6"/>
    <mergeCell ref="AW6:BM6"/>
    <mergeCell ref="B7:F7"/>
    <mergeCell ref="G7:L7"/>
    <mergeCell ref="M7:Q7"/>
    <mergeCell ref="R7:AV7"/>
    <mergeCell ref="AW7:BM7"/>
    <mergeCell ref="B8:F8"/>
    <mergeCell ref="G8:L8"/>
    <mergeCell ref="M8:Q8"/>
    <mergeCell ref="R8:AV8"/>
    <mergeCell ref="AW8:BM8"/>
    <mergeCell ref="B9:F9"/>
    <mergeCell ref="G9:L9"/>
    <mergeCell ref="M9:Q9"/>
    <mergeCell ref="R9:AV9"/>
    <mergeCell ref="AW9:BM9"/>
    <mergeCell ref="B10:F10"/>
    <mergeCell ref="G10:L10"/>
    <mergeCell ref="M10:Q10"/>
    <mergeCell ref="R10:AV10"/>
    <mergeCell ref="AW10:BM10"/>
    <mergeCell ref="B11:F11"/>
    <mergeCell ref="G11:L11"/>
    <mergeCell ref="M11:Q11"/>
    <mergeCell ref="R11:AV11"/>
    <mergeCell ref="AW11:BM11"/>
    <mergeCell ref="B12:F12"/>
    <mergeCell ref="G12:L12"/>
    <mergeCell ref="M12:Q12"/>
    <mergeCell ref="R12:AV12"/>
    <mergeCell ref="AW12:BM12"/>
    <mergeCell ref="B13:F13"/>
    <mergeCell ref="G13:L13"/>
    <mergeCell ref="M13:Q13"/>
    <mergeCell ref="R13:AV13"/>
    <mergeCell ref="AW13:BM13"/>
    <mergeCell ref="B14:F14"/>
    <mergeCell ref="G14:L14"/>
    <mergeCell ref="M14:Q14"/>
    <mergeCell ref="R14:AV14"/>
    <mergeCell ref="AW14:BM14"/>
    <mergeCell ref="B15:F15"/>
    <mergeCell ref="G15:L15"/>
    <mergeCell ref="M15:Q15"/>
    <mergeCell ref="R15:AV15"/>
    <mergeCell ref="AW15:BM15"/>
    <mergeCell ref="B16:F16"/>
    <mergeCell ref="G16:L16"/>
    <mergeCell ref="M16:Q16"/>
    <mergeCell ref="R16:AV16"/>
    <mergeCell ref="AW16:BM16"/>
    <mergeCell ref="B17:F17"/>
    <mergeCell ref="G17:L17"/>
    <mergeCell ref="M17:Q17"/>
    <mergeCell ref="R17:AV17"/>
    <mergeCell ref="AW17:BM17"/>
    <mergeCell ref="B18:F18"/>
    <mergeCell ref="G18:L18"/>
    <mergeCell ref="M18:Q18"/>
    <mergeCell ref="R18:AV18"/>
    <mergeCell ref="AW18:BM18"/>
    <mergeCell ref="B19:F19"/>
    <mergeCell ref="G19:L19"/>
    <mergeCell ref="M19:Q19"/>
    <mergeCell ref="R19:AV19"/>
    <mergeCell ref="AW19:BM19"/>
    <mergeCell ref="B20:F20"/>
    <mergeCell ref="G20:L20"/>
    <mergeCell ref="M20:Q20"/>
    <mergeCell ref="R20:AV20"/>
    <mergeCell ref="AW20:BM20"/>
    <mergeCell ref="B21:F21"/>
    <mergeCell ref="G21:L21"/>
    <mergeCell ref="M21:Q21"/>
    <mergeCell ref="R21:AV21"/>
    <mergeCell ref="AW21:BM21"/>
    <mergeCell ref="B22:F22"/>
    <mergeCell ref="G22:L22"/>
    <mergeCell ref="M22:Q22"/>
    <mergeCell ref="R22:AV22"/>
    <mergeCell ref="AW22:BM22"/>
    <mergeCell ref="B23:F23"/>
    <mergeCell ref="G23:L23"/>
    <mergeCell ref="M23:Q23"/>
    <mergeCell ref="R23:AV23"/>
    <mergeCell ref="AW23:BM23"/>
    <mergeCell ref="B24:F24"/>
    <mergeCell ref="G24:L24"/>
    <mergeCell ref="M24:Q24"/>
    <mergeCell ref="R24:AV24"/>
    <mergeCell ref="AW24:BM24"/>
    <mergeCell ref="B25:F25"/>
    <mergeCell ref="G25:L25"/>
    <mergeCell ref="M25:Q25"/>
    <mergeCell ref="R25:AV25"/>
    <mergeCell ref="AW25:BM25"/>
    <mergeCell ref="B26:F26"/>
    <mergeCell ref="G26:L26"/>
    <mergeCell ref="M26:Q26"/>
    <mergeCell ref="R26:AV26"/>
    <mergeCell ref="AW26:BM26"/>
    <mergeCell ref="B27:F27"/>
    <mergeCell ref="G27:L27"/>
    <mergeCell ref="M27:Q27"/>
    <mergeCell ref="R27:AV27"/>
    <mergeCell ref="AW27:BM27"/>
  </mergeCells>
  <pageMargins left="0.393700787401575" right="0.393700787401575" top="0.78740157480315" bottom="0.393700787401575" header="0.196850393700787" footer="0.196850393700787"/>
  <pageSetup paperSize="9" fitToHeight="0" orientation="landscape"/>
  <headerFooter>
    <oddFooter>&amp;L&amp;"ＭＳ ゴシック,標準"&amp;9四国電力およびSTNet内利用に限定する&amp;C&amp;"ＭＳ ゴシック,標準"&amp;9&amp;P/&amp;N&amp;R&amp;"ＭＳ ゴシック,標準"&amp;9Copyright(C) 2024 YONDEN.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Q51"/>
  <sheetViews>
    <sheetView showGridLines="0" view="pageBreakPreview" zoomScaleNormal="100" workbookViewId="0">
      <pane ySplit="4" topLeftCell="A5" activePane="bottomLeft" state="frozen"/>
      <selection/>
      <selection pane="bottomLeft" activeCell="A5" sqref="A5"/>
    </sheetView>
  </sheetViews>
  <sheetFormatPr defaultColWidth="2.125" defaultRowHeight="11.25"/>
  <cols>
    <col min="1" max="92" width="2.125" style="49"/>
    <col min="93" max="95" width="3.5" style="49" customWidth="1"/>
    <col min="96" max="16384" width="2.125" style="49"/>
  </cols>
  <sheetData>
    <row r="1" s="47" customFormat="1" spans="1:9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9" t="s">
        <v>2</v>
      </c>
      <c r="BT1" s="40"/>
      <c r="BU1" s="40"/>
      <c r="BV1" s="40"/>
      <c r="BW1" s="43"/>
      <c r="BX1" s="39" t="s">
        <v>3</v>
      </c>
      <c r="BY1" s="40"/>
      <c r="BZ1" s="40"/>
      <c r="CA1" s="40"/>
      <c r="CB1" s="43"/>
      <c r="CC1" s="39" t="s">
        <v>4</v>
      </c>
      <c r="CD1" s="40"/>
      <c r="CE1" s="40"/>
      <c r="CF1" s="40"/>
      <c r="CG1" s="40"/>
      <c r="CH1" s="43"/>
      <c r="CI1" s="39" t="s">
        <v>5</v>
      </c>
      <c r="CJ1" s="40"/>
      <c r="CK1" s="40"/>
      <c r="CL1" s="43"/>
    </row>
    <row r="2" s="47" customFormat="1" spans="1:90">
      <c r="A2" s="3">
        <f>変更履歴!$A$2</f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tr">
        <f>変更履歴!$J$2</f>
        <v>マスタコード体系／一覧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41">
        <f>変更履歴!AU2</f>
        <v>45518</v>
      </c>
      <c r="BT2" s="42"/>
      <c r="BU2" s="42"/>
      <c r="BV2" s="42"/>
      <c r="BW2" s="44"/>
      <c r="BX2" s="41" t="str">
        <f>変更履歴!AZ2</f>
        <v/>
      </c>
      <c r="BY2" s="42"/>
      <c r="BZ2" s="42"/>
      <c r="CA2" s="42"/>
      <c r="CB2" s="44"/>
      <c r="CC2" s="45" t="str">
        <f>変更履歴!BE2</f>
        <v>穆政道</v>
      </c>
      <c r="CD2" s="42"/>
      <c r="CE2" s="42"/>
      <c r="CF2" s="42"/>
      <c r="CG2" s="42"/>
      <c r="CH2" s="44"/>
      <c r="CI2" s="46">
        <f>変更履歴!BK2</f>
        <v>1</v>
      </c>
      <c r="CJ2" s="42"/>
      <c r="CK2" s="42"/>
      <c r="CL2" s="44"/>
    </row>
    <row r="3" s="48" customFormat="1" ht="22.5" customHeight="1" spans="1:88">
      <c r="A3" s="50"/>
      <c r="B3" s="51" t="s">
        <v>15</v>
      </c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</row>
    <row r="4" s="48" customFormat="1" ht="36" customHeight="1" spans="1:95">
      <c r="A4" s="50"/>
      <c r="B4" s="50"/>
      <c r="C4" s="52" t="s">
        <v>16</v>
      </c>
      <c r="D4" s="53"/>
      <c r="E4" s="53"/>
      <c r="F4" s="53"/>
      <c r="G4" s="53"/>
      <c r="H4" s="52" t="s">
        <v>17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 t="s">
        <v>18</v>
      </c>
      <c r="W4" s="52"/>
      <c r="X4" s="52"/>
      <c r="Y4" s="85" t="s">
        <v>19</v>
      </c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7"/>
      <c r="BI4" s="61" t="s">
        <v>20</v>
      </c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7"/>
      <c r="CO4" s="77"/>
      <c r="CP4" s="77"/>
      <c r="CQ4" s="77"/>
    </row>
    <row r="5" s="48" customFormat="1" ht="22.5" customHeight="1" spans="1:95">
      <c r="A5" s="50"/>
      <c r="B5" s="50"/>
      <c r="C5" s="58">
        <v>101</v>
      </c>
      <c r="D5" s="58"/>
      <c r="E5" s="58"/>
      <c r="F5" s="58"/>
      <c r="G5" s="58"/>
      <c r="H5" s="83" t="s">
        <v>21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58"/>
      <c r="W5" s="58"/>
      <c r="X5" s="58"/>
      <c r="Y5" s="63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2"/>
      <c r="BI5" s="70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2"/>
      <c r="CO5" s="78"/>
      <c r="CP5" s="78"/>
      <c r="CQ5" s="78"/>
    </row>
    <row r="6" s="48" customFormat="1" ht="21.6" customHeight="1" spans="1:95">
      <c r="A6" s="50"/>
      <c r="B6" s="50"/>
      <c r="C6" s="58">
        <v>102</v>
      </c>
      <c r="D6" s="58"/>
      <c r="E6" s="58"/>
      <c r="F6" s="58"/>
      <c r="G6" s="58"/>
      <c r="H6" s="83" t="s">
        <v>22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58"/>
      <c r="W6" s="58"/>
      <c r="X6" s="58"/>
      <c r="Y6" s="70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2"/>
      <c r="BI6" s="70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2"/>
      <c r="CO6" s="78"/>
      <c r="CP6" s="78"/>
      <c r="CQ6" s="78"/>
    </row>
    <row r="7" s="48" customFormat="1" ht="22.15" customHeight="1" spans="1:95">
      <c r="A7" s="50"/>
      <c r="B7" s="50"/>
      <c r="C7" s="58">
        <v>103</v>
      </c>
      <c r="D7" s="58"/>
      <c r="E7" s="58"/>
      <c r="F7" s="58"/>
      <c r="G7" s="58"/>
      <c r="H7" s="83" t="s">
        <v>23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58"/>
      <c r="W7" s="58"/>
      <c r="X7" s="58"/>
      <c r="Y7" s="70" t="s">
        <v>24</v>
      </c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2"/>
      <c r="BI7" s="70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2"/>
      <c r="CO7" s="78"/>
      <c r="CP7" s="78"/>
      <c r="CQ7" s="78"/>
    </row>
    <row r="8" s="48" customFormat="1" ht="22.5" customHeight="1" spans="1:95">
      <c r="A8" s="50"/>
      <c r="B8" s="50"/>
      <c r="C8" s="58">
        <v>104</v>
      </c>
      <c r="D8" s="58"/>
      <c r="E8" s="58"/>
      <c r="F8" s="58"/>
      <c r="G8" s="58"/>
      <c r="H8" s="83" t="s">
        <v>25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58"/>
      <c r="W8" s="58"/>
      <c r="X8" s="58"/>
      <c r="Y8" s="70" t="s">
        <v>24</v>
      </c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2"/>
      <c r="BI8" s="70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2"/>
      <c r="CO8" s="78"/>
      <c r="CP8" s="78"/>
      <c r="CQ8" s="78"/>
    </row>
    <row r="9" s="48" customFormat="1" ht="22.5" customHeight="1" spans="1:95">
      <c r="A9" s="50"/>
      <c r="B9" s="50"/>
      <c r="C9" s="58">
        <v>105</v>
      </c>
      <c r="D9" s="58"/>
      <c r="E9" s="58"/>
      <c r="F9" s="58"/>
      <c r="G9" s="58"/>
      <c r="H9" s="83" t="s">
        <v>26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58"/>
      <c r="W9" s="58"/>
      <c r="X9" s="58"/>
      <c r="Y9" s="70" t="s">
        <v>27</v>
      </c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2"/>
      <c r="BI9" s="70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2"/>
      <c r="CO9" s="78"/>
      <c r="CP9" s="78"/>
      <c r="CQ9" s="78"/>
    </row>
    <row r="10" s="48" customFormat="1" ht="22.5" customHeight="1" spans="1:95">
      <c r="A10" s="50"/>
      <c r="B10" s="50"/>
      <c r="C10" s="58">
        <v>106</v>
      </c>
      <c r="D10" s="58"/>
      <c r="E10" s="58"/>
      <c r="F10" s="58"/>
      <c r="G10" s="58"/>
      <c r="H10" s="83" t="s">
        <v>28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58"/>
      <c r="W10" s="58"/>
      <c r="X10" s="58"/>
      <c r="Y10" s="70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2"/>
      <c r="BI10" s="70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2"/>
      <c r="CO10" s="78"/>
      <c r="CP10" s="78"/>
      <c r="CQ10" s="78"/>
    </row>
    <row r="11" s="48" customFormat="1" ht="22.5" customHeight="1" spans="1:95">
      <c r="A11" s="50"/>
      <c r="B11" s="50"/>
      <c r="C11" s="58">
        <v>107</v>
      </c>
      <c r="D11" s="58"/>
      <c r="E11" s="58"/>
      <c r="F11" s="58"/>
      <c r="G11" s="58"/>
      <c r="H11" s="83" t="s">
        <v>29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58"/>
      <c r="W11" s="58"/>
      <c r="X11" s="58"/>
      <c r="Y11" s="70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2"/>
      <c r="BI11" s="70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2"/>
      <c r="CO11" s="78"/>
      <c r="CP11" s="78"/>
      <c r="CQ11" s="78"/>
    </row>
    <row r="12" s="48" customFormat="1" ht="22.5" customHeight="1" spans="1:95">
      <c r="A12" s="50"/>
      <c r="B12" s="50"/>
      <c r="C12" s="58">
        <v>108</v>
      </c>
      <c r="D12" s="58"/>
      <c r="E12" s="58"/>
      <c r="F12" s="58"/>
      <c r="G12" s="58"/>
      <c r="H12" s="83" t="s">
        <v>30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58"/>
      <c r="W12" s="58"/>
      <c r="X12" s="58"/>
      <c r="Y12" s="70" t="s">
        <v>31</v>
      </c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2"/>
      <c r="BI12" s="70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2"/>
      <c r="CO12" s="78"/>
      <c r="CP12" s="78"/>
      <c r="CQ12" s="78"/>
    </row>
    <row r="13" s="48" customFormat="1" ht="22.5" customHeight="1" spans="1:95">
      <c r="A13" s="50"/>
      <c r="B13" s="50"/>
      <c r="C13" s="58">
        <v>109</v>
      </c>
      <c r="D13" s="58"/>
      <c r="E13" s="58"/>
      <c r="F13" s="58"/>
      <c r="G13" s="58"/>
      <c r="H13" s="83" t="s">
        <v>32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58"/>
      <c r="W13" s="58"/>
      <c r="X13" s="58"/>
      <c r="Y13" s="70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2"/>
      <c r="BI13" s="70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2"/>
      <c r="CO13" s="78"/>
      <c r="CP13" s="78"/>
      <c r="CQ13" s="78"/>
    </row>
    <row r="14" s="48" customFormat="1" ht="22.5" customHeight="1" spans="1:95">
      <c r="A14" s="50"/>
      <c r="B14" s="50"/>
      <c r="C14" s="58">
        <v>110</v>
      </c>
      <c r="D14" s="58"/>
      <c r="E14" s="58"/>
      <c r="F14" s="58"/>
      <c r="G14" s="58"/>
      <c r="H14" s="83" t="s">
        <v>33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58"/>
      <c r="W14" s="58"/>
      <c r="X14" s="58"/>
      <c r="Y14" s="70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2"/>
      <c r="BI14" s="70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2"/>
      <c r="CO14" s="78"/>
      <c r="CP14" s="78"/>
      <c r="CQ14" s="78"/>
    </row>
    <row r="15" s="48" customFormat="1" ht="22.5" customHeight="1" spans="1:95">
      <c r="A15" s="50"/>
      <c r="B15" s="50"/>
      <c r="C15" s="58">
        <v>111</v>
      </c>
      <c r="D15" s="58"/>
      <c r="E15" s="58"/>
      <c r="F15" s="58"/>
      <c r="G15" s="58"/>
      <c r="H15" s="83" t="s">
        <v>34</v>
      </c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58"/>
      <c r="W15" s="58"/>
      <c r="X15" s="58"/>
      <c r="Y15" s="70" t="s">
        <v>35</v>
      </c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2"/>
      <c r="BI15" s="70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2"/>
      <c r="CO15" s="78"/>
      <c r="CP15" s="78"/>
      <c r="CQ15" s="78"/>
    </row>
    <row r="16" s="48" customFormat="1" ht="22.5" customHeight="1" spans="1:95">
      <c r="A16" s="50"/>
      <c r="B16" s="50"/>
      <c r="C16" s="58">
        <v>112</v>
      </c>
      <c r="D16" s="58"/>
      <c r="E16" s="58"/>
      <c r="F16" s="58"/>
      <c r="G16" s="58"/>
      <c r="H16" s="83" t="s">
        <v>36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58"/>
      <c r="W16" s="58"/>
      <c r="X16" s="58"/>
      <c r="Y16" s="70" t="s">
        <v>35</v>
      </c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2"/>
      <c r="BI16" s="70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2"/>
      <c r="CO16" s="78"/>
      <c r="CP16" s="78"/>
      <c r="CQ16" s="78"/>
    </row>
    <row r="17" s="48" customFormat="1" ht="22.5" customHeight="1" spans="1:95">
      <c r="A17" s="50"/>
      <c r="B17" s="50"/>
      <c r="C17" s="58">
        <v>113</v>
      </c>
      <c r="D17" s="58"/>
      <c r="E17" s="58"/>
      <c r="F17" s="58"/>
      <c r="G17" s="58"/>
      <c r="H17" s="83" t="s">
        <v>37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58"/>
      <c r="W17" s="58"/>
      <c r="X17" s="58"/>
      <c r="Y17" s="70" t="s">
        <v>35</v>
      </c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2"/>
      <c r="BI17" s="70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2"/>
      <c r="CO17" s="78"/>
      <c r="CP17" s="78"/>
      <c r="CQ17" s="78"/>
    </row>
    <row r="18" s="48" customFormat="1" ht="22.5" customHeight="1" spans="1:95">
      <c r="A18" s="50"/>
      <c r="B18" s="50"/>
      <c r="C18" s="58">
        <v>114</v>
      </c>
      <c r="D18" s="58"/>
      <c r="E18" s="58"/>
      <c r="F18" s="58"/>
      <c r="G18" s="58"/>
      <c r="H18" s="83" t="s">
        <v>38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58"/>
      <c r="W18" s="58"/>
      <c r="X18" s="58"/>
      <c r="Y18" s="70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2"/>
      <c r="BI18" s="70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2"/>
      <c r="CO18" s="78"/>
      <c r="CP18" s="78"/>
      <c r="CQ18" s="78"/>
    </row>
    <row r="19" s="48" customFormat="1" ht="22.5" customHeight="1" spans="1:95">
      <c r="A19" s="50"/>
      <c r="B19" s="50"/>
      <c r="C19" s="58">
        <v>115</v>
      </c>
      <c r="D19" s="58"/>
      <c r="E19" s="58"/>
      <c r="F19" s="58"/>
      <c r="G19" s="58"/>
      <c r="H19" s="83" t="s">
        <v>39</v>
      </c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58"/>
      <c r="W19" s="58"/>
      <c r="X19" s="58"/>
      <c r="Y19" s="70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2"/>
      <c r="BI19" s="70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2"/>
      <c r="CO19" s="78"/>
      <c r="CP19" s="78"/>
      <c r="CQ19" s="78"/>
    </row>
    <row r="20" s="48" customFormat="1" ht="22.5" customHeight="1" spans="1:95">
      <c r="A20" s="50"/>
      <c r="B20" s="50"/>
      <c r="C20" s="58">
        <v>116</v>
      </c>
      <c r="D20" s="58"/>
      <c r="E20" s="58"/>
      <c r="F20" s="58"/>
      <c r="G20" s="58"/>
      <c r="H20" s="83" t="s">
        <v>40</v>
      </c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58"/>
      <c r="W20" s="58"/>
      <c r="X20" s="58"/>
      <c r="Y20" s="70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2"/>
      <c r="BI20" s="70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2"/>
      <c r="CO20" s="78"/>
      <c r="CP20" s="78"/>
      <c r="CQ20" s="78"/>
    </row>
    <row r="21" s="48" customFormat="1" ht="22.5" customHeight="1" spans="1:95">
      <c r="A21" s="50"/>
      <c r="B21" s="50"/>
      <c r="C21" s="58">
        <v>117</v>
      </c>
      <c r="D21" s="58"/>
      <c r="E21" s="58"/>
      <c r="F21" s="58"/>
      <c r="G21" s="58"/>
      <c r="H21" s="83" t="s">
        <v>41</v>
      </c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58"/>
      <c r="W21" s="58"/>
      <c r="X21" s="58"/>
      <c r="Y21" s="70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2"/>
      <c r="BI21" s="70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2"/>
      <c r="CO21" s="78"/>
      <c r="CP21" s="78"/>
      <c r="CQ21" s="78"/>
    </row>
    <row r="22" s="48" customFormat="1" ht="22.5" customHeight="1" spans="1:95">
      <c r="A22" s="50"/>
      <c r="B22" s="50"/>
      <c r="C22" s="58">
        <v>118</v>
      </c>
      <c r="D22" s="58"/>
      <c r="E22" s="58"/>
      <c r="F22" s="58"/>
      <c r="G22" s="58"/>
      <c r="H22" s="83" t="s">
        <v>42</v>
      </c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58"/>
      <c r="W22" s="58"/>
      <c r="X22" s="58"/>
      <c r="Y22" s="70" t="s">
        <v>43</v>
      </c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2"/>
      <c r="BI22" s="70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2"/>
      <c r="CO22" s="78"/>
      <c r="CP22" s="78"/>
      <c r="CQ22" s="78"/>
    </row>
    <row r="23" s="48" customFormat="1" ht="22.5" customHeight="1" spans="1:95">
      <c r="A23" s="50"/>
      <c r="B23" s="50"/>
      <c r="C23" s="58">
        <v>119</v>
      </c>
      <c r="D23" s="58"/>
      <c r="E23" s="58"/>
      <c r="F23" s="58"/>
      <c r="G23" s="58"/>
      <c r="H23" s="83" t="s">
        <v>44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58"/>
      <c r="W23" s="58"/>
      <c r="X23" s="58"/>
      <c r="Y23" s="70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2"/>
      <c r="BI23" s="70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2"/>
      <c r="CO23" s="78"/>
      <c r="CP23" s="78"/>
      <c r="CQ23" s="78"/>
    </row>
    <row r="24" s="48" customFormat="1" ht="22.5" customHeight="1" spans="1:95">
      <c r="A24" s="50"/>
      <c r="B24" s="50"/>
      <c r="C24" s="58">
        <v>120</v>
      </c>
      <c r="D24" s="58"/>
      <c r="E24" s="58"/>
      <c r="F24" s="58"/>
      <c r="G24" s="58"/>
      <c r="H24" s="83" t="s">
        <v>45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58"/>
      <c r="W24" s="58"/>
      <c r="X24" s="58"/>
      <c r="Y24" s="70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2"/>
      <c r="BI24" s="70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2"/>
      <c r="CO24" s="78"/>
      <c r="CP24" s="78"/>
      <c r="CQ24" s="78"/>
    </row>
    <row r="25" s="48" customFormat="1" ht="22.5" customHeight="1" spans="1:95">
      <c r="A25" s="50"/>
      <c r="B25" s="50"/>
      <c r="C25" s="58">
        <v>121</v>
      </c>
      <c r="D25" s="58"/>
      <c r="E25" s="58"/>
      <c r="F25" s="58"/>
      <c r="G25" s="58"/>
      <c r="H25" s="83" t="s">
        <v>46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58"/>
      <c r="W25" s="58"/>
      <c r="X25" s="58"/>
      <c r="Y25" s="70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2"/>
      <c r="BI25" s="70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2"/>
      <c r="CO25" s="78"/>
      <c r="CP25" s="78"/>
      <c r="CQ25" s="78"/>
    </row>
    <row r="26" s="48" customFormat="1" ht="22.5" customHeight="1" spans="1:95">
      <c r="A26" s="50"/>
      <c r="B26" s="50"/>
      <c r="C26" s="58">
        <v>122</v>
      </c>
      <c r="D26" s="58"/>
      <c r="E26" s="58"/>
      <c r="F26" s="58"/>
      <c r="G26" s="58"/>
      <c r="H26" s="83" t="s">
        <v>47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58"/>
      <c r="W26" s="58"/>
      <c r="X26" s="58"/>
      <c r="Y26" s="70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2"/>
      <c r="BI26" s="70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2"/>
      <c r="CO26" s="78"/>
      <c r="CP26" s="78"/>
      <c r="CQ26" s="78"/>
    </row>
    <row r="27" s="48" customFormat="1" ht="22.5" customHeight="1" spans="1:95">
      <c r="A27" s="50"/>
      <c r="B27" s="50"/>
      <c r="C27" s="58">
        <v>123</v>
      </c>
      <c r="D27" s="58"/>
      <c r="E27" s="58"/>
      <c r="F27" s="58"/>
      <c r="G27" s="58"/>
      <c r="H27" s="83" t="s">
        <v>48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58"/>
      <c r="W27" s="58"/>
      <c r="X27" s="58"/>
      <c r="Y27" s="70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2"/>
      <c r="BI27" s="70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2"/>
      <c r="CO27" s="78"/>
      <c r="CP27" s="78"/>
      <c r="CQ27" s="78"/>
    </row>
    <row r="28" s="48" customFormat="1" ht="22.5" customHeight="1" spans="1:95">
      <c r="A28" s="50"/>
      <c r="B28" s="50"/>
      <c r="C28" s="58">
        <v>124</v>
      </c>
      <c r="D28" s="58"/>
      <c r="E28" s="58"/>
      <c r="F28" s="58"/>
      <c r="G28" s="58"/>
      <c r="H28" s="83" t="s">
        <v>49</v>
      </c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58"/>
      <c r="W28" s="58"/>
      <c r="X28" s="58"/>
      <c r="Y28" s="70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2"/>
      <c r="BI28" s="70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2"/>
      <c r="CO28" s="78"/>
      <c r="CP28" s="78"/>
      <c r="CQ28" s="78"/>
    </row>
    <row r="29" s="48" customFormat="1" ht="22.5" customHeight="1" spans="1:95">
      <c r="A29" s="50"/>
      <c r="B29" s="50"/>
      <c r="C29" s="58">
        <v>125</v>
      </c>
      <c r="D29" s="58"/>
      <c r="E29" s="58"/>
      <c r="F29" s="58"/>
      <c r="G29" s="58"/>
      <c r="H29" s="83" t="s">
        <v>50</v>
      </c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58"/>
      <c r="W29" s="58"/>
      <c r="X29" s="58"/>
      <c r="Y29" s="70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2"/>
      <c r="BI29" s="70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2"/>
      <c r="CO29" s="78"/>
      <c r="CP29" s="78"/>
      <c r="CQ29" s="78"/>
    </row>
    <row r="30" s="48" customFormat="1" ht="22.5" customHeight="1" spans="1:95">
      <c r="A30" s="50"/>
      <c r="B30" s="50"/>
      <c r="C30" s="58">
        <v>126</v>
      </c>
      <c r="D30" s="58"/>
      <c r="E30" s="58"/>
      <c r="F30" s="58"/>
      <c r="G30" s="58"/>
      <c r="H30" s="83" t="s">
        <v>51</v>
      </c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58"/>
      <c r="W30" s="58"/>
      <c r="X30" s="58"/>
      <c r="Y30" s="70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2"/>
      <c r="BI30" s="70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2"/>
      <c r="CO30" s="78"/>
      <c r="CP30" s="78"/>
      <c r="CQ30" s="78"/>
    </row>
    <row r="31" s="48" customFormat="1" ht="22.5" customHeight="1" spans="1:95">
      <c r="A31" s="50"/>
      <c r="B31" s="50"/>
      <c r="C31" s="58">
        <v>127</v>
      </c>
      <c r="D31" s="58"/>
      <c r="E31" s="58"/>
      <c r="F31" s="58"/>
      <c r="G31" s="58"/>
      <c r="H31" s="83" t="s">
        <v>52</v>
      </c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58"/>
      <c r="W31" s="58"/>
      <c r="X31" s="58"/>
      <c r="Y31" s="70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2"/>
      <c r="BI31" s="70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2"/>
      <c r="CO31" s="78"/>
      <c r="CP31" s="78"/>
      <c r="CQ31" s="78"/>
    </row>
    <row r="32" s="48" customFormat="1" ht="22.5" customHeight="1" spans="1:95">
      <c r="A32" s="50"/>
      <c r="B32" s="50"/>
      <c r="C32" s="58">
        <v>128</v>
      </c>
      <c r="D32" s="58"/>
      <c r="E32" s="58"/>
      <c r="F32" s="58"/>
      <c r="G32" s="58"/>
      <c r="H32" s="83" t="s">
        <v>53</v>
      </c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58"/>
      <c r="W32" s="58"/>
      <c r="X32" s="58"/>
      <c r="Y32" s="70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2"/>
      <c r="BI32" s="70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2"/>
      <c r="CO32" s="78"/>
      <c r="CP32" s="78"/>
      <c r="CQ32" s="78"/>
    </row>
    <row r="33" s="48" customFormat="1" ht="22.5" customHeight="1" spans="1:95">
      <c r="A33" s="50"/>
      <c r="B33" s="50"/>
      <c r="C33" s="58">
        <v>129</v>
      </c>
      <c r="D33" s="58"/>
      <c r="E33" s="58"/>
      <c r="F33" s="58"/>
      <c r="G33" s="58"/>
      <c r="H33" s="83" t="s">
        <v>54</v>
      </c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58"/>
      <c r="W33" s="58"/>
      <c r="X33" s="58"/>
      <c r="Y33" s="70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2"/>
      <c r="BI33" s="70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2"/>
      <c r="CO33" s="78"/>
      <c r="CP33" s="78"/>
      <c r="CQ33" s="78"/>
    </row>
    <row r="34" s="48" customFormat="1" ht="22.5" customHeight="1" spans="1:95">
      <c r="A34" s="50"/>
      <c r="B34" s="50"/>
      <c r="C34" s="58">
        <v>130</v>
      </c>
      <c r="D34" s="58"/>
      <c r="E34" s="58"/>
      <c r="F34" s="58"/>
      <c r="G34" s="58"/>
      <c r="H34" s="83" t="s">
        <v>55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58"/>
      <c r="W34" s="58"/>
      <c r="X34" s="58"/>
      <c r="Y34" s="70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2"/>
      <c r="BI34" s="70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2"/>
      <c r="CO34" s="78"/>
      <c r="CP34" s="78"/>
      <c r="CQ34" s="78"/>
    </row>
    <row r="35" s="48" customFormat="1" ht="22.5" customHeight="1" spans="1:95">
      <c r="A35" s="50"/>
      <c r="B35" s="50"/>
      <c r="C35" s="58"/>
      <c r="D35" s="58"/>
      <c r="E35" s="58"/>
      <c r="F35" s="58"/>
      <c r="G35" s="58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58"/>
      <c r="W35" s="58"/>
      <c r="X35" s="58"/>
      <c r="Y35" s="70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2"/>
      <c r="BI35" s="70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2"/>
      <c r="CO35" s="78"/>
      <c r="CP35" s="78"/>
      <c r="CQ35" s="78"/>
    </row>
    <row r="36" s="48" customFormat="1" ht="22.5" customHeight="1" spans="1:95">
      <c r="A36" s="50"/>
      <c r="B36" s="50"/>
      <c r="C36" s="58"/>
      <c r="D36" s="58"/>
      <c r="E36" s="58"/>
      <c r="F36" s="58"/>
      <c r="G36" s="58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58"/>
      <c r="W36" s="58"/>
      <c r="X36" s="58"/>
      <c r="Y36" s="70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2"/>
      <c r="BI36" s="70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2"/>
      <c r="CO36" s="78"/>
      <c r="CP36" s="78"/>
      <c r="CQ36" s="78"/>
    </row>
    <row r="37" s="48" customFormat="1" ht="22.5" customHeight="1" spans="1:95">
      <c r="A37" s="50"/>
      <c r="B37" s="50"/>
      <c r="C37" s="58"/>
      <c r="D37" s="58"/>
      <c r="E37" s="58"/>
      <c r="F37" s="58"/>
      <c r="G37" s="58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58"/>
      <c r="W37" s="58"/>
      <c r="X37" s="58"/>
      <c r="Y37" s="70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2"/>
      <c r="BI37" s="70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2"/>
      <c r="CO37" s="78"/>
      <c r="CP37" s="78"/>
      <c r="CQ37" s="78"/>
    </row>
    <row r="38" s="48" customFormat="1" ht="22.5" customHeight="1" spans="1:95">
      <c r="A38" s="50"/>
      <c r="B38" s="50"/>
      <c r="C38" s="84"/>
      <c r="D38" s="84"/>
      <c r="E38" s="79"/>
      <c r="F38" s="79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2"/>
      <c r="CC38" s="82"/>
      <c r="CD38" s="82"/>
      <c r="CE38" s="82"/>
      <c r="CF38" s="82"/>
      <c r="CG38" s="82"/>
      <c r="CH38" s="82"/>
      <c r="CI38" s="82"/>
      <c r="CJ38" s="82"/>
      <c r="CO38" s="78"/>
      <c r="CP38" s="78"/>
      <c r="CQ38" s="78"/>
    </row>
    <row r="39" s="48" customFormat="1" ht="22.5" customHeight="1" spans="1:95">
      <c r="A39" s="50"/>
      <c r="B39" s="50"/>
      <c r="C39" s="84"/>
      <c r="D39" s="84"/>
      <c r="E39" s="79"/>
      <c r="F39" s="79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2"/>
      <c r="CC39" s="82"/>
      <c r="CD39" s="82"/>
      <c r="CE39" s="82"/>
      <c r="CF39" s="82"/>
      <c r="CG39" s="82"/>
      <c r="CH39" s="82"/>
      <c r="CI39" s="82"/>
      <c r="CJ39" s="82"/>
      <c r="CO39" s="78"/>
      <c r="CP39" s="78"/>
      <c r="CQ39" s="78"/>
    </row>
    <row r="40" s="48" customFormat="1" ht="22.5" customHeight="1" spans="1:95">
      <c r="A40" s="50"/>
      <c r="B40" s="50"/>
      <c r="C40" s="79"/>
      <c r="D40" s="79"/>
      <c r="E40" s="79"/>
      <c r="F40" s="79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2"/>
      <c r="CC40" s="82"/>
      <c r="CD40" s="82"/>
      <c r="CE40" s="82"/>
      <c r="CF40" s="82"/>
      <c r="CG40" s="82"/>
      <c r="CH40" s="82"/>
      <c r="CI40" s="82"/>
      <c r="CJ40" s="82"/>
      <c r="CO40" s="78"/>
      <c r="CP40" s="78"/>
      <c r="CQ40" s="78"/>
    </row>
    <row r="41" s="48" customFormat="1" ht="22.5" customHeight="1" spans="1:95">
      <c r="A41" s="50"/>
      <c r="B41" s="50"/>
      <c r="C41" s="79"/>
      <c r="D41" s="79"/>
      <c r="E41" s="79"/>
      <c r="F41" s="7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2"/>
      <c r="CC41" s="82"/>
      <c r="CD41" s="82"/>
      <c r="CE41" s="82"/>
      <c r="CF41" s="82"/>
      <c r="CG41" s="82"/>
      <c r="CH41" s="82"/>
      <c r="CI41" s="82"/>
      <c r="CJ41" s="82"/>
      <c r="CO41" s="78"/>
      <c r="CP41" s="78"/>
      <c r="CQ41" s="78"/>
    </row>
    <row r="42" s="48" customFormat="1" ht="22.5" customHeight="1" spans="1:95">
      <c r="A42" s="50"/>
      <c r="B42" s="50"/>
      <c r="C42" s="79"/>
      <c r="D42" s="79"/>
      <c r="E42" s="79"/>
      <c r="F42" s="79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2"/>
      <c r="CC42" s="82"/>
      <c r="CD42" s="82"/>
      <c r="CE42" s="82"/>
      <c r="CF42" s="82"/>
      <c r="CG42" s="82"/>
      <c r="CH42" s="82"/>
      <c r="CI42" s="82"/>
      <c r="CJ42" s="82"/>
      <c r="CO42" s="78"/>
      <c r="CP42" s="78"/>
      <c r="CQ42" s="78"/>
    </row>
    <row r="43" s="48" customFormat="1" ht="22.5" customHeight="1" spans="1:95">
      <c r="A43" s="50"/>
      <c r="B43" s="50"/>
      <c r="C43" s="79"/>
      <c r="D43" s="79"/>
      <c r="E43" s="79"/>
      <c r="F43" s="79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2"/>
      <c r="CC43" s="82"/>
      <c r="CD43" s="82"/>
      <c r="CE43" s="82"/>
      <c r="CF43" s="82"/>
      <c r="CG43" s="82"/>
      <c r="CH43" s="82"/>
      <c r="CI43" s="82"/>
      <c r="CJ43" s="82"/>
      <c r="CO43" s="78"/>
      <c r="CP43" s="78"/>
      <c r="CQ43" s="78"/>
    </row>
    <row r="44" s="48" customFormat="1" ht="22.5" customHeight="1" spans="1:95">
      <c r="A44" s="50"/>
      <c r="B44" s="50"/>
      <c r="C44" s="79"/>
      <c r="D44" s="79"/>
      <c r="E44" s="79"/>
      <c r="F44" s="79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2"/>
      <c r="CC44" s="82"/>
      <c r="CD44" s="82"/>
      <c r="CE44" s="82"/>
      <c r="CF44" s="82"/>
      <c r="CG44" s="82"/>
      <c r="CH44" s="82"/>
      <c r="CI44" s="82"/>
      <c r="CJ44" s="82"/>
      <c r="CO44" s="78"/>
      <c r="CP44" s="78"/>
      <c r="CQ44" s="78"/>
    </row>
    <row r="45" s="48" customFormat="1" ht="22.5" customHeight="1" spans="1:95">
      <c r="A45" s="50"/>
      <c r="B45" s="50"/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2"/>
      <c r="CC45" s="82"/>
      <c r="CD45" s="82"/>
      <c r="CE45" s="82"/>
      <c r="CF45" s="82"/>
      <c r="CG45" s="82"/>
      <c r="CH45" s="82"/>
      <c r="CI45" s="82"/>
      <c r="CJ45" s="82"/>
      <c r="CO45" s="78"/>
      <c r="CP45" s="78"/>
      <c r="CQ45" s="78"/>
    </row>
    <row r="46" s="48" customFormat="1" ht="22.5" customHeight="1" spans="1:95">
      <c r="A46" s="50"/>
      <c r="B46" s="50"/>
      <c r="C46" s="79"/>
      <c r="D46" s="79"/>
      <c r="E46" s="79"/>
      <c r="F46" s="7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2"/>
      <c r="CC46" s="82"/>
      <c r="CD46" s="82"/>
      <c r="CE46" s="82"/>
      <c r="CF46" s="82"/>
      <c r="CG46" s="82"/>
      <c r="CH46" s="82"/>
      <c r="CI46" s="82"/>
      <c r="CJ46" s="82"/>
      <c r="CO46" s="78"/>
      <c r="CP46" s="78"/>
      <c r="CQ46" s="78"/>
    </row>
    <row r="47" s="48" customFormat="1" ht="22.5" customHeight="1" spans="1:95">
      <c r="A47" s="50"/>
      <c r="B47" s="50"/>
      <c r="C47" s="79"/>
      <c r="D47" s="79"/>
      <c r="E47" s="79"/>
      <c r="F47" s="7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2"/>
      <c r="CC47" s="82"/>
      <c r="CD47" s="82"/>
      <c r="CE47" s="82"/>
      <c r="CF47" s="82"/>
      <c r="CG47" s="82"/>
      <c r="CH47" s="82"/>
      <c r="CI47" s="82"/>
      <c r="CJ47" s="82"/>
      <c r="CO47" s="78"/>
      <c r="CP47" s="78"/>
      <c r="CQ47" s="78"/>
    </row>
    <row r="48" s="48" customFormat="1" ht="22.5" customHeight="1" spans="1:95">
      <c r="A48" s="50"/>
      <c r="B48" s="50"/>
      <c r="C48" s="79" t="str">
        <f t="shared" ref="C48:C49" si="0">IF(AND(G48="",I48="",K48=""),"","F"&amp;TEXT(CO48,"00")&amp;TEXT(CP48,"00")&amp;TEXT(CQ48,"00"))</f>
        <v/>
      </c>
      <c r="D48" s="79"/>
      <c r="E48" s="79"/>
      <c r="F48" s="7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2"/>
      <c r="CC48" s="82"/>
      <c r="CD48" s="82"/>
      <c r="CE48" s="82"/>
      <c r="CF48" s="82"/>
      <c r="CG48" s="82"/>
      <c r="CH48" s="82"/>
      <c r="CI48" s="82"/>
      <c r="CJ48" s="82"/>
      <c r="CO48" s="78"/>
      <c r="CP48" s="78"/>
      <c r="CQ48" s="78"/>
    </row>
    <row r="49" s="48" customFormat="1" ht="22.5" customHeight="1" spans="1:95">
      <c r="A49" s="50"/>
      <c r="B49" s="50"/>
      <c r="C49" s="79" t="str">
        <f t="shared" si="0"/>
        <v/>
      </c>
      <c r="D49" s="79"/>
      <c r="E49" s="79"/>
      <c r="F49" s="7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2"/>
      <c r="CC49" s="82"/>
      <c r="CD49" s="82"/>
      <c r="CE49" s="82"/>
      <c r="CF49" s="82"/>
      <c r="CG49" s="82"/>
      <c r="CH49" s="82"/>
      <c r="CI49" s="82"/>
      <c r="CJ49" s="82"/>
      <c r="CO49" s="78"/>
      <c r="CP49" s="78"/>
      <c r="CQ49" s="78"/>
    </row>
    <row r="50" customHeight="1"/>
    <row r="51" customHeight="1"/>
  </sheetData>
  <mergeCells count="173">
    <mergeCell ref="C4:G4"/>
    <mergeCell ref="H4:U4"/>
    <mergeCell ref="V4:X4"/>
    <mergeCell ref="Y4:BH4"/>
    <mergeCell ref="BI4:CJ4"/>
    <mergeCell ref="CO4:CQ4"/>
    <mergeCell ref="C5:G5"/>
    <mergeCell ref="H5:U5"/>
    <mergeCell ref="V5:X5"/>
    <mergeCell ref="Y5:BH5"/>
    <mergeCell ref="BI5:CJ5"/>
    <mergeCell ref="C6:G6"/>
    <mergeCell ref="H6:U6"/>
    <mergeCell ref="V6:X6"/>
    <mergeCell ref="Y6:BH6"/>
    <mergeCell ref="BI6:CJ6"/>
    <mergeCell ref="C7:G7"/>
    <mergeCell ref="H7:U7"/>
    <mergeCell ref="V7:X7"/>
    <mergeCell ref="Y7:BH7"/>
    <mergeCell ref="BI7:CJ7"/>
    <mergeCell ref="C8:G8"/>
    <mergeCell ref="H8:U8"/>
    <mergeCell ref="V8:X8"/>
    <mergeCell ref="Y8:BH8"/>
    <mergeCell ref="BI8:CJ8"/>
    <mergeCell ref="C9:G9"/>
    <mergeCell ref="H9:U9"/>
    <mergeCell ref="V9:X9"/>
    <mergeCell ref="Y9:BH9"/>
    <mergeCell ref="BI9:CJ9"/>
    <mergeCell ref="C10:G10"/>
    <mergeCell ref="H10:U10"/>
    <mergeCell ref="V10:X10"/>
    <mergeCell ref="Y10:BH10"/>
    <mergeCell ref="BI10:CJ10"/>
    <mergeCell ref="C11:G11"/>
    <mergeCell ref="H11:U11"/>
    <mergeCell ref="V11:X11"/>
    <mergeCell ref="Y11:BH11"/>
    <mergeCell ref="BI11:CJ11"/>
    <mergeCell ref="C12:G12"/>
    <mergeCell ref="H12:U12"/>
    <mergeCell ref="V12:X12"/>
    <mergeCell ref="Y12:BH12"/>
    <mergeCell ref="BI12:CJ12"/>
    <mergeCell ref="C13:G13"/>
    <mergeCell ref="H13:U13"/>
    <mergeCell ref="V13:X13"/>
    <mergeCell ref="Y13:BH13"/>
    <mergeCell ref="BI13:CJ13"/>
    <mergeCell ref="C14:G14"/>
    <mergeCell ref="H14:U14"/>
    <mergeCell ref="V14:X14"/>
    <mergeCell ref="Y14:BH14"/>
    <mergeCell ref="BI14:CJ14"/>
    <mergeCell ref="C15:G15"/>
    <mergeCell ref="H15:U15"/>
    <mergeCell ref="V15:X15"/>
    <mergeCell ref="Y15:BH15"/>
    <mergeCell ref="BI15:CJ15"/>
    <mergeCell ref="C16:G16"/>
    <mergeCell ref="H16:U16"/>
    <mergeCell ref="V16:X16"/>
    <mergeCell ref="Y16:BH16"/>
    <mergeCell ref="BI16:CJ16"/>
    <mergeCell ref="C17:G17"/>
    <mergeCell ref="H17:U17"/>
    <mergeCell ref="V17:X17"/>
    <mergeCell ref="Y17:BH17"/>
    <mergeCell ref="BI17:CJ17"/>
    <mergeCell ref="C18:G18"/>
    <mergeCell ref="H18:U18"/>
    <mergeCell ref="V18:X18"/>
    <mergeCell ref="Y18:BH18"/>
    <mergeCell ref="BI18:CJ18"/>
    <mergeCell ref="C19:G19"/>
    <mergeCell ref="H19:U19"/>
    <mergeCell ref="V19:X19"/>
    <mergeCell ref="Y19:BH19"/>
    <mergeCell ref="BI19:CJ19"/>
    <mergeCell ref="C20:G20"/>
    <mergeCell ref="H20:U20"/>
    <mergeCell ref="V20:X20"/>
    <mergeCell ref="Y20:BH20"/>
    <mergeCell ref="BI20:CJ20"/>
    <mergeCell ref="C21:G21"/>
    <mergeCell ref="H21:U21"/>
    <mergeCell ref="V21:X21"/>
    <mergeCell ref="Y21:BH21"/>
    <mergeCell ref="BI21:CJ21"/>
    <mergeCell ref="C22:G22"/>
    <mergeCell ref="H22:U22"/>
    <mergeCell ref="V22:X22"/>
    <mergeCell ref="Y22:BH22"/>
    <mergeCell ref="BI22:CJ22"/>
    <mergeCell ref="C23:G23"/>
    <mergeCell ref="H23:U23"/>
    <mergeCell ref="V23:X23"/>
    <mergeCell ref="Y23:BH23"/>
    <mergeCell ref="BI23:CJ23"/>
    <mergeCell ref="C24:G24"/>
    <mergeCell ref="H24:U24"/>
    <mergeCell ref="V24:X24"/>
    <mergeCell ref="Y24:BH24"/>
    <mergeCell ref="BI24:CJ24"/>
    <mergeCell ref="C25:G25"/>
    <mergeCell ref="H25:U25"/>
    <mergeCell ref="V25:X25"/>
    <mergeCell ref="Y25:BH25"/>
    <mergeCell ref="BI25:CJ25"/>
    <mergeCell ref="C26:G26"/>
    <mergeCell ref="H26:U26"/>
    <mergeCell ref="V26:X26"/>
    <mergeCell ref="Y26:BH26"/>
    <mergeCell ref="BI26:CJ26"/>
    <mergeCell ref="C27:G27"/>
    <mergeCell ref="H27:U27"/>
    <mergeCell ref="V27:X27"/>
    <mergeCell ref="Y27:BH27"/>
    <mergeCell ref="BI27:CJ27"/>
    <mergeCell ref="C28:G28"/>
    <mergeCell ref="H28:U28"/>
    <mergeCell ref="V28:X28"/>
    <mergeCell ref="Y28:BH28"/>
    <mergeCell ref="BI28:CJ28"/>
    <mergeCell ref="C29:G29"/>
    <mergeCell ref="H29:U29"/>
    <mergeCell ref="V29:X29"/>
    <mergeCell ref="Y29:BH29"/>
    <mergeCell ref="BI29:CJ29"/>
    <mergeCell ref="C30:G30"/>
    <mergeCell ref="H30:U30"/>
    <mergeCell ref="V30:X30"/>
    <mergeCell ref="Y30:BH30"/>
    <mergeCell ref="BI30:CJ30"/>
    <mergeCell ref="C31:G31"/>
    <mergeCell ref="H31:U31"/>
    <mergeCell ref="V31:X31"/>
    <mergeCell ref="Y31:BH31"/>
    <mergeCell ref="BI31:CJ31"/>
    <mergeCell ref="C32:G32"/>
    <mergeCell ref="H32:U32"/>
    <mergeCell ref="V32:X32"/>
    <mergeCell ref="Y32:BH32"/>
    <mergeCell ref="BI32:CJ32"/>
    <mergeCell ref="C33:G33"/>
    <mergeCell ref="H33:U33"/>
    <mergeCell ref="V33:X33"/>
    <mergeCell ref="Y33:BH33"/>
    <mergeCell ref="BI33:CJ33"/>
    <mergeCell ref="C34:G34"/>
    <mergeCell ref="H34:U34"/>
    <mergeCell ref="V34:X34"/>
    <mergeCell ref="Y34:BH34"/>
    <mergeCell ref="BI34:CJ34"/>
    <mergeCell ref="C35:G35"/>
    <mergeCell ref="H35:U35"/>
    <mergeCell ref="V35:X35"/>
    <mergeCell ref="Y35:BH35"/>
    <mergeCell ref="BI35:CJ35"/>
    <mergeCell ref="C36:G36"/>
    <mergeCell ref="H36:U36"/>
    <mergeCell ref="V36:X36"/>
    <mergeCell ref="Y36:BH36"/>
    <mergeCell ref="BI36:CJ36"/>
    <mergeCell ref="C37:G37"/>
    <mergeCell ref="H37:U37"/>
    <mergeCell ref="V37:X37"/>
    <mergeCell ref="Y37:BH37"/>
    <mergeCell ref="BI37:CJ37"/>
    <mergeCell ref="C38:D38"/>
    <mergeCell ref="C39:D39"/>
  </mergeCells>
  <pageMargins left="0.393700787401575" right="0.393700787401575" top="0.78740157480315" bottom="0.393700787401575" header="0.196850393700787" footer="0.196850393700787"/>
  <pageSetup paperSize="9" scale="73" fitToHeight="0" orientation="landscape"/>
  <headerFooter>
    <oddFooter>&amp;L&amp;"ＭＳ ゴシック,標準"&amp;9四国電力およびSTNet内利用に限定する&amp;C&amp;"ＭＳ ゴシック,標準"&amp;9&amp;P/&amp;N&amp;R&amp;"ＭＳ ゴシック,標準"&amp;9Copyright(C) 2024 YONDEN. All Rights Reserved.</oddFooter>
  </headerFooter>
  <rowBreaks count="1" manualBreakCount="1">
    <brk id="49" max="8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Q119"/>
  <sheetViews>
    <sheetView showGridLines="0" view="pageBreakPreview" zoomScale="90" zoomScaleNormal="100" workbookViewId="0">
      <pane ySplit="4" topLeftCell="A95" activePane="bottomLeft" state="frozen"/>
      <selection/>
      <selection pane="bottomLeft" activeCell="A5" sqref="A5"/>
    </sheetView>
  </sheetViews>
  <sheetFormatPr defaultColWidth="2.125" defaultRowHeight="11.25"/>
  <cols>
    <col min="1" max="92" width="2.125" style="49"/>
    <col min="93" max="95" width="3.5" style="49" customWidth="1"/>
    <col min="96" max="16384" width="2.125" style="49"/>
  </cols>
  <sheetData>
    <row r="1" s="47" customFormat="1" spans="1:9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9" t="s">
        <v>2</v>
      </c>
      <c r="BT1" s="40"/>
      <c r="BU1" s="40"/>
      <c r="BV1" s="40"/>
      <c r="BW1" s="43"/>
      <c r="BX1" s="39" t="s">
        <v>3</v>
      </c>
      <c r="BY1" s="40"/>
      <c r="BZ1" s="40"/>
      <c r="CA1" s="40"/>
      <c r="CB1" s="43"/>
      <c r="CC1" s="39" t="s">
        <v>4</v>
      </c>
      <c r="CD1" s="40"/>
      <c r="CE1" s="40"/>
      <c r="CF1" s="40"/>
      <c r="CG1" s="40"/>
      <c r="CH1" s="43"/>
      <c r="CI1" s="39" t="s">
        <v>5</v>
      </c>
      <c r="CJ1" s="40"/>
      <c r="CK1" s="40"/>
      <c r="CL1" s="43"/>
    </row>
    <row r="2" s="47" customFormat="1" spans="1:90">
      <c r="A2" s="3">
        <f>変更履歴!$A$2</f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tr">
        <f>変更履歴!$J$2</f>
        <v>マスタコード体系／一覧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41">
        <f>変更履歴!AU2</f>
        <v>45518</v>
      </c>
      <c r="BT2" s="42"/>
      <c r="BU2" s="42"/>
      <c r="BV2" s="42"/>
      <c r="BW2" s="44"/>
      <c r="BX2" s="41" t="str">
        <f>変更履歴!AZ2</f>
        <v/>
      </c>
      <c r="BY2" s="42"/>
      <c r="BZ2" s="42"/>
      <c r="CA2" s="42"/>
      <c r="CB2" s="44"/>
      <c r="CC2" s="45" t="str">
        <f>変更履歴!BE2</f>
        <v>穆政道</v>
      </c>
      <c r="CD2" s="42"/>
      <c r="CE2" s="42"/>
      <c r="CF2" s="42"/>
      <c r="CG2" s="42"/>
      <c r="CH2" s="44"/>
      <c r="CI2" s="46">
        <f>変更履歴!BK2</f>
        <v>1</v>
      </c>
      <c r="CJ2" s="42"/>
      <c r="CK2" s="42"/>
      <c r="CL2" s="44"/>
    </row>
    <row r="3" s="48" customFormat="1" ht="22.5" customHeight="1" spans="1:88">
      <c r="A3" s="50"/>
      <c r="B3" s="51" t="s">
        <v>56</v>
      </c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</row>
    <row r="4" s="48" customFormat="1" ht="36" customHeight="1" spans="1:95">
      <c r="A4" s="50"/>
      <c r="B4" s="50"/>
      <c r="C4" s="52" t="s">
        <v>16</v>
      </c>
      <c r="D4" s="53"/>
      <c r="E4" s="53"/>
      <c r="F4" s="53"/>
      <c r="G4" s="53"/>
      <c r="H4" s="52" t="s">
        <v>17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3" t="s">
        <v>57</v>
      </c>
      <c r="W4" s="53"/>
      <c r="X4" s="53"/>
      <c r="Y4" s="53"/>
      <c r="Z4" s="53"/>
      <c r="AA4" s="53"/>
      <c r="AB4" s="53"/>
      <c r="AC4" s="61" t="s">
        <v>58</v>
      </c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7"/>
      <c r="AS4" s="61" t="s">
        <v>59</v>
      </c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7"/>
      <c r="BI4" s="61" t="s">
        <v>60</v>
      </c>
      <c r="BJ4" s="62"/>
      <c r="BK4" s="62"/>
      <c r="BL4" s="67"/>
      <c r="BM4" s="61" t="s">
        <v>20</v>
      </c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7"/>
      <c r="CO4" s="77"/>
      <c r="CP4" s="77"/>
      <c r="CQ4" s="77"/>
    </row>
    <row r="5" s="48" customFormat="1" ht="22.5" customHeight="1" spans="1:95">
      <c r="A5" s="50"/>
      <c r="B5" s="50"/>
      <c r="C5" s="54">
        <v>101</v>
      </c>
      <c r="D5" s="55"/>
      <c r="E5" s="55"/>
      <c r="F5" s="55"/>
      <c r="G5" s="56"/>
      <c r="H5" s="57" t="str">
        <f>IFERROR(VLOOKUP(C5,コードグループ一覧!$C$5:$U$37,6,FALSE),"")</f>
        <v>通信完了区分</v>
      </c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60"/>
      <c r="V5" s="54">
        <v>1</v>
      </c>
      <c r="W5" s="55"/>
      <c r="X5" s="55"/>
      <c r="Y5" s="55"/>
      <c r="Z5" s="55"/>
      <c r="AA5" s="55"/>
      <c r="AB5" s="56"/>
      <c r="AC5" s="63" t="s">
        <v>61</v>
      </c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8"/>
      <c r="AS5" s="63">
        <v>1</v>
      </c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8"/>
      <c r="BI5" s="70">
        <v>1</v>
      </c>
      <c r="BJ5" s="71"/>
      <c r="BK5" s="71"/>
      <c r="BL5" s="72"/>
      <c r="BM5" s="70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2"/>
      <c r="CO5" s="78"/>
      <c r="CP5" s="78"/>
      <c r="CQ5" s="78"/>
    </row>
    <row r="6" s="48" customFormat="1" ht="22.5" customHeight="1" spans="1:95">
      <c r="A6" s="50"/>
      <c r="B6" s="50"/>
      <c r="C6" s="54">
        <v>101</v>
      </c>
      <c r="D6" s="55"/>
      <c r="E6" s="55"/>
      <c r="F6" s="55"/>
      <c r="G6" s="56"/>
      <c r="H6" s="57" t="str">
        <f>IFERROR(VLOOKUP(C6,コードグループ一覧!$C$5:$U$37,6,FALSE),"")</f>
        <v>通信完了区分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60"/>
      <c r="V6" s="54">
        <v>2</v>
      </c>
      <c r="W6" s="55"/>
      <c r="X6" s="55"/>
      <c r="Y6" s="55"/>
      <c r="Z6" s="55"/>
      <c r="AA6" s="55"/>
      <c r="AB6" s="56"/>
      <c r="AC6" s="63" t="s">
        <v>62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8"/>
      <c r="AS6" s="63">
        <v>1</v>
      </c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8"/>
      <c r="BI6" s="70">
        <v>2</v>
      </c>
      <c r="BJ6" s="71"/>
      <c r="BK6" s="71"/>
      <c r="BL6" s="72"/>
      <c r="BM6" s="70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2"/>
      <c r="CO6" s="78"/>
      <c r="CP6" s="78"/>
      <c r="CQ6" s="78"/>
    </row>
    <row r="7" s="48" customFormat="1" ht="22.5" customHeight="1" spans="1:95">
      <c r="A7" s="50"/>
      <c r="B7" s="50"/>
      <c r="C7" s="54">
        <v>102</v>
      </c>
      <c r="D7" s="55"/>
      <c r="E7" s="55"/>
      <c r="F7" s="55"/>
      <c r="G7" s="56"/>
      <c r="H7" s="57" t="str">
        <f>IFERROR(VLOOKUP(C7,コードグループ一覧!$C$5:$U$37,6,FALSE),"")</f>
        <v>削除区分</v>
      </c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60"/>
      <c r="V7" s="54">
        <v>1</v>
      </c>
      <c r="W7" s="55"/>
      <c r="X7" s="55"/>
      <c r="Y7" s="55"/>
      <c r="Z7" s="55"/>
      <c r="AA7" s="55"/>
      <c r="AB7" s="56"/>
      <c r="AC7" s="63" t="s">
        <v>63</v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8"/>
      <c r="AS7" s="63">
        <v>1</v>
      </c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8"/>
      <c r="BI7" s="70">
        <v>1</v>
      </c>
      <c r="BJ7" s="71"/>
      <c r="BK7" s="71"/>
      <c r="BL7" s="72"/>
      <c r="BM7" s="70" t="s">
        <v>64</v>
      </c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2"/>
      <c r="CO7" s="78"/>
      <c r="CP7" s="78"/>
      <c r="CQ7" s="78"/>
    </row>
    <row r="8" s="48" customFormat="1" ht="22.5" customHeight="1" spans="1:95">
      <c r="A8" s="50"/>
      <c r="B8" s="50"/>
      <c r="C8" s="54">
        <v>102</v>
      </c>
      <c r="D8" s="55"/>
      <c r="E8" s="55"/>
      <c r="F8" s="55"/>
      <c r="G8" s="56"/>
      <c r="H8" s="57" t="str">
        <f>IFERROR(VLOOKUP(C8,コードグループ一覧!$C$5:$U$37,6,FALSE),"")</f>
        <v>削除区分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60"/>
      <c r="V8" s="54">
        <v>2</v>
      </c>
      <c r="W8" s="55"/>
      <c r="X8" s="55"/>
      <c r="Y8" s="55"/>
      <c r="Z8" s="55"/>
      <c r="AA8" s="55"/>
      <c r="AB8" s="56"/>
      <c r="AC8" s="63" t="s">
        <v>65</v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8"/>
      <c r="AS8" s="63">
        <v>1</v>
      </c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8"/>
      <c r="BI8" s="70">
        <v>2</v>
      </c>
      <c r="BJ8" s="71"/>
      <c r="BK8" s="71"/>
      <c r="BL8" s="72"/>
      <c r="BM8" s="70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2"/>
      <c r="CO8" s="78"/>
      <c r="CP8" s="78"/>
      <c r="CQ8" s="78"/>
    </row>
    <row r="9" s="48" customFormat="1" ht="22.5" customHeight="1" spans="1:95">
      <c r="A9" s="50"/>
      <c r="B9" s="50"/>
      <c r="C9" s="58">
        <v>103</v>
      </c>
      <c r="D9" s="58"/>
      <c r="E9" s="58"/>
      <c r="F9" s="58"/>
      <c r="G9" s="58"/>
      <c r="H9" s="57" t="str">
        <f>IFERROR(VLOOKUP(C9,コードグループ一覧!$C$5:$U$37,6,FALSE),"")</f>
        <v>削除状態</v>
      </c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60"/>
      <c r="V9" s="58">
        <v>1</v>
      </c>
      <c r="W9" s="58"/>
      <c r="X9" s="58"/>
      <c r="Y9" s="58"/>
      <c r="Z9" s="58"/>
      <c r="AA9" s="58"/>
      <c r="AB9" s="58"/>
      <c r="AC9" s="63" t="s">
        <v>66</v>
      </c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8"/>
      <c r="AS9" s="63">
        <v>1</v>
      </c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8"/>
      <c r="BI9" s="70">
        <v>1</v>
      </c>
      <c r="BJ9" s="71"/>
      <c r="BK9" s="71"/>
      <c r="BL9" s="72"/>
      <c r="BM9" s="70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2"/>
      <c r="CO9" s="78"/>
      <c r="CP9" s="78"/>
      <c r="CQ9" s="78"/>
    </row>
    <row r="10" s="48" customFormat="1" ht="22.5" customHeight="1" spans="1:95">
      <c r="A10" s="50"/>
      <c r="B10" s="50"/>
      <c r="C10" s="58">
        <v>103</v>
      </c>
      <c r="D10" s="58"/>
      <c r="E10" s="58"/>
      <c r="F10" s="58"/>
      <c r="G10" s="58"/>
      <c r="H10" s="57" t="str">
        <f>IFERROR(VLOOKUP(C10,コードグループ一覧!$C$5:$U$37,6,FALSE),"")</f>
        <v>削除状態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60"/>
      <c r="V10" s="58">
        <v>2</v>
      </c>
      <c r="W10" s="58"/>
      <c r="X10" s="58"/>
      <c r="Y10" s="58"/>
      <c r="Z10" s="58"/>
      <c r="AA10" s="58"/>
      <c r="AB10" s="58"/>
      <c r="AC10" s="63" t="s">
        <v>67</v>
      </c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8"/>
      <c r="AS10" s="63">
        <v>1</v>
      </c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8"/>
      <c r="BI10" s="70">
        <v>2</v>
      </c>
      <c r="BJ10" s="71"/>
      <c r="BK10" s="71"/>
      <c r="BL10" s="72"/>
      <c r="BM10" s="70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2"/>
      <c r="CO10" s="78"/>
      <c r="CP10" s="78"/>
      <c r="CQ10" s="78"/>
    </row>
    <row r="11" s="48" customFormat="1" ht="22.5" customHeight="1" spans="1:95">
      <c r="A11" s="50"/>
      <c r="B11" s="50"/>
      <c r="C11" s="58">
        <v>104</v>
      </c>
      <c r="D11" s="58"/>
      <c r="E11" s="58"/>
      <c r="F11" s="58"/>
      <c r="G11" s="58"/>
      <c r="H11" s="57" t="str">
        <f>IFERROR(VLOOKUP(C11,コードグループ一覧!$C$5:$U$37,6,FALSE),"")</f>
        <v>読み状態</v>
      </c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60"/>
      <c r="V11" s="58">
        <v>1</v>
      </c>
      <c r="W11" s="58"/>
      <c r="X11" s="58"/>
      <c r="Y11" s="58"/>
      <c r="Z11" s="58"/>
      <c r="AA11" s="58"/>
      <c r="AB11" s="58"/>
      <c r="AC11" s="63" t="s">
        <v>68</v>
      </c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8"/>
      <c r="AS11" s="63">
        <v>1</v>
      </c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8"/>
      <c r="BI11" s="70">
        <v>1</v>
      </c>
      <c r="BJ11" s="71"/>
      <c r="BK11" s="71"/>
      <c r="BL11" s="72"/>
      <c r="BM11" s="70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2"/>
      <c r="CO11" s="78"/>
      <c r="CP11" s="78"/>
      <c r="CQ11" s="78"/>
    </row>
    <row r="12" s="48" customFormat="1" ht="22.5" customHeight="1" spans="1:95">
      <c r="A12" s="50"/>
      <c r="B12" s="50"/>
      <c r="C12" s="58">
        <v>104</v>
      </c>
      <c r="D12" s="58"/>
      <c r="E12" s="58"/>
      <c r="F12" s="58"/>
      <c r="G12" s="58"/>
      <c r="H12" s="57" t="str">
        <f>IFERROR(VLOOKUP(C12,コードグループ一覧!$C$5:$U$37,6,FALSE),"")</f>
        <v>読み状態</v>
      </c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60"/>
      <c r="V12" s="58">
        <v>2</v>
      </c>
      <c r="W12" s="58"/>
      <c r="X12" s="58"/>
      <c r="Y12" s="58"/>
      <c r="Z12" s="58"/>
      <c r="AA12" s="58"/>
      <c r="AB12" s="58"/>
      <c r="AC12" s="63" t="s">
        <v>69</v>
      </c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8"/>
      <c r="AS12" s="63">
        <v>1</v>
      </c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8"/>
      <c r="BI12" s="70">
        <v>2</v>
      </c>
      <c r="BJ12" s="71"/>
      <c r="BK12" s="71"/>
      <c r="BL12" s="72"/>
      <c r="BM12" s="70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2"/>
      <c r="CO12" s="78"/>
      <c r="CP12" s="78"/>
      <c r="CQ12" s="78"/>
    </row>
    <row r="13" s="48" customFormat="1" ht="22.5" customHeight="1" spans="1:95">
      <c r="A13" s="50"/>
      <c r="B13" s="50"/>
      <c r="C13" s="58">
        <v>105</v>
      </c>
      <c r="D13" s="58"/>
      <c r="E13" s="58"/>
      <c r="F13" s="58"/>
      <c r="G13" s="58"/>
      <c r="H13" s="57" t="str">
        <f>IFERROR(VLOOKUP(C13,コードグループ一覧!$C$5:$U$37,6,FALSE),"")</f>
        <v>APPバージョン状態</v>
      </c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60"/>
      <c r="V13" s="58">
        <v>1</v>
      </c>
      <c r="W13" s="58"/>
      <c r="X13" s="58"/>
      <c r="Y13" s="58"/>
      <c r="Z13" s="58"/>
      <c r="AA13" s="58"/>
      <c r="AB13" s="58"/>
      <c r="AC13" s="63" t="s">
        <v>70</v>
      </c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8"/>
      <c r="AS13" s="63">
        <v>1</v>
      </c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8"/>
      <c r="BI13" s="73">
        <v>1</v>
      </c>
      <c r="BJ13" s="74"/>
      <c r="BK13" s="74"/>
      <c r="BL13" s="75"/>
      <c r="BM13" s="70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2"/>
      <c r="CO13" s="78"/>
      <c r="CP13" s="78"/>
      <c r="CQ13" s="78"/>
    </row>
    <row r="14" s="48" customFormat="1" ht="22.5" customHeight="1" spans="1:95">
      <c r="A14" s="50"/>
      <c r="B14" s="50"/>
      <c r="C14" s="58">
        <v>105</v>
      </c>
      <c r="D14" s="58"/>
      <c r="E14" s="58"/>
      <c r="F14" s="58"/>
      <c r="G14" s="58"/>
      <c r="H14" s="57" t="str">
        <f>IFERROR(VLOOKUP(C14,コードグループ一覧!$C$5:$U$37,6,FALSE),"")</f>
        <v>APPバージョン状態</v>
      </c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60"/>
      <c r="V14" s="58">
        <v>2</v>
      </c>
      <c r="W14" s="58"/>
      <c r="X14" s="58"/>
      <c r="Y14" s="58"/>
      <c r="Z14" s="58"/>
      <c r="AA14" s="58"/>
      <c r="AB14" s="58"/>
      <c r="AC14" s="63" t="s">
        <v>71</v>
      </c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8"/>
      <c r="AS14" s="63">
        <v>1</v>
      </c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8"/>
      <c r="BI14" s="73">
        <v>2</v>
      </c>
      <c r="BJ14" s="74"/>
      <c r="BK14" s="74"/>
      <c r="BL14" s="75"/>
      <c r="BM14" s="70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2"/>
      <c r="CO14" s="78"/>
      <c r="CP14" s="78"/>
      <c r="CQ14" s="78"/>
    </row>
    <row r="15" s="48" customFormat="1" ht="22.5" customHeight="1" spans="1:95">
      <c r="A15" s="50"/>
      <c r="B15" s="50"/>
      <c r="C15" s="58">
        <v>106</v>
      </c>
      <c r="D15" s="58"/>
      <c r="E15" s="58"/>
      <c r="F15" s="58"/>
      <c r="G15" s="58"/>
      <c r="H15" s="57" t="str">
        <f>IFERROR(VLOOKUP(C15,コードグループ一覧!$C$5:$U$37,6,FALSE),"")</f>
        <v>支払状態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60"/>
      <c r="V15" s="58">
        <v>0</v>
      </c>
      <c r="W15" s="58"/>
      <c r="X15" s="58"/>
      <c r="Y15" s="58"/>
      <c r="Z15" s="58"/>
      <c r="AA15" s="58"/>
      <c r="AB15" s="58"/>
      <c r="AC15" s="65" t="s">
        <v>72</v>
      </c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9"/>
      <c r="AS15" s="63">
        <v>1</v>
      </c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8"/>
      <c r="BI15" s="73">
        <v>1</v>
      </c>
      <c r="BJ15" s="74"/>
      <c r="BK15" s="74"/>
      <c r="BL15" s="75"/>
      <c r="BM15" s="70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2"/>
      <c r="CO15" s="78"/>
      <c r="CP15" s="78"/>
      <c r="CQ15" s="78"/>
    </row>
    <row r="16" s="48" customFormat="1" ht="22.5" customHeight="1" spans="1:95">
      <c r="A16" s="50"/>
      <c r="B16" s="50"/>
      <c r="C16" s="58">
        <v>106</v>
      </c>
      <c r="D16" s="58"/>
      <c r="E16" s="58"/>
      <c r="F16" s="58"/>
      <c r="G16" s="58"/>
      <c r="H16" s="57" t="str">
        <f>IFERROR(VLOOKUP(C16,コードグループ一覧!$C$5:$U$37,6,FALSE),"")</f>
        <v>支払状態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60"/>
      <c r="V16" s="58">
        <v>1</v>
      </c>
      <c r="W16" s="58"/>
      <c r="X16" s="58"/>
      <c r="Y16" s="58"/>
      <c r="Z16" s="58"/>
      <c r="AA16" s="58"/>
      <c r="AB16" s="58"/>
      <c r="AC16" s="65" t="s">
        <v>73</v>
      </c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9"/>
      <c r="AS16" s="63">
        <v>1</v>
      </c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8"/>
      <c r="BI16" s="73">
        <v>2</v>
      </c>
      <c r="BJ16" s="74"/>
      <c r="BK16" s="74"/>
      <c r="BL16" s="75"/>
      <c r="BM16" s="70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2"/>
      <c r="CO16" s="78"/>
      <c r="CP16" s="78"/>
      <c r="CQ16" s="78"/>
    </row>
    <row r="17" s="48" customFormat="1" ht="22.5" customHeight="1" spans="1:95">
      <c r="A17" s="50"/>
      <c r="B17" s="50"/>
      <c r="C17" s="58">
        <v>107</v>
      </c>
      <c r="D17" s="58"/>
      <c r="E17" s="58"/>
      <c r="F17" s="58"/>
      <c r="G17" s="58"/>
      <c r="H17" s="57" t="str">
        <f>IFERROR(VLOOKUP(C17,コードグループ一覧!$C$5:$U$37,6,FALSE),"")</f>
        <v>申込状態</v>
      </c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60"/>
      <c r="V17" s="58">
        <v>0</v>
      </c>
      <c r="W17" s="58"/>
      <c r="X17" s="58"/>
      <c r="Y17" s="58"/>
      <c r="Z17" s="58"/>
      <c r="AA17" s="58"/>
      <c r="AB17" s="58"/>
      <c r="AC17" s="65" t="s">
        <v>74</v>
      </c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9"/>
      <c r="AS17" s="63">
        <v>1</v>
      </c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8"/>
      <c r="BI17" s="73">
        <v>1</v>
      </c>
      <c r="BJ17" s="74"/>
      <c r="BK17" s="74"/>
      <c r="BL17" s="75"/>
      <c r="BM17" s="70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2"/>
      <c r="CO17" s="78"/>
      <c r="CP17" s="78"/>
      <c r="CQ17" s="78"/>
    </row>
    <row r="18" s="48" customFormat="1" ht="22.5" customHeight="1" spans="1:95">
      <c r="A18" s="50"/>
      <c r="B18" s="50"/>
      <c r="C18" s="58">
        <v>107</v>
      </c>
      <c r="D18" s="58"/>
      <c r="E18" s="58"/>
      <c r="F18" s="58"/>
      <c r="G18" s="58"/>
      <c r="H18" s="57" t="str">
        <f>IFERROR(VLOOKUP(C18,コードグループ一覧!$C$5:$U$37,6,FALSE),"")</f>
        <v>申込状態</v>
      </c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60"/>
      <c r="V18" s="58">
        <v>1</v>
      </c>
      <c r="W18" s="58"/>
      <c r="X18" s="58"/>
      <c r="Y18" s="58"/>
      <c r="Z18" s="58"/>
      <c r="AA18" s="58"/>
      <c r="AB18" s="58"/>
      <c r="AC18" s="65" t="s">
        <v>75</v>
      </c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9"/>
      <c r="AS18" s="63">
        <v>1</v>
      </c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8"/>
      <c r="BI18" s="73">
        <v>2</v>
      </c>
      <c r="BJ18" s="74"/>
      <c r="BK18" s="74"/>
      <c r="BL18" s="75"/>
      <c r="BM18" s="70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2"/>
      <c r="CO18" s="78"/>
      <c r="CP18" s="78"/>
      <c r="CQ18" s="78"/>
    </row>
    <row r="19" s="48" customFormat="1" ht="22.5" customHeight="1" spans="1:95">
      <c r="A19" s="50"/>
      <c r="B19" s="50"/>
      <c r="C19" s="58">
        <v>107</v>
      </c>
      <c r="D19" s="58"/>
      <c r="E19" s="58"/>
      <c r="F19" s="58"/>
      <c r="G19" s="58"/>
      <c r="H19" s="57" t="str">
        <f>IFERROR(VLOOKUP(C19,コードグループ一覧!$C$5:$U$37,6,FALSE),"")</f>
        <v>申込状態</v>
      </c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60"/>
      <c r="V19" s="58">
        <v>2</v>
      </c>
      <c r="W19" s="58"/>
      <c r="X19" s="58"/>
      <c r="Y19" s="58"/>
      <c r="Z19" s="58"/>
      <c r="AA19" s="58"/>
      <c r="AB19" s="58"/>
      <c r="AC19" s="65" t="s">
        <v>76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9"/>
      <c r="AS19" s="63">
        <v>1</v>
      </c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8"/>
      <c r="BI19" s="73">
        <v>3</v>
      </c>
      <c r="BJ19" s="74"/>
      <c r="BK19" s="74"/>
      <c r="BL19" s="75"/>
      <c r="BM19" s="70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2"/>
      <c r="CO19" s="78"/>
      <c r="CP19" s="78"/>
      <c r="CQ19" s="78"/>
    </row>
    <row r="20" s="48" customFormat="1" ht="22.5" customHeight="1" spans="1:95">
      <c r="A20" s="50"/>
      <c r="B20" s="50"/>
      <c r="C20" s="58">
        <v>108</v>
      </c>
      <c r="D20" s="58"/>
      <c r="E20" s="58"/>
      <c r="F20" s="58"/>
      <c r="G20" s="58"/>
      <c r="H20" s="57" t="str">
        <f>IFERROR(VLOOKUP(C20,コードグループ一覧!$C$5:$U$37,6,FALSE),"")</f>
        <v>会社状態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60"/>
      <c r="V20" s="58">
        <v>1</v>
      </c>
      <c r="W20" s="58"/>
      <c r="X20" s="58"/>
      <c r="Y20" s="58"/>
      <c r="Z20" s="58"/>
      <c r="AA20" s="58"/>
      <c r="AB20" s="58"/>
      <c r="AC20" s="63" t="s">
        <v>77</v>
      </c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8"/>
      <c r="AS20" s="63">
        <v>1</v>
      </c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8"/>
      <c r="BI20" s="73">
        <v>1</v>
      </c>
      <c r="BJ20" s="74"/>
      <c r="BK20" s="74"/>
      <c r="BL20" s="75"/>
      <c r="BM20" s="70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2"/>
      <c r="CO20" s="78"/>
      <c r="CP20" s="78"/>
      <c r="CQ20" s="78"/>
    </row>
    <row r="21" s="48" customFormat="1" ht="22.5" customHeight="1" spans="1:95">
      <c r="A21" s="50"/>
      <c r="B21" s="50"/>
      <c r="C21" s="58">
        <v>108</v>
      </c>
      <c r="D21" s="58"/>
      <c r="E21" s="58"/>
      <c r="F21" s="58"/>
      <c r="G21" s="58"/>
      <c r="H21" s="57" t="str">
        <f>IFERROR(VLOOKUP(C21,コードグループ一覧!$C$5:$U$37,6,FALSE),"")</f>
        <v>会社状態</v>
      </c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60"/>
      <c r="V21" s="58">
        <v>2</v>
      </c>
      <c r="W21" s="58"/>
      <c r="X21" s="58"/>
      <c r="Y21" s="58"/>
      <c r="Z21" s="58"/>
      <c r="AA21" s="58"/>
      <c r="AB21" s="58"/>
      <c r="AC21" s="63" t="s">
        <v>78</v>
      </c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8"/>
      <c r="AS21" s="63">
        <v>1</v>
      </c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8"/>
      <c r="BI21" s="73">
        <v>2</v>
      </c>
      <c r="BJ21" s="74"/>
      <c r="BK21" s="74"/>
      <c r="BL21" s="75"/>
      <c r="BM21" s="70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2"/>
      <c r="CO21" s="78"/>
      <c r="CP21" s="78"/>
      <c r="CQ21" s="78"/>
    </row>
    <row r="22" s="48" customFormat="1" ht="22.5" customHeight="1" spans="1:95">
      <c r="A22" s="50"/>
      <c r="B22" s="50"/>
      <c r="C22" s="58">
        <v>108</v>
      </c>
      <c r="D22" s="58"/>
      <c r="E22" s="58"/>
      <c r="F22" s="58"/>
      <c r="G22" s="58"/>
      <c r="H22" s="57" t="str">
        <f>IFERROR(VLOOKUP(C22,コードグループ一覧!$C$5:$U$37,6,FALSE),"")</f>
        <v>会社状態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60"/>
      <c r="V22" s="58">
        <v>3</v>
      </c>
      <c r="W22" s="58"/>
      <c r="X22" s="58"/>
      <c r="Y22" s="58"/>
      <c r="Z22" s="58"/>
      <c r="AA22" s="58"/>
      <c r="AB22" s="58"/>
      <c r="AC22" s="63" t="s">
        <v>79</v>
      </c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8"/>
      <c r="AS22" s="63">
        <v>1</v>
      </c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8"/>
      <c r="BI22" s="73">
        <v>3</v>
      </c>
      <c r="BJ22" s="74"/>
      <c r="BK22" s="74"/>
      <c r="BL22" s="75"/>
      <c r="BM22" s="70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2"/>
      <c r="CO22" s="78"/>
      <c r="CP22" s="78"/>
      <c r="CQ22" s="78"/>
    </row>
    <row r="23" s="48" customFormat="1" ht="22.5" customHeight="1" spans="1:95">
      <c r="A23" s="50"/>
      <c r="B23" s="50"/>
      <c r="C23" s="58">
        <v>108</v>
      </c>
      <c r="D23" s="58"/>
      <c r="E23" s="58"/>
      <c r="F23" s="58"/>
      <c r="G23" s="58"/>
      <c r="H23" s="57" t="str">
        <f>IFERROR(VLOOKUP(C23,コードグループ一覧!$C$5:$U$37,6,FALSE),"")</f>
        <v>会社状態</v>
      </c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60"/>
      <c r="V23" s="58">
        <v>4</v>
      </c>
      <c r="W23" s="58"/>
      <c r="X23" s="58"/>
      <c r="Y23" s="58"/>
      <c r="Z23" s="58"/>
      <c r="AA23" s="58"/>
      <c r="AB23" s="58"/>
      <c r="AC23" s="63" t="s">
        <v>80</v>
      </c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8"/>
      <c r="AS23" s="63">
        <v>1</v>
      </c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8"/>
      <c r="BI23" s="73">
        <v>4</v>
      </c>
      <c r="BJ23" s="74"/>
      <c r="BK23" s="74"/>
      <c r="BL23" s="75"/>
      <c r="BM23" s="70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2"/>
      <c r="CO23" s="78"/>
      <c r="CP23" s="78"/>
      <c r="CQ23" s="78"/>
    </row>
    <row r="24" s="48" customFormat="1" ht="22.5" customHeight="1" spans="1:95">
      <c r="A24" s="50"/>
      <c r="B24" s="50"/>
      <c r="C24" s="58">
        <v>109</v>
      </c>
      <c r="D24" s="58"/>
      <c r="E24" s="58"/>
      <c r="F24" s="58"/>
      <c r="G24" s="58"/>
      <c r="H24" s="57" t="str">
        <f>IFERROR(VLOOKUP(C24,コードグループ一覧!$C$5:$U$37,6,FALSE),"")</f>
        <v>帳票_区分</v>
      </c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60"/>
      <c r="V24" s="58">
        <v>1</v>
      </c>
      <c r="W24" s="58"/>
      <c r="X24" s="58"/>
      <c r="Y24" s="58"/>
      <c r="Z24" s="58"/>
      <c r="AA24" s="58"/>
      <c r="AB24" s="58"/>
      <c r="AC24" s="63" t="s">
        <v>81</v>
      </c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8"/>
      <c r="AS24" s="63">
        <v>1</v>
      </c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8"/>
      <c r="BI24" s="73">
        <v>1</v>
      </c>
      <c r="BJ24" s="74"/>
      <c r="BK24" s="74"/>
      <c r="BL24" s="75"/>
      <c r="BM24" s="70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2"/>
      <c r="CO24" s="78"/>
      <c r="CP24" s="78"/>
      <c r="CQ24" s="78"/>
    </row>
    <row r="25" s="48" customFormat="1" ht="22.5" customHeight="1" spans="1:95">
      <c r="A25" s="50"/>
      <c r="B25" s="50"/>
      <c r="C25" s="58">
        <v>109</v>
      </c>
      <c r="D25" s="58"/>
      <c r="E25" s="58"/>
      <c r="F25" s="58"/>
      <c r="G25" s="58"/>
      <c r="H25" s="57" t="str">
        <f>IFERROR(VLOOKUP(C25,コードグループ一覧!$C$5:$U$37,6,FALSE),"")</f>
        <v>帳票_区分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60"/>
      <c r="V25" s="58">
        <v>2</v>
      </c>
      <c r="W25" s="58"/>
      <c r="X25" s="58"/>
      <c r="Y25" s="58"/>
      <c r="Z25" s="58"/>
      <c r="AA25" s="58"/>
      <c r="AB25" s="58"/>
      <c r="AC25" s="63" t="s">
        <v>82</v>
      </c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8"/>
      <c r="AS25" s="63">
        <v>1</v>
      </c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8"/>
      <c r="BI25" s="73">
        <v>2</v>
      </c>
      <c r="BJ25" s="74"/>
      <c r="BK25" s="74"/>
      <c r="BL25" s="75"/>
      <c r="BM25" s="70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2"/>
      <c r="CO25" s="78"/>
      <c r="CP25" s="78"/>
      <c r="CQ25" s="78"/>
    </row>
    <row r="26" s="48" customFormat="1" ht="22.5" customHeight="1" spans="1:95">
      <c r="A26" s="50"/>
      <c r="B26" s="50"/>
      <c r="C26" s="58">
        <v>109</v>
      </c>
      <c r="D26" s="58"/>
      <c r="E26" s="58"/>
      <c r="F26" s="58"/>
      <c r="G26" s="58"/>
      <c r="H26" s="57" t="str">
        <f>IFERROR(VLOOKUP(C26,コードグループ一覧!$C$5:$U$37,6,FALSE),"")</f>
        <v>帳票_区分</v>
      </c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0"/>
      <c r="V26" s="58">
        <v>3</v>
      </c>
      <c r="W26" s="58"/>
      <c r="X26" s="58"/>
      <c r="Y26" s="58"/>
      <c r="Z26" s="58"/>
      <c r="AA26" s="58"/>
      <c r="AB26" s="58"/>
      <c r="AC26" s="63" t="s">
        <v>83</v>
      </c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8"/>
      <c r="AS26" s="63">
        <v>1</v>
      </c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8"/>
      <c r="BI26" s="73">
        <v>3</v>
      </c>
      <c r="BJ26" s="74"/>
      <c r="BK26" s="74"/>
      <c r="BL26" s="75"/>
      <c r="BM26" s="70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2"/>
      <c r="CO26" s="78"/>
      <c r="CP26" s="78"/>
      <c r="CQ26" s="78"/>
    </row>
    <row r="27" s="48" customFormat="1" ht="22.5" customHeight="1" spans="1:95">
      <c r="A27" s="50"/>
      <c r="B27" s="50"/>
      <c r="C27" s="58">
        <v>110</v>
      </c>
      <c r="D27" s="58"/>
      <c r="E27" s="58"/>
      <c r="F27" s="58"/>
      <c r="G27" s="58"/>
      <c r="H27" s="57" t="str">
        <f>IFERROR(VLOOKUP(C27,コードグループ一覧!$C$5:$U$37,6,FALSE),"")</f>
        <v>帳票_方向</v>
      </c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0"/>
      <c r="V27" s="58">
        <v>1</v>
      </c>
      <c r="W27" s="58"/>
      <c r="X27" s="58"/>
      <c r="Y27" s="58"/>
      <c r="Z27" s="58"/>
      <c r="AA27" s="58"/>
      <c r="AB27" s="58"/>
      <c r="AC27" s="63" t="s">
        <v>84</v>
      </c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8"/>
      <c r="AS27" s="63">
        <v>1</v>
      </c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8"/>
      <c r="BI27" s="73">
        <v>1</v>
      </c>
      <c r="BJ27" s="74"/>
      <c r="BK27" s="74"/>
      <c r="BL27" s="75"/>
      <c r="BM27" s="70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2"/>
      <c r="CO27" s="78"/>
      <c r="CP27" s="78"/>
      <c r="CQ27" s="78"/>
    </row>
    <row r="28" s="48" customFormat="1" ht="22.5" customHeight="1" spans="1:95">
      <c r="A28" s="50"/>
      <c r="B28" s="50"/>
      <c r="C28" s="58">
        <v>110</v>
      </c>
      <c r="D28" s="58"/>
      <c r="E28" s="58"/>
      <c r="F28" s="58"/>
      <c r="G28" s="58"/>
      <c r="H28" s="57" t="str">
        <f>IFERROR(VLOOKUP(C28,コードグループ一覧!$C$5:$U$37,6,FALSE),"")</f>
        <v>帳票_方向</v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60"/>
      <c r="V28" s="58">
        <v>2</v>
      </c>
      <c r="W28" s="58"/>
      <c r="X28" s="58"/>
      <c r="Y28" s="58"/>
      <c r="Z28" s="58"/>
      <c r="AA28" s="58"/>
      <c r="AB28" s="58"/>
      <c r="AC28" s="63" t="s">
        <v>85</v>
      </c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8"/>
      <c r="AS28" s="63">
        <v>1</v>
      </c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8"/>
      <c r="BI28" s="73">
        <v>2</v>
      </c>
      <c r="BJ28" s="74"/>
      <c r="BK28" s="74"/>
      <c r="BL28" s="75"/>
      <c r="BM28" s="70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2"/>
      <c r="CO28" s="78"/>
      <c r="CP28" s="78"/>
      <c r="CQ28" s="78"/>
    </row>
    <row r="29" s="48" customFormat="1" ht="22.5" customHeight="1" spans="1:95">
      <c r="A29" s="50"/>
      <c r="B29" s="50"/>
      <c r="C29" s="58">
        <v>111</v>
      </c>
      <c r="D29" s="58"/>
      <c r="E29" s="58"/>
      <c r="F29" s="58"/>
      <c r="G29" s="58"/>
      <c r="H29" s="57" t="str">
        <f>IFERROR(VLOOKUP(C29,コードグループ一覧!$C$5:$U$37,6,FALSE),"")</f>
        <v>位置</v>
      </c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60"/>
      <c r="V29" s="58">
        <v>1</v>
      </c>
      <c r="W29" s="58"/>
      <c r="X29" s="58"/>
      <c r="Y29" s="58"/>
      <c r="Z29" s="58"/>
      <c r="AA29" s="58"/>
      <c r="AB29" s="58"/>
      <c r="AC29" s="63" t="s">
        <v>86</v>
      </c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8"/>
      <c r="AS29" s="63">
        <v>1</v>
      </c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8"/>
      <c r="BI29" s="73">
        <v>1</v>
      </c>
      <c r="BJ29" s="74"/>
      <c r="BK29" s="74"/>
      <c r="BL29" s="75"/>
      <c r="BM29" s="70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2"/>
      <c r="CO29" s="78"/>
      <c r="CP29" s="78"/>
      <c r="CQ29" s="78"/>
    </row>
    <row r="30" s="48" customFormat="1" ht="22.5" customHeight="1" spans="1:95">
      <c r="A30" s="50"/>
      <c r="B30" s="50"/>
      <c r="C30" s="58">
        <v>111</v>
      </c>
      <c r="D30" s="58"/>
      <c r="E30" s="58"/>
      <c r="F30" s="58"/>
      <c r="G30" s="58"/>
      <c r="H30" s="57" t="str">
        <f>IFERROR(VLOOKUP(C30,コードグループ一覧!$C$5:$U$37,6,FALSE),"")</f>
        <v>位置</v>
      </c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60"/>
      <c r="V30" s="58">
        <v>2</v>
      </c>
      <c r="W30" s="58"/>
      <c r="X30" s="58"/>
      <c r="Y30" s="58"/>
      <c r="Z30" s="58"/>
      <c r="AA30" s="58"/>
      <c r="AB30" s="58"/>
      <c r="AC30" s="63" t="s">
        <v>87</v>
      </c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8"/>
      <c r="AS30" s="63">
        <v>1</v>
      </c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8"/>
      <c r="BI30" s="73">
        <v>2</v>
      </c>
      <c r="BJ30" s="74"/>
      <c r="BK30" s="74"/>
      <c r="BL30" s="75"/>
      <c r="BM30" s="70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2"/>
      <c r="CO30" s="78"/>
      <c r="CP30" s="78"/>
      <c r="CQ30" s="78"/>
    </row>
    <row r="31" s="48" customFormat="1" ht="22.5" customHeight="1" spans="1:95">
      <c r="A31" s="50"/>
      <c r="B31" s="50"/>
      <c r="C31" s="58">
        <v>111</v>
      </c>
      <c r="D31" s="58"/>
      <c r="E31" s="58"/>
      <c r="F31" s="58"/>
      <c r="G31" s="58"/>
      <c r="H31" s="57" t="str">
        <f>IFERROR(VLOOKUP(C31,コードグループ一覧!$C$5:$U$37,6,FALSE),"")</f>
        <v>位置</v>
      </c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60"/>
      <c r="V31" s="58">
        <v>3</v>
      </c>
      <c r="W31" s="58"/>
      <c r="X31" s="58"/>
      <c r="Y31" s="58"/>
      <c r="Z31" s="58"/>
      <c r="AA31" s="58"/>
      <c r="AB31" s="58"/>
      <c r="AC31" s="63" t="s">
        <v>88</v>
      </c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8"/>
      <c r="AS31" s="63">
        <v>1</v>
      </c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8"/>
      <c r="BI31" s="73">
        <v>3</v>
      </c>
      <c r="BJ31" s="74"/>
      <c r="BK31" s="74"/>
      <c r="BL31" s="75"/>
      <c r="BM31" s="70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2"/>
      <c r="CO31" s="78"/>
      <c r="CP31" s="78"/>
      <c r="CQ31" s="78"/>
    </row>
    <row r="32" s="48" customFormat="1" ht="22.5" customHeight="1" spans="1:95">
      <c r="A32" s="50"/>
      <c r="B32" s="50"/>
      <c r="C32" s="58">
        <v>111</v>
      </c>
      <c r="D32" s="58"/>
      <c r="E32" s="58"/>
      <c r="F32" s="58"/>
      <c r="G32" s="58"/>
      <c r="H32" s="57" t="str">
        <f>IFERROR(VLOOKUP(C32,コードグループ一覧!$C$5:$U$37,6,FALSE),"")</f>
        <v>位置</v>
      </c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60"/>
      <c r="V32" s="58">
        <v>4</v>
      </c>
      <c r="W32" s="58"/>
      <c r="X32" s="58"/>
      <c r="Y32" s="58"/>
      <c r="Z32" s="58"/>
      <c r="AA32" s="58"/>
      <c r="AB32" s="58"/>
      <c r="AC32" s="63" t="s">
        <v>89</v>
      </c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8"/>
      <c r="AS32" s="63">
        <v>1</v>
      </c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8"/>
      <c r="BI32" s="73">
        <v>4</v>
      </c>
      <c r="BJ32" s="74"/>
      <c r="BK32" s="74"/>
      <c r="BL32" s="75"/>
      <c r="BM32" s="70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2"/>
      <c r="CO32" s="78"/>
      <c r="CP32" s="78"/>
      <c r="CQ32" s="78"/>
    </row>
    <row r="33" s="48" customFormat="1" ht="22.5" customHeight="1" spans="1:95">
      <c r="A33" s="50"/>
      <c r="B33" s="50"/>
      <c r="C33" s="54">
        <v>111</v>
      </c>
      <c r="D33" s="55"/>
      <c r="E33" s="55"/>
      <c r="F33" s="55"/>
      <c r="G33" s="56"/>
      <c r="H33" s="57" t="str">
        <f>IFERROR(VLOOKUP(C33,コードグループ一覧!$C$5:$U$37,6,FALSE),"")</f>
        <v>位置</v>
      </c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60"/>
      <c r="V33" s="58">
        <v>5</v>
      </c>
      <c r="W33" s="58"/>
      <c r="X33" s="58"/>
      <c r="Y33" s="58"/>
      <c r="Z33" s="58"/>
      <c r="AA33" s="58"/>
      <c r="AB33" s="58"/>
      <c r="AC33" s="63" t="s">
        <v>90</v>
      </c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8"/>
      <c r="AS33" s="63">
        <v>1</v>
      </c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8"/>
      <c r="BI33" s="70">
        <v>5</v>
      </c>
      <c r="BJ33" s="71"/>
      <c r="BK33" s="71"/>
      <c r="BL33" s="72"/>
      <c r="BM33" s="70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2"/>
      <c r="CO33" s="78"/>
      <c r="CP33" s="78"/>
      <c r="CQ33" s="78"/>
    </row>
    <row r="34" s="48" customFormat="1" ht="22.5" customHeight="1" spans="1:95">
      <c r="A34" s="50"/>
      <c r="B34" s="50"/>
      <c r="C34" s="54">
        <v>111</v>
      </c>
      <c r="D34" s="55"/>
      <c r="E34" s="55"/>
      <c r="F34" s="55"/>
      <c r="G34" s="56"/>
      <c r="H34" s="57" t="str">
        <f>IFERROR(VLOOKUP(C34,コードグループ一覧!$C$5:$U$37,6,FALSE),"")</f>
        <v>位置</v>
      </c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60"/>
      <c r="V34" s="58">
        <v>6</v>
      </c>
      <c r="W34" s="58"/>
      <c r="X34" s="58"/>
      <c r="Y34" s="58"/>
      <c r="Z34" s="58"/>
      <c r="AA34" s="58"/>
      <c r="AB34" s="58"/>
      <c r="AC34" s="63" t="s">
        <v>91</v>
      </c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8"/>
      <c r="AS34" s="63">
        <v>1</v>
      </c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8"/>
      <c r="BI34" s="70">
        <v>6</v>
      </c>
      <c r="BJ34" s="71"/>
      <c r="BK34" s="71"/>
      <c r="BL34" s="72"/>
      <c r="BM34" s="70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2"/>
      <c r="CO34" s="78"/>
      <c r="CP34" s="78"/>
      <c r="CQ34" s="78"/>
    </row>
    <row r="35" s="48" customFormat="1" ht="22.5" customHeight="1" spans="1:95">
      <c r="A35" s="50"/>
      <c r="B35" s="50"/>
      <c r="C35" s="54">
        <v>111</v>
      </c>
      <c r="D35" s="55"/>
      <c r="E35" s="55"/>
      <c r="F35" s="55"/>
      <c r="G35" s="56"/>
      <c r="H35" s="57" t="str">
        <f>IFERROR(VLOOKUP(C35,コードグループ一覧!$C$5:$U$37,6,FALSE),"")</f>
        <v>位置</v>
      </c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60"/>
      <c r="V35" s="58">
        <v>7</v>
      </c>
      <c r="W35" s="58"/>
      <c r="X35" s="58"/>
      <c r="Y35" s="58"/>
      <c r="Z35" s="58"/>
      <c r="AA35" s="58"/>
      <c r="AB35" s="58"/>
      <c r="AC35" s="63" t="s">
        <v>92</v>
      </c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8"/>
      <c r="AS35" s="63">
        <v>1</v>
      </c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8"/>
      <c r="BI35" s="70">
        <v>7</v>
      </c>
      <c r="BJ35" s="71"/>
      <c r="BK35" s="71"/>
      <c r="BL35" s="72"/>
      <c r="BM35" s="70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2"/>
      <c r="CO35" s="78"/>
      <c r="CP35" s="78"/>
      <c r="CQ35" s="78"/>
    </row>
    <row r="36" s="48" customFormat="1" ht="22.5" customHeight="1" spans="1:95">
      <c r="A36" s="50"/>
      <c r="B36" s="50"/>
      <c r="C36" s="54">
        <v>112</v>
      </c>
      <c r="D36" s="55"/>
      <c r="E36" s="55"/>
      <c r="F36" s="55"/>
      <c r="G36" s="56"/>
      <c r="H36" s="57" t="str">
        <f>IFERROR(VLOOKUP(C36,コードグループ一覧!$C$5:$U$37,6,FALSE),"")</f>
        <v>分類</v>
      </c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60"/>
      <c r="V36" s="58">
        <v>1</v>
      </c>
      <c r="W36" s="58"/>
      <c r="X36" s="58"/>
      <c r="Y36" s="58"/>
      <c r="Z36" s="58"/>
      <c r="AA36" s="58"/>
      <c r="AB36" s="58"/>
      <c r="AC36" s="63" t="s">
        <v>93</v>
      </c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8"/>
      <c r="AS36" s="63">
        <v>1</v>
      </c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8"/>
      <c r="BI36" s="70">
        <v>1</v>
      </c>
      <c r="BJ36" s="71"/>
      <c r="BK36" s="71"/>
      <c r="BL36" s="72"/>
      <c r="BM36" s="70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2"/>
      <c r="CO36" s="78"/>
      <c r="CP36" s="78"/>
      <c r="CQ36" s="78"/>
    </row>
    <row r="37" s="48" customFormat="1" ht="22.5" customHeight="1" spans="1:95">
      <c r="A37" s="50"/>
      <c r="B37" s="50"/>
      <c r="C37" s="54">
        <v>112</v>
      </c>
      <c r="D37" s="55"/>
      <c r="E37" s="55"/>
      <c r="F37" s="55"/>
      <c r="G37" s="56"/>
      <c r="H37" s="57" t="str">
        <f>IFERROR(VLOOKUP(C37,コードグループ一覧!$C$5:$U$37,6,FALSE),"")</f>
        <v>分類</v>
      </c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60"/>
      <c r="V37" s="58">
        <v>2</v>
      </c>
      <c r="W37" s="58"/>
      <c r="X37" s="58"/>
      <c r="Y37" s="58"/>
      <c r="Z37" s="58"/>
      <c r="AA37" s="58"/>
      <c r="AB37" s="58"/>
      <c r="AC37" s="63" t="s">
        <v>94</v>
      </c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8"/>
      <c r="AS37" s="63">
        <v>1</v>
      </c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8"/>
      <c r="BI37" s="70">
        <v>2</v>
      </c>
      <c r="BJ37" s="71"/>
      <c r="BK37" s="71"/>
      <c r="BL37" s="72"/>
      <c r="BM37" s="70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2"/>
      <c r="CO37" s="78"/>
      <c r="CP37" s="78"/>
      <c r="CQ37" s="78"/>
    </row>
    <row r="38" s="48" customFormat="1" ht="22.5" customHeight="1" spans="1:95">
      <c r="A38" s="50"/>
      <c r="B38" s="50"/>
      <c r="C38" s="54">
        <v>112</v>
      </c>
      <c r="D38" s="55"/>
      <c r="E38" s="55"/>
      <c r="F38" s="55"/>
      <c r="G38" s="56"/>
      <c r="H38" s="57" t="str">
        <f>IFERROR(VLOOKUP(C38,コードグループ一覧!$C$5:$U$37,6,FALSE),"")</f>
        <v>分類</v>
      </c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60"/>
      <c r="V38" s="58">
        <v>3</v>
      </c>
      <c r="W38" s="58"/>
      <c r="X38" s="58"/>
      <c r="Y38" s="58"/>
      <c r="Z38" s="58"/>
      <c r="AA38" s="58"/>
      <c r="AB38" s="58"/>
      <c r="AC38" s="63" t="s">
        <v>95</v>
      </c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8"/>
      <c r="AS38" s="63">
        <v>1</v>
      </c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8"/>
      <c r="BI38" s="70">
        <v>3</v>
      </c>
      <c r="BJ38" s="71"/>
      <c r="BK38" s="71"/>
      <c r="BL38" s="72"/>
      <c r="BM38" s="70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2"/>
      <c r="CO38" s="78"/>
      <c r="CP38" s="78"/>
      <c r="CQ38" s="78"/>
    </row>
    <row r="39" s="48" customFormat="1" ht="22.5" customHeight="1" spans="1:95">
      <c r="A39" s="50"/>
      <c r="B39" s="50"/>
      <c r="C39" s="54">
        <v>113</v>
      </c>
      <c r="D39" s="55"/>
      <c r="E39" s="55"/>
      <c r="F39" s="55"/>
      <c r="G39" s="56"/>
      <c r="H39" s="57" t="str">
        <f>IFERROR(VLOOKUP(C39,コードグループ一覧!$C$5:$U$37,6,FALSE),"")</f>
        <v>フィールド名を表示</v>
      </c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60"/>
      <c r="V39" s="58">
        <v>1</v>
      </c>
      <c r="W39" s="58"/>
      <c r="X39" s="58"/>
      <c r="Y39" s="58"/>
      <c r="Z39" s="58"/>
      <c r="AA39" s="58"/>
      <c r="AB39" s="58"/>
      <c r="AC39" s="63" t="s">
        <v>96</v>
      </c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8"/>
      <c r="AS39" s="63">
        <v>1</v>
      </c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8"/>
      <c r="BI39" s="70">
        <v>1</v>
      </c>
      <c r="BJ39" s="71"/>
      <c r="BK39" s="71"/>
      <c r="BL39" s="72"/>
      <c r="BM39" s="70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2"/>
      <c r="CO39" s="78"/>
      <c r="CP39" s="78"/>
      <c r="CQ39" s="78"/>
    </row>
    <row r="40" s="48" customFormat="1" ht="22.5" customHeight="1" spans="1:95">
      <c r="A40" s="50"/>
      <c r="B40" s="50"/>
      <c r="C40" s="54">
        <v>113</v>
      </c>
      <c r="D40" s="55"/>
      <c r="E40" s="55"/>
      <c r="F40" s="55"/>
      <c r="G40" s="56"/>
      <c r="H40" s="57" t="str">
        <f>IFERROR(VLOOKUP(C40,コードグループ一覧!$C$5:$U$37,6,FALSE),"")</f>
        <v>フィールド名を表示</v>
      </c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60"/>
      <c r="V40" s="58">
        <v>2</v>
      </c>
      <c r="W40" s="58"/>
      <c r="X40" s="58"/>
      <c r="Y40" s="58"/>
      <c r="Z40" s="58"/>
      <c r="AA40" s="58"/>
      <c r="AB40" s="58"/>
      <c r="AC40" s="63" t="s">
        <v>97</v>
      </c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8"/>
      <c r="AS40" s="63">
        <v>1</v>
      </c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8"/>
      <c r="BI40" s="70">
        <v>2</v>
      </c>
      <c r="BJ40" s="71"/>
      <c r="BK40" s="71"/>
      <c r="BL40" s="72"/>
      <c r="BM40" s="70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2"/>
      <c r="CO40" s="78"/>
      <c r="CP40" s="78"/>
      <c r="CQ40" s="78"/>
    </row>
    <row r="41" s="48" customFormat="1" ht="22.5" customHeight="1" spans="1:95">
      <c r="A41" s="50"/>
      <c r="B41" s="50"/>
      <c r="C41" s="54">
        <v>114</v>
      </c>
      <c r="D41" s="55"/>
      <c r="E41" s="55"/>
      <c r="F41" s="55"/>
      <c r="G41" s="56"/>
      <c r="H41" s="57" t="str">
        <f>IFERROR(VLOOKUP(C41,コードグループ一覧!$C$5:$U$37,6,FALSE),"")</f>
        <v>ユーザー状態</v>
      </c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60"/>
      <c r="V41" s="58">
        <v>1</v>
      </c>
      <c r="W41" s="58"/>
      <c r="X41" s="58"/>
      <c r="Y41" s="58"/>
      <c r="Z41" s="58"/>
      <c r="AA41" s="58"/>
      <c r="AB41" s="58"/>
      <c r="AC41" s="63" t="s">
        <v>98</v>
      </c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8"/>
      <c r="AS41" s="63">
        <v>1</v>
      </c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8"/>
      <c r="BI41" s="70">
        <v>1</v>
      </c>
      <c r="BJ41" s="71"/>
      <c r="BK41" s="71"/>
      <c r="BL41" s="72"/>
      <c r="BM41" s="70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2"/>
      <c r="CO41" s="78"/>
      <c r="CP41" s="78"/>
      <c r="CQ41" s="78"/>
    </row>
    <row r="42" s="48" customFormat="1" ht="22.5" customHeight="1" spans="1:95">
      <c r="A42" s="50"/>
      <c r="B42" s="50"/>
      <c r="C42" s="54">
        <v>114</v>
      </c>
      <c r="D42" s="55"/>
      <c r="E42" s="55"/>
      <c r="F42" s="55"/>
      <c r="G42" s="56"/>
      <c r="H42" s="57" t="str">
        <f>IFERROR(VLOOKUP(C42,コードグループ一覧!$C$5:$U$37,6,FALSE),"")</f>
        <v>ユーザー状態</v>
      </c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60"/>
      <c r="V42" s="58">
        <v>2</v>
      </c>
      <c r="W42" s="58"/>
      <c r="X42" s="58"/>
      <c r="Y42" s="58"/>
      <c r="Z42" s="58"/>
      <c r="AA42" s="58"/>
      <c r="AB42" s="58"/>
      <c r="AC42" s="63" t="s">
        <v>99</v>
      </c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8"/>
      <c r="AS42" s="63">
        <v>1</v>
      </c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8"/>
      <c r="BI42" s="70">
        <v>2</v>
      </c>
      <c r="BJ42" s="71"/>
      <c r="BK42" s="71"/>
      <c r="BL42" s="72"/>
      <c r="BM42" s="70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2"/>
      <c r="CO42" s="78"/>
      <c r="CP42" s="78"/>
      <c r="CQ42" s="78"/>
    </row>
    <row r="43" s="48" customFormat="1" ht="22.5" customHeight="1" spans="1:95">
      <c r="A43" s="50"/>
      <c r="B43" s="50"/>
      <c r="C43" s="54">
        <v>114</v>
      </c>
      <c r="D43" s="55"/>
      <c r="E43" s="55"/>
      <c r="F43" s="55"/>
      <c r="G43" s="56"/>
      <c r="H43" s="57" t="str">
        <f>IFERROR(VLOOKUP(C43,コードグループ一覧!$C$5:$U$37,6,FALSE),"")</f>
        <v>ユーザー状態</v>
      </c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60"/>
      <c r="V43" s="58">
        <v>3</v>
      </c>
      <c r="W43" s="58"/>
      <c r="X43" s="58"/>
      <c r="Y43" s="58"/>
      <c r="Z43" s="58"/>
      <c r="AA43" s="58"/>
      <c r="AB43" s="58"/>
      <c r="AC43" s="63" t="s">
        <v>79</v>
      </c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8"/>
      <c r="AS43" s="63">
        <v>1</v>
      </c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8"/>
      <c r="BI43" s="70">
        <v>3</v>
      </c>
      <c r="BJ43" s="71"/>
      <c r="BK43" s="71"/>
      <c r="BL43" s="72"/>
      <c r="BM43" s="70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2"/>
      <c r="CO43" s="78"/>
      <c r="CP43" s="78"/>
      <c r="CQ43" s="78"/>
    </row>
    <row r="44" s="48" customFormat="1" ht="22.5" customHeight="1" spans="1:95">
      <c r="A44" s="50"/>
      <c r="B44" s="50"/>
      <c r="C44" s="54">
        <v>114</v>
      </c>
      <c r="D44" s="55"/>
      <c r="E44" s="55"/>
      <c r="F44" s="55"/>
      <c r="G44" s="56"/>
      <c r="H44" s="57" t="str">
        <f>IFERROR(VLOOKUP(C44,コードグループ一覧!$C$5:$U$37,6,FALSE),"")</f>
        <v>ユーザー状態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60"/>
      <c r="V44" s="58">
        <v>4</v>
      </c>
      <c r="W44" s="58"/>
      <c r="X44" s="58"/>
      <c r="Y44" s="58"/>
      <c r="Z44" s="58"/>
      <c r="AA44" s="58"/>
      <c r="AB44" s="58"/>
      <c r="AC44" s="63" t="s">
        <v>67</v>
      </c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8"/>
      <c r="AS44" s="63">
        <v>1</v>
      </c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8"/>
      <c r="BI44" s="70">
        <v>4</v>
      </c>
      <c r="BJ44" s="71"/>
      <c r="BK44" s="71"/>
      <c r="BL44" s="72"/>
      <c r="BM44" s="70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2"/>
      <c r="CO44" s="78"/>
      <c r="CP44" s="78"/>
      <c r="CQ44" s="78"/>
    </row>
    <row r="45" s="48" customFormat="1" ht="22.5" customHeight="1" spans="1:95">
      <c r="A45" s="50"/>
      <c r="B45" s="50"/>
      <c r="C45" s="54">
        <v>115</v>
      </c>
      <c r="D45" s="55"/>
      <c r="E45" s="55"/>
      <c r="F45" s="55"/>
      <c r="G45" s="56"/>
      <c r="H45" s="57" t="str">
        <f>IFERROR(VLOOKUP(C45,コードグループ一覧!$C$5:$U$37,6,FALSE),"")</f>
        <v>アクション区分</v>
      </c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60"/>
      <c r="V45" s="58">
        <v>1</v>
      </c>
      <c r="W45" s="58"/>
      <c r="X45" s="58"/>
      <c r="Y45" s="58"/>
      <c r="Z45" s="58"/>
      <c r="AA45" s="58"/>
      <c r="AB45" s="58"/>
      <c r="AC45" s="63" t="s">
        <v>100</v>
      </c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8"/>
      <c r="AS45" s="63">
        <v>1</v>
      </c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8"/>
      <c r="BI45" s="70">
        <v>1</v>
      </c>
      <c r="BJ45" s="71"/>
      <c r="BK45" s="71"/>
      <c r="BL45" s="72"/>
      <c r="BM45" s="70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2"/>
      <c r="CO45" s="78"/>
      <c r="CP45" s="78"/>
      <c r="CQ45" s="78"/>
    </row>
    <row r="46" s="48" customFormat="1" ht="22.5" customHeight="1" spans="1:95">
      <c r="A46" s="50"/>
      <c r="B46" s="50"/>
      <c r="C46" s="54">
        <v>115</v>
      </c>
      <c r="D46" s="55"/>
      <c r="E46" s="55"/>
      <c r="F46" s="55"/>
      <c r="G46" s="56"/>
      <c r="H46" s="57" t="str">
        <f>IFERROR(VLOOKUP(C46,コードグループ一覧!$C$5:$U$37,6,FALSE),"")</f>
        <v>アクション区分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60"/>
      <c r="V46" s="58">
        <v>2</v>
      </c>
      <c r="W46" s="58"/>
      <c r="X46" s="58"/>
      <c r="Y46" s="58"/>
      <c r="Z46" s="58"/>
      <c r="AA46" s="58"/>
      <c r="AB46" s="58"/>
      <c r="AC46" s="63" t="s">
        <v>101</v>
      </c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8"/>
      <c r="AS46" s="63">
        <v>1</v>
      </c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8"/>
      <c r="BI46" s="70">
        <v>2</v>
      </c>
      <c r="BJ46" s="71"/>
      <c r="BK46" s="71"/>
      <c r="BL46" s="72"/>
      <c r="BM46" s="70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2"/>
      <c r="CO46" s="78"/>
      <c r="CP46" s="78"/>
      <c r="CQ46" s="78"/>
    </row>
    <row r="47" s="48" customFormat="1" ht="22.5" customHeight="1" spans="1:95">
      <c r="A47" s="50"/>
      <c r="B47" s="50"/>
      <c r="C47" s="54">
        <v>115</v>
      </c>
      <c r="D47" s="55"/>
      <c r="E47" s="55"/>
      <c r="F47" s="55"/>
      <c r="G47" s="56"/>
      <c r="H47" s="57" t="str">
        <f>IFERROR(VLOOKUP(C47,コードグループ一覧!$C$5:$U$37,6,FALSE),"")</f>
        <v>アクション区分</v>
      </c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60"/>
      <c r="V47" s="58">
        <v>3</v>
      </c>
      <c r="W47" s="58"/>
      <c r="X47" s="58"/>
      <c r="Y47" s="58"/>
      <c r="Z47" s="58"/>
      <c r="AA47" s="58"/>
      <c r="AB47" s="58"/>
      <c r="AC47" s="63" t="s">
        <v>102</v>
      </c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8"/>
      <c r="AS47" s="63">
        <v>1</v>
      </c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8"/>
      <c r="BI47" s="70">
        <v>3</v>
      </c>
      <c r="BJ47" s="71"/>
      <c r="BK47" s="71"/>
      <c r="BL47" s="72"/>
      <c r="BM47" s="70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2"/>
      <c r="CO47" s="78"/>
      <c r="CP47" s="78"/>
      <c r="CQ47" s="78"/>
    </row>
    <row r="48" s="48" customFormat="1" ht="22.5" customHeight="1" spans="1:95">
      <c r="A48" s="50"/>
      <c r="B48" s="50"/>
      <c r="C48" s="54">
        <v>115</v>
      </c>
      <c r="D48" s="55"/>
      <c r="E48" s="55"/>
      <c r="F48" s="55"/>
      <c r="G48" s="56"/>
      <c r="H48" s="57" t="str">
        <f>IFERROR(VLOOKUP(C48,コードグループ一覧!$C$5:$U$37,6,FALSE),"")</f>
        <v>アクション区分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60"/>
      <c r="V48" s="58">
        <v>4</v>
      </c>
      <c r="W48" s="58"/>
      <c r="X48" s="58"/>
      <c r="Y48" s="58"/>
      <c r="Z48" s="58"/>
      <c r="AA48" s="58"/>
      <c r="AB48" s="58"/>
      <c r="AC48" s="63" t="s">
        <v>103</v>
      </c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8"/>
      <c r="AS48" s="63">
        <v>1</v>
      </c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8"/>
      <c r="BI48" s="70">
        <v>4</v>
      </c>
      <c r="BJ48" s="71"/>
      <c r="BK48" s="71"/>
      <c r="BL48" s="72"/>
      <c r="BM48" s="70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2"/>
      <c r="CO48" s="78"/>
      <c r="CP48" s="78"/>
      <c r="CQ48" s="78"/>
    </row>
    <row r="49" s="48" customFormat="1" ht="22.5" customHeight="1" spans="1:95">
      <c r="A49" s="50"/>
      <c r="B49" s="50"/>
      <c r="C49" s="54">
        <v>115</v>
      </c>
      <c r="D49" s="55"/>
      <c r="E49" s="55"/>
      <c r="F49" s="55"/>
      <c r="G49" s="56"/>
      <c r="H49" s="57" t="str">
        <f>IFERROR(VLOOKUP(C49,コードグループ一覧!$C$5:$U$37,6,FALSE),"")</f>
        <v>アクション区分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60"/>
      <c r="V49" s="58">
        <v>5</v>
      </c>
      <c r="W49" s="58"/>
      <c r="X49" s="58"/>
      <c r="Y49" s="58"/>
      <c r="Z49" s="58"/>
      <c r="AA49" s="58"/>
      <c r="AB49" s="58"/>
      <c r="AC49" s="63" t="s">
        <v>104</v>
      </c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8"/>
      <c r="AS49" s="63">
        <v>1</v>
      </c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8"/>
      <c r="BI49" s="70">
        <v>5</v>
      </c>
      <c r="BJ49" s="71"/>
      <c r="BK49" s="71"/>
      <c r="BL49" s="72"/>
      <c r="BM49" s="70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2"/>
      <c r="CO49" s="78"/>
      <c r="CP49" s="78"/>
      <c r="CQ49" s="78"/>
    </row>
    <row r="50" s="48" customFormat="1" ht="22.5" customHeight="1" spans="1:95">
      <c r="A50" s="50"/>
      <c r="B50" s="50"/>
      <c r="C50" s="54">
        <v>115</v>
      </c>
      <c r="D50" s="55"/>
      <c r="E50" s="55"/>
      <c r="F50" s="55"/>
      <c r="G50" s="56"/>
      <c r="H50" s="57" t="str">
        <f>IFERROR(VLOOKUP(C50,コードグループ一覧!$C$5:$U$37,6,FALSE),"")</f>
        <v>アクション区分</v>
      </c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60"/>
      <c r="V50" s="58">
        <v>6</v>
      </c>
      <c r="W50" s="58"/>
      <c r="X50" s="58"/>
      <c r="Y50" s="58"/>
      <c r="Z50" s="58"/>
      <c r="AA50" s="58"/>
      <c r="AB50" s="58"/>
      <c r="AC50" s="63" t="s">
        <v>105</v>
      </c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8"/>
      <c r="AS50" s="63">
        <v>1</v>
      </c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8"/>
      <c r="BI50" s="70">
        <v>6</v>
      </c>
      <c r="BJ50" s="71"/>
      <c r="BK50" s="71"/>
      <c r="BL50" s="72"/>
      <c r="BM50" s="70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2"/>
      <c r="CO50" s="78"/>
      <c r="CP50" s="78"/>
      <c r="CQ50" s="78"/>
    </row>
    <row r="51" s="48" customFormat="1" ht="22.5" customHeight="1" spans="1:95">
      <c r="A51" s="50"/>
      <c r="B51" s="50"/>
      <c r="C51" s="54">
        <v>115</v>
      </c>
      <c r="D51" s="55"/>
      <c r="E51" s="55"/>
      <c r="F51" s="55"/>
      <c r="G51" s="56"/>
      <c r="H51" s="57" t="str">
        <f>IFERROR(VLOOKUP(C51,コードグループ一覧!$C$5:$U$37,6,FALSE),"")</f>
        <v>アクション区分</v>
      </c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60"/>
      <c r="V51" s="58">
        <v>7</v>
      </c>
      <c r="W51" s="58"/>
      <c r="X51" s="58"/>
      <c r="Y51" s="58"/>
      <c r="Z51" s="58"/>
      <c r="AA51" s="58"/>
      <c r="AB51" s="58"/>
      <c r="AC51" s="63" t="s">
        <v>106</v>
      </c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8"/>
      <c r="AS51" s="63">
        <v>1</v>
      </c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8"/>
      <c r="BI51" s="70">
        <v>7</v>
      </c>
      <c r="BJ51" s="71"/>
      <c r="BK51" s="71"/>
      <c r="BL51" s="72"/>
      <c r="BM51" s="70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2"/>
      <c r="CO51" s="78"/>
      <c r="CP51" s="78"/>
      <c r="CQ51" s="78"/>
    </row>
    <row r="52" s="48" customFormat="1" ht="22.5" customHeight="1" spans="1:95">
      <c r="A52" s="50"/>
      <c r="B52" s="50"/>
      <c r="C52" s="54">
        <v>115</v>
      </c>
      <c r="D52" s="55"/>
      <c r="E52" s="55"/>
      <c r="F52" s="55"/>
      <c r="G52" s="56"/>
      <c r="H52" s="57" t="str">
        <f>IFERROR(VLOOKUP(C52,コードグループ一覧!$C$5:$U$37,6,FALSE),"")</f>
        <v>アクション区分</v>
      </c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60"/>
      <c r="V52" s="58">
        <v>8</v>
      </c>
      <c r="W52" s="58"/>
      <c r="X52" s="58"/>
      <c r="Y52" s="58"/>
      <c r="Z52" s="58"/>
      <c r="AA52" s="58"/>
      <c r="AB52" s="58"/>
      <c r="AC52" s="63" t="s">
        <v>107</v>
      </c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8"/>
      <c r="AS52" s="63">
        <v>1</v>
      </c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8"/>
      <c r="BI52" s="70">
        <v>8</v>
      </c>
      <c r="BJ52" s="71"/>
      <c r="BK52" s="71"/>
      <c r="BL52" s="72"/>
      <c r="BM52" s="70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2"/>
      <c r="CO52" s="78"/>
      <c r="CP52" s="78"/>
      <c r="CQ52" s="78"/>
    </row>
    <row r="53" s="48" customFormat="1" ht="22.5" customHeight="1" spans="1:95">
      <c r="A53" s="50"/>
      <c r="B53" s="50"/>
      <c r="C53" s="54">
        <v>115</v>
      </c>
      <c r="D53" s="55"/>
      <c r="E53" s="55"/>
      <c r="F53" s="55"/>
      <c r="G53" s="56"/>
      <c r="H53" s="57" t="str">
        <f>IFERROR(VLOOKUP(C53,コードグループ一覧!$C$5:$U$37,6,FALSE),"")</f>
        <v>アクション区分</v>
      </c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60"/>
      <c r="V53" s="58">
        <v>9</v>
      </c>
      <c r="W53" s="58"/>
      <c r="X53" s="58"/>
      <c r="Y53" s="58"/>
      <c r="Z53" s="58"/>
      <c r="AA53" s="58"/>
      <c r="AB53" s="58"/>
      <c r="AC53" s="63" t="s">
        <v>108</v>
      </c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8"/>
      <c r="AS53" s="63">
        <v>1</v>
      </c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8"/>
      <c r="BI53" s="70">
        <v>9</v>
      </c>
      <c r="BJ53" s="71"/>
      <c r="BK53" s="71"/>
      <c r="BL53" s="72"/>
      <c r="BM53" s="70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2"/>
      <c r="CO53" s="78"/>
      <c r="CP53" s="78"/>
      <c r="CQ53" s="78"/>
    </row>
    <row r="54" s="48" customFormat="1" ht="22.5" customHeight="1" spans="1:95">
      <c r="A54" s="50"/>
      <c r="B54" s="50"/>
      <c r="C54" s="54">
        <v>115</v>
      </c>
      <c r="D54" s="55"/>
      <c r="E54" s="55"/>
      <c r="F54" s="55"/>
      <c r="G54" s="56"/>
      <c r="H54" s="57" t="str">
        <f>IFERROR(VLOOKUP(C54,コードグループ一覧!$C$5:$U$37,6,FALSE),"")</f>
        <v>アクション区分</v>
      </c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60"/>
      <c r="V54" s="58">
        <v>10</v>
      </c>
      <c r="W54" s="58"/>
      <c r="X54" s="58"/>
      <c r="Y54" s="58"/>
      <c r="Z54" s="58"/>
      <c r="AA54" s="58"/>
      <c r="AB54" s="58"/>
      <c r="AC54" s="63" t="s">
        <v>109</v>
      </c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8"/>
      <c r="AS54" s="63">
        <v>1</v>
      </c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8"/>
      <c r="BI54" s="70">
        <v>10</v>
      </c>
      <c r="BJ54" s="71"/>
      <c r="BK54" s="71"/>
      <c r="BL54" s="72"/>
      <c r="BM54" s="70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2"/>
      <c r="CO54" s="78"/>
      <c r="CP54" s="78"/>
      <c r="CQ54" s="78"/>
    </row>
    <row r="55" s="48" customFormat="1" ht="22.5" customHeight="1" spans="1:95">
      <c r="A55" s="50"/>
      <c r="B55" s="50"/>
      <c r="C55" s="54">
        <v>115</v>
      </c>
      <c r="D55" s="55"/>
      <c r="E55" s="55"/>
      <c r="F55" s="55"/>
      <c r="G55" s="56"/>
      <c r="H55" s="57" t="str">
        <f>IFERROR(VLOOKUP(C55,コードグループ一覧!$C$5:$U$37,6,FALSE),"")</f>
        <v>アクション区分</v>
      </c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60"/>
      <c r="V55" s="58">
        <v>11</v>
      </c>
      <c r="W55" s="58"/>
      <c r="X55" s="58"/>
      <c r="Y55" s="58"/>
      <c r="Z55" s="58"/>
      <c r="AA55" s="58"/>
      <c r="AB55" s="58"/>
      <c r="AC55" s="63" t="s">
        <v>110</v>
      </c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8"/>
      <c r="AS55" s="63">
        <v>1</v>
      </c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8"/>
      <c r="BI55" s="70">
        <v>11</v>
      </c>
      <c r="BJ55" s="71"/>
      <c r="BK55" s="71"/>
      <c r="BL55" s="72"/>
      <c r="BM55" s="70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2"/>
      <c r="CO55" s="78"/>
      <c r="CP55" s="78"/>
      <c r="CQ55" s="78"/>
    </row>
    <row r="56" s="48" customFormat="1" ht="22.5" customHeight="1" spans="1:95">
      <c r="A56" s="50"/>
      <c r="B56" s="50"/>
      <c r="C56" s="54">
        <v>115</v>
      </c>
      <c r="D56" s="55"/>
      <c r="E56" s="55"/>
      <c r="F56" s="55"/>
      <c r="G56" s="56"/>
      <c r="H56" s="57" t="str">
        <f>IFERROR(VLOOKUP(C56,コードグループ一覧!$C$5:$U$37,6,FALSE),"")</f>
        <v>アクション区分</v>
      </c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60"/>
      <c r="V56" s="58">
        <v>12</v>
      </c>
      <c r="W56" s="58"/>
      <c r="X56" s="58"/>
      <c r="Y56" s="58"/>
      <c r="Z56" s="58"/>
      <c r="AA56" s="58"/>
      <c r="AB56" s="58"/>
      <c r="AC56" s="63" t="s">
        <v>111</v>
      </c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8"/>
      <c r="AS56" s="63">
        <v>1</v>
      </c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8"/>
      <c r="BI56" s="70">
        <v>12</v>
      </c>
      <c r="BJ56" s="71"/>
      <c r="BK56" s="71"/>
      <c r="BL56" s="72"/>
      <c r="BM56" s="70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2"/>
      <c r="CO56" s="78"/>
      <c r="CP56" s="78"/>
      <c r="CQ56" s="78"/>
    </row>
    <row r="57" s="48" customFormat="1" ht="22.5" customHeight="1" spans="1:95">
      <c r="A57" s="50"/>
      <c r="B57" s="50"/>
      <c r="C57" s="54">
        <v>115</v>
      </c>
      <c r="D57" s="55"/>
      <c r="E57" s="55"/>
      <c r="F57" s="55"/>
      <c r="G57" s="56"/>
      <c r="H57" s="57" t="str">
        <f>IFERROR(VLOOKUP(C57,コードグループ一覧!$C$5:$U$37,6,FALSE),"")</f>
        <v>アクション区分</v>
      </c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60"/>
      <c r="V57" s="58">
        <v>13</v>
      </c>
      <c r="W57" s="58"/>
      <c r="X57" s="58"/>
      <c r="Y57" s="58"/>
      <c r="Z57" s="58"/>
      <c r="AA57" s="58"/>
      <c r="AB57" s="58"/>
      <c r="AC57" s="63" t="s">
        <v>50</v>
      </c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8"/>
      <c r="AS57" s="63">
        <v>1</v>
      </c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8"/>
      <c r="BI57" s="70">
        <v>13</v>
      </c>
      <c r="BJ57" s="71"/>
      <c r="BK57" s="71"/>
      <c r="BL57" s="72"/>
      <c r="BM57" s="70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2"/>
      <c r="CO57" s="78"/>
      <c r="CP57" s="78"/>
      <c r="CQ57" s="78"/>
    </row>
    <row r="58" s="48" customFormat="1" ht="22.5" customHeight="1" spans="1:95">
      <c r="A58" s="50"/>
      <c r="B58" s="50"/>
      <c r="C58" s="54">
        <v>115</v>
      </c>
      <c r="D58" s="55"/>
      <c r="E58" s="55"/>
      <c r="F58" s="55"/>
      <c r="G58" s="56"/>
      <c r="H58" s="57" t="str">
        <f>IFERROR(VLOOKUP(C58,コードグループ一覧!$C$5:$U$37,6,FALSE),"")</f>
        <v>アクション区分</v>
      </c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60"/>
      <c r="V58" s="58">
        <v>14</v>
      </c>
      <c r="W58" s="58"/>
      <c r="X58" s="58"/>
      <c r="Y58" s="58"/>
      <c r="Z58" s="58"/>
      <c r="AA58" s="58"/>
      <c r="AB58" s="58"/>
      <c r="AC58" s="63" t="s">
        <v>112</v>
      </c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8"/>
      <c r="AS58" s="63">
        <v>1</v>
      </c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8"/>
      <c r="BI58" s="70">
        <v>14</v>
      </c>
      <c r="BJ58" s="71"/>
      <c r="BK58" s="71"/>
      <c r="BL58" s="72"/>
      <c r="BM58" s="70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2"/>
      <c r="CO58" s="78"/>
      <c r="CP58" s="78"/>
      <c r="CQ58" s="78"/>
    </row>
    <row r="59" s="48" customFormat="1" ht="22.5" customHeight="1" spans="1:95">
      <c r="A59" s="50"/>
      <c r="B59" s="50"/>
      <c r="C59" s="54">
        <v>116</v>
      </c>
      <c r="D59" s="55"/>
      <c r="E59" s="55"/>
      <c r="F59" s="55"/>
      <c r="G59" s="56"/>
      <c r="H59" s="57" t="str">
        <f>IFERROR(VLOOKUP(C59,コードグループ一覧!$C$5:$U$37,6,FALSE),"")</f>
        <v>ログレベル</v>
      </c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60"/>
      <c r="V59" s="58" t="s">
        <v>113</v>
      </c>
      <c r="W59" s="58"/>
      <c r="X59" s="58"/>
      <c r="Y59" s="58"/>
      <c r="Z59" s="58"/>
      <c r="AA59" s="58"/>
      <c r="AB59" s="58"/>
      <c r="AC59" s="63" t="s">
        <v>114</v>
      </c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8"/>
      <c r="AS59" s="63">
        <v>255</v>
      </c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8"/>
      <c r="BI59" s="70">
        <v>1</v>
      </c>
      <c r="BJ59" s="71"/>
      <c r="BK59" s="71"/>
      <c r="BL59" s="72"/>
      <c r="BM59" s="70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2"/>
      <c r="CO59" s="78"/>
      <c r="CP59" s="78"/>
      <c r="CQ59" s="78"/>
    </row>
    <row r="60" s="48" customFormat="1" ht="22.5" customHeight="1" spans="1:95">
      <c r="A60" s="50"/>
      <c r="B60" s="50"/>
      <c r="C60" s="54">
        <v>116</v>
      </c>
      <c r="D60" s="55"/>
      <c r="E60" s="55"/>
      <c r="F60" s="55"/>
      <c r="G60" s="56"/>
      <c r="H60" s="57" t="str">
        <f>IFERROR(VLOOKUP(C60,コードグループ一覧!$C$5:$U$37,6,FALSE),"")</f>
        <v>ログレベル</v>
      </c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60"/>
      <c r="V60" s="58" t="s">
        <v>115</v>
      </c>
      <c r="W60" s="58"/>
      <c r="X60" s="58"/>
      <c r="Y60" s="58"/>
      <c r="Z60" s="58"/>
      <c r="AA60" s="58"/>
      <c r="AB60" s="58"/>
      <c r="AC60" s="63" t="s">
        <v>116</v>
      </c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8"/>
      <c r="AS60" s="63">
        <v>255</v>
      </c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8"/>
      <c r="BI60" s="70">
        <v>2</v>
      </c>
      <c r="BJ60" s="71"/>
      <c r="BK60" s="71"/>
      <c r="BL60" s="72"/>
      <c r="BM60" s="70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2"/>
      <c r="CO60" s="78"/>
      <c r="CP60" s="78"/>
      <c r="CQ60" s="78"/>
    </row>
    <row r="61" s="48" customFormat="1" ht="22.5" customHeight="1" spans="1:95">
      <c r="A61" s="50"/>
      <c r="B61" s="50"/>
      <c r="C61" s="54">
        <v>116</v>
      </c>
      <c r="D61" s="55"/>
      <c r="E61" s="55"/>
      <c r="F61" s="55"/>
      <c r="G61" s="56"/>
      <c r="H61" s="57" t="str">
        <f>IFERROR(VLOOKUP(C61,コードグループ一覧!$C$5:$U$37,6,FALSE),"")</f>
        <v>ログレベル</v>
      </c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60"/>
      <c r="V61" s="58" t="s">
        <v>117</v>
      </c>
      <c r="W61" s="58"/>
      <c r="X61" s="58"/>
      <c r="Y61" s="58"/>
      <c r="Z61" s="58"/>
      <c r="AA61" s="58"/>
      <c r="AB61" s="58"/>
      <c r="AC61" s="63" t="s">
        <v>118</v>
      </c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8"/>
      <c r="AS61" s="63">
        <v>255</v>
      </c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8"/>
      <c r="BI61" s="70">
        <v>3</v>
      </c>
      <c r="BJ61" s="71"/>
      <c r="BK61" s="71"/>
      <c r="BL61" s="72"/>
      <c r="BM61" s="70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2"/>
      <c r="CO61" s="78"/>
      <c r="CP61" s="78"/>
      <c r="CQ61" s="78"/>
    </row>
    <row r="62" s="48" customFormat="1" ht="22.5" customHeight="1" spans="1:95">
      <c r="A62" s="50"/>
      <c r="B62" s="50"/>
      <c r="C62" s="54">
        <v>117</v>
      </c>
      <c r="D62" s="55"/>
      <c r="E62" s="55"/>
      <c r="F62" s="55"/>
      <c r="G62" s="56"/>
      <c r="H62" s="57" t="str">
        <f>IFERROR(VLOOKUP(C62,コードグループ一覧!$C$5:$U$37,6,FALSE),"")</f>
        <v>入荷状態</v>
      </c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60"/>
      <c r="V62" s="58">
        <v>1</v>
      </c>
      <c r="W62" s="58"/>
      <c r="X62" s="58"/>
      <c r="Y62" s="58"/>
      <c r="Z62" s="58"/>
      <c r="AA62" s="58"/>
      <c r="AB62" s="58"/>
      <c r="AC62" s="63" t="s">
        <v>119</v>
      </c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8"/>
      <c r="AS62" s="63">
        <v>1</v>
      </c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8"/>
      <c r="BI62" s="70">
        <v>1</v>
      </c>
      <c r="BJ62" s="71"/>
      <c r="BK62" s="71"/>
      <c r="BL62" s="72"/>
      <c r="BM62" s="70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2"/>
      <c r="CO62" s="78"/>
      <c r="CP62" s="78"/>
      <c r="CQ62" s="78"/>
    </row>
    <row r="63" s="48" customFormat="1" ht="22.5" customHeight="1" spans="1:95">
      <c r="A63" s="50"/>
      <c r="B63" s="50"/>
      <c r="C63" s="54">
        <v>117</v>
      </c>
      <c r="D63" s="55"/>
      <c r="E63" s="55"/>
      <c r="F63" s="55"/>
      <c r="G63" s="56"/>
      <c r="H63" s="57" t="str">
        <f>IFERROR(VLOOKUP(C63,コードグループ一覧!$C$5:$U$37,6,FALSE),"")</f>
        <v>入荷状態</v>
      </c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60"/>
      <c r="V63" s="58">
        <v>2</v>
      </c>
      <c r="W63" s="58"/>
      <c r="X63" s="58"/>
      <c r="Y63" s="58"/>
      <c r="Z63" s="58"/>
      <c r="AA63" s="58"/>
      <c r="AB63" s="58"/>
      <c r="AC63" s="63" t="s">
        <v>120</v>
      </c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8"/>
      <c r="AS63" s="63">
        <v>1</v>
      </c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8"/>
      <c r="BI63" s="70">
        <v>2</v>
      </c>
      <c r="BJ63" s="71"/>
      <c r="BK63" s="71"/>
      <c r="BL63" s="72"/>
      <c r="BM63" s="70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2"/>
      <c r="CO63" s="78"/>
      <c r="CP63" s="78"/>
      <c r="CQ63" s="78"/>
    </row>
    <row r="64" s="48" customFormat="1" ht="22.5" customHeight="1" spans="1:95">
      <c r="A64" s="50"/>
      <c r="B64" s="50"/>
      <c r="C64" s="54">
        <v>117</v>
      </c>
      <c r="D64" s="55"/>
      <c r="E64" s="55"/>
      <c r="F64" s="55"/>
      <c r="G64" s="56"/>
      <c r="H64" s="57" t="str">
        <f>IFERROR(VLOOKUP(C64,コードグループ一覧!$C$5:$U$37,6,FALSE),"")</f>
        <v>入荷状態</v>
      </c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60"/>
      <c r="V64" s="58">
        <v>3</v>
      </c>
      <c r="W64" s="58"/>
      <c r="X64" s="58"/>
      <c r="Y64" s="58"/>
      <c r="Z64" s="58"/>
      <c r="AA64" s="58"/>
      <c r="AB64" s="58"/>
      <c r="AC64" s="63" t="s">
        <v>121</v>
      </c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8"/>
      <c r="AS64" s="63">
        <v>1</v>
      </c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8"/>
      <c r="BI64" s="70">
        <v>3</v>
      </c>
      <c r="BJ64" s="71"/>
      <c r="BK64" s="71"/>
      <c r="BL64" s="72"/>
      <c r="BM64" s="70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2"/>
      <c r="CO64" s="78"/>
      <c r="CP64" s="78"/>
      <c r="CQ64" s="78"/>
    </row>
    <row r="65" s="48" customFormat="1" ht="22.5" customHeight="1" spans="1:95">
      <c r="A65" s="50"/>
      <c r="B65" s="50"/>
      <c r="C65" s="54">
        <v>117</v>
      </c>
      <c r="D65" s="55"/>
      <c r="E65" s="55"/>
      <c r="F65" s="55"/>
      <c r="G65" s="56"/>
      <c r="H65" s="57" t="str">
        <f>IFERROR(VLOOKUP(C65,コードグループ一覧!$C$5:$U$37,6,FALSE),"")</f>
        <v>入荷状態</v>
      </c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60"/>
      <c r="V65" s="58">
        <v>4</v>
      </c>
      <c r="W65" s="58"/>
      <c r="X65" s="58"/>
      <c r="Y65" s="58"/>
      <c r="Z65" s="58"/>
      <c r="AA65" s="58"/>
      <c r="AB65" s="58"/>
      <c r="AC65" s="63" t="s">
        <v>122</v>
      </c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8"/>
      <c r="AS65" s="63">
        <v>1</v>
      </c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8"/>
      <c r="BI65" s="70">
        <v>4</v>
      </c>
      <c r="BJ65" s="71"/>
      <c r="BK65" s="71"/>
      <c r="BL65" s="72"/>
      <c r="BM65" s="70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2"/>
      <c r="CO65" s="78"/>
      <c r="CP65" s="78"/>
      <c r="CQ65" s="78"/>
    </row>
    <row r="66" s="48" customFormat="1" ht="22.5" customHeight="1" spans="1:95">
      <c r="A66" s="50"/>
      <c r="B66" s="50"/>
      <c r="C66" s="54">
        <v>117</v>
      </c>
      <c r="D66" s="55"/>
      <c r="E66" s="55"/>
      <c r="F66" s="55"/>
      <c r="G66" s="56"/>
      <c r="H66" s="57" t="str">
        <f>IFERROR(VLOOKUP(C66,コードグループ一覧!$C$5:$U$37,6,FALSE),"")</f>
        <v>入荷状態</v>
      </c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60"/>
      <c r="V66" s="58">
        <v>5</v>
      </c>
      <c r="W66" s="58"/>
      <c r="X66" s="58"/>
      <c r="Y66" s="58"/>
      <c r="Z66" s="58"/>
      <c r="AA66" s="58"/>
      <c r="AB66" s="58"/>
      <c r="AC66" s="63" t="s">
        <v>123</v>
      </c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8"/>
      <c r="AS66" s="63">
        <v>1</v>
      </c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8"/>
      <c r="BI66" s="70">
        <v>5</v>
      </c>
      <c r="BJ66" s="71"/>
      <c r="BK66" s="71"/>
      <c r="BL66" s="72"/>
      <c r="BM66" s="70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2"/>
      <c r="CO66" s="78"/>
      <c r="CP66" s="78"/>
      <c r="CQ66" s="78"/>
    </row>
    <row r="67" s="48" customFormat="1" ht="22.5" customHeight="1" spans="1:95">
      <c r="A67" s="50"/>
      <c r="B67" s="50"/>
      <c r="C67" s="54">
        <v>118</v>
      </c>
      <c r="D67" s="55"/>
      <c r="E67" s="55"/>
      <c r="F67" s="55"/>
      <c r="G67" s="56"/>
      <c r="H67" s="57" t="str">
        <f>IFERROR(VLOOKUP(C67,コードグループ一覧!$C$5:$U$37,6,FALSE),"")</f>
        <v>連携済</v>
      </c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60"/>
      <c r="V67" s="58">
        <v>1</v>
      </c>
      <c r="W67" s="58"/>
      <c r="X67" s="58"/>
      <c r="Y67" s="58"/>
      <c r="Z67" s="58"/>
      <c r="AA67" s="58"/>
      <c r="AB67" s="58"/>
      <c r="AC67" s="63" t="s">
        <v>124</v>
      </c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8"/>
      <c r="AS67" s="63">
        <v>1</v>
      </c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8"/>
      <c r="BI67" s="70">
        <v>1</v>
      </c>
      <c r="BJ67" s="71"/>
      <c r="BK67" s="71"/>
      <c r="BL67" s="72"/>
      <c r="BM67" s="70" t="s">
        <v>42</v>
      </c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2"/>
      <c r="CO67" s="78"/>
      <c r="CP67" s="78"/>
      <c r="CQ67" s="78"/>
    </row>
    <row r="68" s="48" customFormat="1" ht="22.5" customHeight="1" spans="1:95">
      <c r="A68" s="50"/>
      <c r="B68" s="50"/>
      <c r="C68" s="54">
        <v>118</v>
      </c>
      <c r="D68" s="55"/>
      <c r="E68" s="55"/>
      <c r="F68" s="55"/>
      <c r="G68" s="56"/>
      <c r="H68" s="57" t="str">
        <f>IFERROR(VLOOKUP(C68,コードグループ一覧!$C$5:$U$37,6,FALSE),"")</f>
        <v>連携済</v>
      </c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60"/>
      <c r="V68" s="58">
        <v>2</v>
      </c>
      <c r="W68" s="58"/>
      <c r="X68" s="58"/>
      <c r="Y68" s="58"/>
      <c r="Z68" s="58"/>
      <c r="AA68" s="58"/>
      <c r="AB68" s="58"/>
      <c r="AC68" s="63" t="s">
        <v>125</v>
      </c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8"/>
      <c r="AS68" s="63">
        <v>1</v>
      </c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8"/>
      <c r="BI68" s="70">
        <v>2</v>
      </c>
      <c r="BJ68" s="71"/>
      <c r="BK68" s="71"/>
      <c r="BL68" s="72"/>
      <c r="BM68" s="70" t="s">
        <v>126</v>
      </c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2"/>
      <c r="CO68" s="78"/>
      <c r="CP68" s="78"/>
      <c r="CQ68" s="78"/>
    </row>
    <row r="69" s="48" customFormat="1" ht="22.5" customHeight="1" spans="1:95">
      <c r="A69" s="50"/>
      <c r="B69" s="50"/>
      <c r="C69" s="54">
        <v>119</v>
      </c>
      <c r="D69" s="55"/>
      <c r="E69" s="55"/>
      <c r="F69" s="55"/>
      <c r="G69" s="56"/>
      <c r="H69" s="57" t="str">
        <f>IFERROR(VLOOKUP(C69,コードグループ一覧!$C$5:$U$37,6,FALSE),"")</f>
        <v>取込エラーフラグ</v>
      </c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60"/>
      <c r="V69" s="58">
        <v>1</v>
      </c>
      <c r="W69" s="58"/>
      <c r="X69" s="58"/>
      <c r="Y69" s="58"/>
      <c r="Z69" s="58"/>
      <c r="AA69" s="58"/>
      <c r="AB69" s="58"/>
      <c r="AC69" s="63" t="s">
        <v>127</v>
      </c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8"/>
      <c r="AS69" s="63">
        <v>1</v>
      </c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8"/>
      <c r="BI69" s="70">
        <v>1</v>
      </c>
      <c r="BJ69" s="71"/>
      <c r="BK69" s="71"/>
      <c r="BL69" s="72"/>
      <c r="BM69" s="70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2"/>
      <c r="CO69" s="78"/>
      <c r="CP69" s="78"/>
      <c r="CQ69" s="78"/>
    </row>
    <row r="70" s="48" customFormat="1" ht="22.5" customHeight="1" spans="1:95">
      <c r="A70" s="50"/>
      <c r="B70" s="50"/>
      <c r="C70" s="54">
        <v>119</v>
      </c>
      <c r="D70" s="55"/>
      <c r="E70" s="55"/>
      <c r="F70" s="55"/>
      <c r="G70" s="56"/>
      <c r="H70" s="57" t="str">
        <f>IFERROR(VLOOKUP(C70,コードグループ一覧!$C$5:$U$37,6,FALSE),"")</f>
        <v>取込エラーフラグ</v>
      </c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60"/>
      <c r="V70" s="58">
        <v>2</v>
      </c>
      <c r="W70" s="58"/>
      <c r="X70" s="58"/>
      <c r="Y70" s="58"/>
      <c r="Z70" s="58"/>
      <c r="AA70" s="58"/>
      <c r="AB70" s="58"/>
      <c r="AC70" s="63" t="s">
        <v>128</v>
      </c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8"/>
      <c r="AS70" s="63">
        <v>1</v>
      </c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8"/>
      <c r="BI70" s="70">
        <v>2</v>
      </c>
      <c r="BJ70" s="71"/>
      <c r="BK70" s="71"/>
      <c r="BL70" s="72"/>
      <c r="BM70" s="70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2"/>
      <c r="CO70" s="78"/>
      <c r="CP70" s="78"/>
      <c r="CQ70" s="78"/>
    </row>
    <row r="71" s="48" customFormat="1" ht="22.5" customHeight="1" spans="1:95">
      <c r="A71" s="50"/>
      <c r="B71" s="50"/>
      <c r="C71" s="54">
        <v>119</v>
      </c>
      <c r="D71" s="55"/>
      <c r="E71" s="55"/>
      <c r="F71" s="55"/>
      <c r="G71" s="56"/>
      <c r="H71" s="57" t="str">
        <f>IFERROR(VLOOKUP(C71,コードグループ一覧!$C$5:$U$37,6,FALSE),"")</f>
        <v>取込エラーフラグ</v>
      </c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60"/>
      <c r="V71" s="58">
        <v>3</v>
      </c>
      <c r="W71" s="58"/>
      <c r="X71" s="58"/>
      <c r="Y71" s="58"/>
      <c r="Z71" s="58"/>
      <c r="AA71" s="58"/>
      <c r="AB71" s="58"/>
      <c r="AC71" s="63" t="s">
        <v>129</v>
      </c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8"/>
      <c r="AS71" s="63">
        <v>1</v>
      </c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8"/>
      <c r="BI71" s="70">
        <v>3</v>
      </c>
      <c r="BJ71" s="71"/>
      <c r="BK71" s="71"/>
      <c r="BL71" s="72"/>
      <c r="BM71" s="70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2"/>
      <c r="CO71" s="78"/>
      <c r="CP71" s="78"/>
      <c r="CQ71" s="78"/>
    </row>
    <row r="72" s="48" customFormat="1" ht="22.5" customHeight="1" spans="1:95">
      <c r="A72" s="50"/>
      <c r="B72" s="50"/>
      <c r="C72" s="54">
        <v>119</v>
      </c>
      <c r="D72" s="55"/>
      <c r="E72" s="55"/>
      <c r="F72" s="55"/>
      <c r="G72" s="56"/>
      <c r="H72" s="57" t="str">
        <f>IFERROR(VLOOKUP(C72,コードグループ一覧!$C$5:$U$37,6,FALSE),"")</f>
        <v>取込エラーフラグ</v>
      </c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60"/>
      <c r="V72" s="58">
        <v>4</v>
      </c>
      <c r="W72" s="58"/>
      <c r="X72" s="58"/>
      <c r="Y72" s="58"/>
      <c r="Z72" s="58"/>
      <c r="AA72" s="58"/>
      <c r="AB72" s="58"/>
      <c r="AC72" s="63" t="s">
        <v>130</v>
      </c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8"/>
      <c r="AS72" s="63">
        <v>1</v>
      </c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8"/>
      <c r="BI72" s="70">
        <v>4</v>
      </c>
      <c r="BJ72" s="71"/>
      <c r="BK72" s="71"/>
      <c r="BL72" s="72"/>
      <c r="BM72" s="70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2"/>
      <c r="CO72" s="78"/>
      <c r="CP72" s="78"/>
      <c r="CQ72" s="78"/>
    </row>
    <row r="73" s="48" customFormat="1" ht="22.5" customHeight="1" spans="1:95">
      <c r="A73" s="50"/>
      <c r="B73" s="50"/>
      <c r="C73" s="54">
        <v>119</v>
      </c>
      <c r="D73" s="55"/>
      <c r="E73" s="55"/>
      <c r="F73" s="55"/>
      <c r="G73" s="56"/>
      <c r="H73" s="57" t="str">
        <f>IFERROR(VLOOKUP(C73,コードグループ一覧!$C$5:$U$37,6,FALSE),"")</f>
        <v>取込エラーフラグ</v>
      </c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60"/>
      <c r="V73" s="58">
        <v>5</v>
      </c>
      <c r="W73" s="58"/>
      <c r="X73" s="58"/>
      <c r="Y73" s="58"/>
      <c r="Z73" s="58"/>
      <c r="AA73" s="58"/>
      <c r="AB73" s="58"/>
      <c r="AC73" s="63" t="s">
        <v>131</v>
      </c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8"/>
      <c r="AS73" s="63">
        <v>1</v>
      </c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8"/>
      <c r="BI73" s="70">
        <v>5</v>
      </c>
      <c r="BJ73" s="71"/>
      <c r="BK73" s="71"/>
      <c r="BL73" s="72"/>
      <c r="BM73" s="70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2"/>
      <c r="CO73" s="78"/>
      <c r="CP73" s="78"/>
      <c r="CQ73" s="78"/>
    </row>
    <row r="74" s="48" customFormat="1" ht="22.5" customHeight="1" spans="1:95">
      <c r="A74" s="50"/>
      <c r="B74" s="50"/>
      <c r="C74" s="54">
        <v>120</v>
      </c>
      <c r="D74" s="55"/>
      <c r="E74" s="55"/>
      <c r="F74" s="55"/>
      <c r="G74" s="56"/>
      <c r="H74" s="57" t="str">
        <f>IFERROR(VLOOKUP(C74,コードグループ一覧!$C$5:$U$37,6,FALSE),"")</f>
        <v>出荷状態</v>
      </c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60"/>
      <c r="V74" s="58">
        <v>0</v>
      </c>
      <c r="W74" s="58"/>
      <c r="X74" s="58"/>
      <c r="Y74" s="58"/>
      <c r="Z74" s="58"/>
      <c r="AA74" s="58"/>
      <c r="AB74" s="58"/>
      <c r="AC74" s="63" t="s">
        <v>132</v>
      </c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8"/>
      <c r="AS74" s="63">
        <v>1</v>
      </c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8"/>
      <c r="BI74" s="70">
        <v>1</v>
      </c>
      <c r="BJ74" s="71"/>
      <c r="BK74" s="71"/>
      <c r="BL74" s="72"/>
      <c r="BM74" s="70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2"/>
      <c r="CO74" s="78"/>
      <c r="CP74" s="78"/>
      <c r="CQ74" s="78"/>
    </row>
    <row r="75" s="48" customFormat="1" ht="22.5" customHeight="1" spans="1:95">
      <c r="A75" s="50"/>
      <c r="B75" s="50"/>
      <c r="C75" s="54">
        <v>120</v>
      </c>
      <c r="D75" s="55"/>
      <c r="E75" s="55"/>
      <c r="F75" s="55"/>
      <c r="G75" s="56"/>
      <c r="H75" s="57" t="str">
        <f>IFERROR(VLOOKUP(C75,コードグループ一覧!$C$5:$U$37,6,FALSE),"")</f>
        <v>出荷状態</v>
      </c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60"/>
      <c r="V75" s="58">
        <v>1</v>
      </c>
      <c r="W75" s="58"/>
      <c r="X75" s="58"/>
      <c r="Y75" s="58"/>
      <c r="Z75" s="58"/>
      <c r="AA75" s="58"/>
      <c r="AB75" s="58"/>
      <c r="AC75" s="63" t="s">
        <v>133</v>
      </c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8"/>
      <c r="AS75" s="63">
        <v>1</v>
      </c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8"/>
      <c r="BI75" s="70">
        <v>2</v>
      </c>
      <c r="BJ75" s="71"/>
      <c r="BK75" s="71"/>
      <c r="BL75" s="72"/>
      <c r="BM75" s="70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2"/>
      <c r="CO75" s="78"/>
      <c r="CP75" s="78"/>
      <c r="CQ75" s="78"/>
    </row>
    <row r="76" s="48" customFormat="1" ht="22.5" customHeight="1" spans="1:95">
      <c r="A76" s="50"/>
      <c r="B76" s="50"/>
      <c r="C76" s="54">
        <v>120</v>
      </c>
      <c r="D76" s="55"/>
      <c r="E76" s="55"/>
      <c r="F76" s="55"/>
      <c r="G76" s="56"/>
      <c r="H76" s="57" t="str">
        <f>IFERROR(VLOOKUP(C76,コードグループ一覧!$C$5:$U$37,6,FALSE),"")</f>
        <v>出荷状態</v>
      </c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60"/>
      <c r="V76" s="58">
        <v>2</v>
      </c>
      <c r="W76" s="58"/>
      <c r="X76" s="58"/>
      <c r="Y76" s="58"/>
      <c r="Z76" s="58"/>
      <c r="AA76" s="58"/>
      <c r="AB76" s="58"/>
      <c r="AC76" s="63" t="s">
        <v>134</v>
      </c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8"/>
      <c r="AS76" s="63">
        <v>1</v>
      </c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8"/>
      <c r="BI76" s="70">
        <v>3</v>
      </c>
      <c r="BJ76" s="71"/>
      <c r="BK76" s="71"/>
      <c r="BL76" s="72"/>
      <c r="BM76" s="70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2"/>
      <c r="CO76" s="78"/>
      <c r="CP76" s="78"/>
      <c r="CQ76" s="78"/>
    </row>
    <row r="77" s="48" customFormat="1" ht="22.5" customHeight="1" spans="1:95">
      <c r="A77" s="50"/>
      <c r="B77" s="50"/>
      <c r="C77" s="54">
        <v>120</v>
      </c>
      <c r="D77" s="55"/>
      <c r="E77" s="55"/>
      <c r="F77" s="55"/>
      <c r="G77" s="56"/>
      <c r="H77" s="57" t="str">
        <f>IFERROR(VLOOKUP(C77,コードグループ一覧!$C$5:$U$37,6,FALSE),"")</f>
        <v>出荷状態</v>
      </c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60"/>
      <c r="V77" s="58">
        <v>3</v>
      </c>
      <c r="W77" s="58"/>
      <c r="X77" s="58"/>
      <c r="Y77" s="58"/>
      <c r="Z77" s="58"/>
      <c r="AA77" s="58"/>
      <c r="AB77" s="58"/>
      <c r="AC77" s="63" t="s">
        <v>135</v>
      </c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8"/>
      <c r="AS77" s="63">
        <v>1</v>
      </c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8"/>
      <c r="BI77" s="70">
        <v>4</v>
      </c>
      <c r="BJ77" s="71"/>
      <c r="BK77" s="71"/>
      <c r="BL77" s="72"/>
      <c r="BM77" s="70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2"/>
      <c r="CO77" s="78"/>
      <c r="CP77" s="78"/>
      <c r="CQ77" s="78"/>
    </row>
    <row r="78" s="48" customFormat="1" ht="22.5" customHeight="1" spans="1:95">
      <c r="A78" s="50"/>
      <c r="B78" s="50"/>
      <c r="C78" s="54">
        <v>120</v>
      </c>
      <c r="D78" s="55"/>
      <c r="E78" s="55"/>
      <c r="F78" s="55"/>
      <c r="G78" s="56"/>
      <c r="H78" s="57" t="str">
        <f>IFERROR(VLOOKUP(C78,コードグループ一覧!$C$5:$U$37,6,FALSE),"")</f>
        <v>出荷状態</v>
      </c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60"/>
      <c r="V78" s="58">
        <v>4</v>
      </c>
      <c r="W78" s="58"/>
      <c r="X78" s="58"/>
      <c r="Y78" s="58"/>
      <c r="Z78" s="58"/>
      <c r="AA78" s="58"/>
      <c r="AB78" s="58"/>
      <c r="AC78" s="63" t="s">
        <v>119</v>
      </c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8"/>
      <c r="AS78" s="63">
        <v>1</v>
      </c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8"/>
      <c r="BI78" s="70">
        <v>5</v>
      </c>
      <c r="BJ78" s="71"/>
      <c r="BK78" s="71"/>
      <c r="BL78" s="72"/>
      <c r="BM78" s="70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2"/>
      <c r="CO78" s="78"/>
      <c r="CP78" s="78"/>
      <c r="CQ78" s="78"/>
    </row>
    <row r="79" s="48" customFormat="1" ht="22.5" customHeight="1" spans="1:95">
      <c r="A79" s="50"/>
      <c r="B79" s="50"/>
      <c r="C79" s="54">
        <v>120</v>
      </c>
      <c r="D79" s="55"/>
      <c r="E79" s="55"/>
      <c r="F79" s="55"/>
      <c r="G79" s="56"/>
      <c r="H79" s="57" t="str">
        <f>IFERROR(VLOOKUP(C79,コードグループ一覧!$C$5:$U$37,6,FALSE),"")</f>
        <v>出荷状態</v>
      </c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60"/>
      <c r="V79" s="58">
        <v>5</v>
      </c>
      <c r="W79" s="58"/>
      <c r="X79" s="58"/>
      <c r="Y79" s="58"/>
      <c r="Z79" s="58"/>
      <c r="AA79" s="58"/>
      <c r="AB79" s="58"/>
      <c r="AC79" s="63" t="s">
        <v>136</v>
      </c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8"/>
      <c r="AS79" s="63">
        <v>1</v>
      </c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8"/>
      <c r="BI79" s="70">
        <v>6</v>
      </c>
      <c r="BJ79" s="71"/>
      <c r="BK79" s="71"/>
      <c r="BL79" s="72"/>
      <c r="BM79" s="70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2"/>
      <c r="CO79" s="78"/>
      <c r="CP79" s="78"/>
      <c r="CQ79" s="78"/>
    </row>
    <row r="80" s="48" customFormat="1" ht="22.5" customHeight="1" spans="1:95">
      <c r="A80" s="50"/>
      <c r="B80" s="50"/>
      <c r="C80" s="54">
        <v>120</v>
      </c>
      <c r="D80" s="55"/>
      <c r="E80" s="55"/>
      <c r="F80" s="55"/>
      <c r="G80" s="56"/>
      <c r="H80" s="57" t="str">
        <f>IFERROR(VLOOKUP(C80,コードグループ一覧!$C$5:$U$37,6,FALSE),"")</f>
        <v>出荷状態</v>
      </c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60"/>
      <c r="V80" s="58">
        <v>6</v>
      </c>
      <c r="W80" s="58"/>
      <c r="X80" s="58"/>
      <c r="Y80" s="58"/>
      <c r="Z80" s="58"/>
      <c r="AA80" s="58"/>
      <c r="AB80" s="58"/>
      <c r="AC80" s="63" t="s">
        <v>137</v>
      </c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8"/>
      <c r="AS80" s="63">
        <v>1</v>
      </c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8"/>
      <c r="BI80" s="70">
        <v>7</v>
      </c>
      <c r="BJ80" s="71"/>
      <c r="BK80" s="71"/>
      <c r="BL80" s="72"/>
      <c r="BM80" s="70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2"/>
      <c r="CO80" s="78"/>
      <c r="CP80" s="78"/>
      <c r="CQ80" s="78"/>
    </row>
    <row r="81" s="48" customFormat="1" ht="22.5" customHeight="1" spans="1:95">
      <c r="A81" s="50"/>
      <c r="B81" s="50"/>
      <c r="C81" s="54">
        <v>120</v>
      </c>
      <c r="D81" s="55"/>
      <c r="E81" s="55"/>
      <c r="F81" s="55"/>
      <c r="G81" s="56"/>
      <c r="H81" s="57" t="str">
        <f>IFERROR(VLOOKUP(C81,コードグループ一覧!$C$5:$U$37,6,FALSE),"")</f>
        <v>出荷状態</v>
      </c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60"/>
      <c r="V81" s="58">
        <v>7</v>
      </c>
      <c r="W81" s="58"/>
      <c r="X81" s="58"/>
      <c r="Y81" s="58"/>
      <c r="Z81" s="58"/>
      <c r="AA81" s="58"/>
      <c r="AB81" s="58"/>
      <c r="AC81" s="63" t="s">
        <v>138</v>
      </c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8"/>
      <c r="AS81" s="63">
        <v>1</v>
      </c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8"/>
      <c r="BI81" s="70">
        <v>8</v>
      </c>
      <c r="BJ81" s="71"/>
      <c r="BK81" s="71"/>
      <c r="BL81" s="72"/>
      <c r="BM81" s="70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2"/>
      <c r="CO81" s="78"/>
      <c r="CP81" s="78"/>
      <c r="CQ81" s="78"/>
    </row>
    <row r="82" s="48" customFormat="1" ht="22.5" customHeight="1" spans="1:95">
      <c r="A82" s="50"/>
      <c r="B82" s="50"/>
      <c r="C82" s="54">
        <v>121</v>
      </c>
      <c r="D82" s="55"/>
      <c r="E82" s="55"/>
      <c r="F82" s="55"/>
      <c r="G82" s="56"/>
      <c r="H82" s="57" t="str">
        <f>IFERROR(VLOOKUP(C82,コードグループ一覧!$C$5:$U$37,6,FALSE),"")</f>
        <v>納品書出力</v>
      </c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60"/>
      <c r="V82" s="58">
        <v>1</v>
      </c>
      <c r="W82" s="58"/>
      <c r="X82" s="58"/>
      <c r="Y82" s="58"/>
      <c r="Z82" s="58"/>
      <c r="AA82" s="58"/>
      <c r="AB82" s="58"/>
      <c r="AC82" s="63" t="s">
        <v>139</v>
      </c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8"/>
      <c r="AS82" s="63">
        <v>1</v>
      </c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8"/>
      <c r="BI82" s="70">
        <v>1</v>
      </c>
      <c r="BJ82" s="71"/>
      <c r="BK82" s="71"/>
      <c r="BL82" s="72"/>
      <c r="BM82" s="70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2"/>
      <c r="CO82" s="78"/>
      <c r="CP82" s="78"/>
      <c r="CQ82" s="78"/>
    </row>
    <row r="83" s="48" customFormat="1" ht="22.5" customHeight="1" spans="1:95">
      <c r="A83" s="50"/>
      <c r="B83" s="50"/>
      <c r="C83" s="54">
        <v>121</v>
      </c>
      <c r="D83" s="55"/>
      <c r="E83" s="55"/>
      <c r="F83" s="55"/>
      <c r="G83" s="56"/>
      <c r="H83" s="57" t="str">
        <f>IFERROR(VLOOKUP(C83,コードグループ一覧!$C$5:$U$37,6,FALSE),"")</f>
        <v>納品書出力</v>
      </c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60"/>
      <c r="V83" s="58">
        <v>2</v>
      </c>
      <c r="W83" s="58"/>
      <c r="X83" s="58"/>
      <c r="Y83" s="58"/>
      <c r="Z83" s="58"/>
      <c r="AA83" s="58"/>
      <c r="AB83" s="58"/>
      <c r="AC83" s="63" t="s">
        <v>140</v>
      </c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8"/>
      <c r="AS83" s="63">
        <v>1</v>
      </c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8"/>
      <c r="BI83" s="70">
        <v>2</v>
      </c>
      <c r="BJ83" s="71"/>
      <c r="BK83" s="71"/>
      <c r="BL83" s="72"/>
      <c r="BM83" s="70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2"/>
      <c r="CO83" s="78"/>
      <c r="CP83" s="78"/>
      <c r="CQ83" s="78"/>
    </row>
    <row r="84" s="48" customFormat="1" ht="22.5" customHeight="1" spans="1:95">
      <c r="A84" s="50"/>
      <c r="B84" s="50"/>
      <c r="C84" s="54">
        <v>121</v>
      </c>
      <c r="D84" s="55"/>
      <c r="E84" s="55"/>
      <c r="F84" s="55"/>
      <c r="G84" s="56"/>
      <c r="H84" s="57" t="str">
        <f>IFERROR(VLOOKUP(C84,コードグループ一覧!$C$5:$U$37,6,FALSE),"")</f>
        <v>納品書出力</v>
      </c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60"/>
      <c r="V84" s="58">
        <v>3</v>
      </c>
      <c r="W84" s="58"/>
      <c r="X84" s="58"/>
      <c r="Y84" s="58"/>
      <c r="Z84" s="58"/>
      <c r="AA84" s="58"/>
      <c r="AB84" s="58"/>
      <c r="AC84" s="63" t="s">
        <v>141</v>
      </c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8"/>
      <c r="AS84" s="63">
        <v>1</v>
      </c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8"/>
      <c r="BI84" s="70">
        <v>3</v>
      </c>
      <c r="BJ84" s="71"/>
      <c r="BK84" s="71"/>
      <c r="BL84" s="72"/>
      <c r="BM84" s="70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2"/>
      <c r="CO84" s="78"/>
      <c r="CP84" s="78"/>
      <c r="CQ84" s="78"/>
    </row>
    <row r="85" s="48" customFormat="1" ht="22.5" customHeight="1" spans="1:95">
      <c r="A85" s="50"/>
      <c r="B85" s="50"/>
      <c r="C85" s="54">
        <v>122</v>
      </c>
      <c r="D85" s="55"/>
      <c r="E85" s="55"/>
      <c r="F85" s="55"/>
      <c r="G85" s="56"/>
      <c r="H85" s="57" t="str">
        <f>IFERROR(VLOOKUP(C85,コードグループ一覧!$C$5:$U$37,6,FALSE),"")</f>
        <v>引当済</v>
      </c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60"/>
      <c r="V85" s="58">
        <v>0</v>
      </c>
      <c r="W85" s="58"/>
      <c r="X85" s="58"/>
      <c r="Y85" s="58"/>
      <c r="Z85" s="58"/>
      <c r="AA85" s="58"/>
      <c r="AB85" s="58"/>
      <c r="AC85" s="63" t="s">
        <v>142</v>
      </c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8"/>
      <c r="AS85" s="63">
        <v>1</v>
      </c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8"/>
      <c r="BI85" s="70">
        <v>1</v>
      </c>
      <c r="BJ85" s="71"/>
      <c r="BK85" s="71"/>
      <c r="BL85" s="72"/>
      <c r="BM85" s="70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2"/>
      <c r="CO85" s="78"/>
      <c r="CP85" s="78"/>
      <c r="CQ85" s="78"/>
    </row>
    <row r="86" s="48" customFormat="1" ht="22.5" customHeight="1" spans="1:95">
      <c r="A86" s="50"/>
      <c r="B86" s="50"/>
      <c r="C86" s="54">
        <v>122</v>
      </c>
      <c r="D86" s="55"/>
      <c r="E86" s="55"/>
      <c r="F86" s="55"/>
      <c r="G86" s="56"/>
      <c r="H86" s="57" t="str">
        <f>IFERROR(VLOOKUP(C86,コードグループ一覧!$C$5:$U$37,6,FALSE),"")</f>
        <v>引当済</v>
      </c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60"/>
      <c r="V86" s="58">
        <v>1</v>
      </c>
      <c r="W86" s="58"/>
      <c r="X86" s="58"/>
      <c r="Y86" s="58"/>
      <c r="Z86" s="58"/>
      <c r="AA86" s="58"/>
      <c r="AB86" s="58"/>
      <c r="AC86" s="63" t="s">
        <v>47</v>
      </c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8"/>
      <c r="AS86" s="63">
        <v>1</v>
      </c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8"/>
      <c r="BI86" s="70">
        <v>2</v>
      </c>
      <c r="BJ86" s="71"/>
      <c r="BK86" s="71"/>
      <c r="BL86" s="72"/>
      <c r="BM86" s="70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2"/>
      <c r="CO86" s="78"/>
      <c r="CP86" s="78"/>
      <c r="CQ86" s="78"/>
    </row>
    <row r="87" s="48" customFormat="1" ht="22.5" customHeight="1" spans="1:95">
      <c r="A87" s="50"/>
      <c r="B87" s="50"/>
      <c r="C87" s="54">
        <v>122</v>
      </c>
      <c r="D87" s="55"/>
      <c r="E87" s="55"/>
      <c r="F87" s="55"/>
      <c r="G87" s="56"/>
      <c r="H87" s="57" t="str">
        <f>IFERROR(VLOOKUP(C87,コードグループ一覧!$C$5:$U$37,6,FALSE),"")</f>
        <v>引当済</v>
      </c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60"/>
      <c r="V87" s="58">
        <v>2</v>
      </c>
      <c r="W87" s="58"/>
      <c r="X87" s="58"/>
      <c r="Y87" s="58"/>
      <c r="Z87" s="58"/>
      <c r="AA87" s="58"/>
      <c r="AB87" s="58"/>
      <c r="AC87" s="63" t="s">
        <v>143</v>
      </c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8"/>
      <c r="AS87" s="63">
        <v>1</v>
      </c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8"/>
      <c r="BI87" s="70">
        <v>3</v>
      </c>
      <c r="BJ87" s="71"/>
      <c r="BK87" s="71"/>
      <c r="BL87" s="72"/>
      <c r="BM87" s="70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2"/>
      <c r="CO87" s="78"/>
      <c r="CP87" s="78"/>
      <c r="CQ87" s="78"/>
    </row>
    <row r="88" s="48" customFormat="1" ht="22.5" customHeight="1" spans="1:95">
      <c r="A88" s="50"/>
      <c r="B88" s="50"/>
      <c r="C88" s="54">
        <v>123</v>
      </c>
      <c r="D88" s="55"/>
      <c r="E88" s="55"/>
      <c r="F88" s="55"/>
      <c r="G88" s="56"/>
      <c r="H88" s="57" t="str">
        <f>IFERROR(VLOOKUP(C88,コードグループ一覧!$C$5:$U$37,6,FALSE),"")</f>
        <v>入/出荷予定区分</v>
      </c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60"/>
      <c r="V88" s="58">
        <v>1</v>
      </c>
      <c r="W88" s="58"/>
      <c r="X88" s="58"/>
      <c r="Y88" s="58"/>
      <c r="Z88" s="58"/>
      <c r="AA88" s="58"/>
      <c r="AB88" s="58"/>
      <c r="AC88" s="63" t="s">
        <v>144</v>
      </c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8"/>
      <c r="AS88" s="63">
        <v>1</v>
      </c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8"/>
      <c r="BI88" s="70">
        <v>1</v>
      </c>
      <c r="BJ88" s="71"/>
      <c r="BK88" s="71"/>
      <c r="BL88" s="72"/>
      <c r="BM88" s="70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2"/>
      <c r="CO88" s="78"/>
      <c r="CP88" s="78"/>
      <c r="CQ88" s="78"/>
    </row>
    <row r="89" s="48" customFormat="1" ht="22.5" customHeight="1" spans="1:95">
      <c r="A89" s="50"/>
      <c r="B89" s="50"/>
      <c r="C89" s="54">
        <v>123</v>
      </c>
      <c r="D89" s="55"/>
      <c r="E89" s="55"/>
      <c r="F89" s="55"/>
      <c r="G89" s="56"/>
      <c r="H89" s="57" t="str">
        <f>IFERROR(VLOOKUP(C89,コードグループ一覧!$C$5:$U$37,6,FALSE),"")</f>
        <v>入/出荷予定区分</v>
      </c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60"/>
      <c r="V89" s="58">
        <v>2</v>
      </c>
      <c r="W89" s="58"/>
      <c r="X89" s="58"/>
      <c r="Y89" s="58"/>
      <c r="Z89" s="58"/>
      <c r="AA89" s="58"/>
      <c r="AB89" s="58"/>
      <c r="AC89" s="63" t="s">
        <v>145</v>
      </c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8"/>
      <c r="AS89" s="63">
        <v>1</v>
      </c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8"/>
      <c r="BI89" s="70">
        <v>2</v>
      </c>
      <c r="BJ89" s="71"/>
      <c r="BK89" s="71"/>
      <c r="BL89" s="72"/>
      <c r="BM89" s="70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2"/>
      <c r="CO89" s="78"/>
      <c r="CP89" s="78"/>
      <c r="CQ89" s="78"/>
    </row>
    <row r="90" s="48" customFormat="1" ht="22.5" customHeight="1" spans="1:95">
      <c r="A90" s="50"/>
      <c r="B90" s="50"/>
      <c r="C90" s="54">
        <v>124</v>
      </c>
      <c r="D90" s="55"/>
      <c r="E90" s="55"/>
      <c r="F90" s="55"/>
      <c r="G90" s="56"/>
      <c r="H90" s="57" t="str">
        <f>IFERROR(VLOOKUP(C90,コードグループ一覧!$C$5:$U$37,6,FALSE),"")</f>
        <v>入出庫区分</v>
      </c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60"/>
      <c r="V90" s="58">
        <v>1</v>
      </c>
      <c r="W90" s="58"/>
      <c r="X90" s="58"/>
      <c r="Y90" s="58"/>
      <c r="Z90" s="58"/>
      <c r="AA90" s="58"/>
      <c r="AB90" s="58"/>
      <c r="AC90" s="63" t="s">
        <v>146</v>
      </c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8"/>
      <c r="AS90" s="63">
        <v>1</v>
      </c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8"/>
      <c r="BI90" s="70">
        <v>1</v>
      </c>
      <c r="BJ90" s="71"/>
      <c r="BK90" s="71"/>
      <c r="BL90" s="72"/>
      <c r="BM90" s="70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2"/>
      <c r="CO90" s="78"/>
      <c r="CP90" s="78"/>
      <c r="CQ90" s="78"/>
    </row>
    <row r="91" s="48" customFormat="1" ht="22.5" customHeight="1" spans="1:95">
      <c r="A91" s="50"/>
      <c r="B91" s="50"/>
      <c r="C91" s="54">
        <v>124</v>
      </c>
      <c r="D91" s="55"/>
      <c r="E91" s="55"/>
      <c r="F91" s="55"/>
      <c r="G91" s="56"/>
      <c r="H91" s="57" t="str">
        <f>IFERROR(VLOOKUP(C91,コードグループ一覧!$C$5:$U$37,6,FALSE),"")</f>
        <v>入出庫区分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60"/>
      <c r="V91" s="58">
        <v>2</v>
      </c>
      <c r="W91" s="58"/>
      <c r="X91" s="58"/>
      <c r="Y91" s="58"/>
      <c r="Z91" s="58"/>
      <c r="AA91" s="58"/>
      <c r="AB91" s="58"/>
      <c r="AC91" s="63" t="s">
        <v>147</v>
      </c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8"/>
      <c r="AS91" s="63">
        <v>1</v>
      </c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8"/>
      <c r="BI91" s="70">
        <v>2</v>
      </c>
      <c r="BJ91" s="71"/>
      <c r="BK91" s="71"/>
      <c r="BL91" s="72"/>
      <c r="BM91" s="70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2"/>
      <c r="CO91" s="78"/>
      <c r="CP91" s="78"/>
      <c r="CQ91" s="78"/>
    </row>
    <row r="92" s="48" customFormat="1" ht="22.5" customHeight="1" spans="1:95">
      <c r="A92" s="50"/>
      <c r="B92" s="50"/>
      <c r="C92" s="54">
        <v>125</v>
      </c>
      <c r="D92" s="55"/>
      <c r="E92" s="55"/>
      <c r="F92" s="55"/>
      <c r="G92" s="56"/>
      <c r="H92" s="57" t="str">
        <f>IFERROR(VLOOKUP(C92,コードグループ一覧!$C$5:$U$37,6,FALSE),"")</f>
        <v>棚卸確定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60"/>
      <c r="V92" s="58">
        <v>1</v>
      </c>
      <c r="W92" s="58"/>
      <c r="X92" s="58"/>
      <c r="Y92" s="58"/>
      <c r="Z92" s="58"/>
      <c r="AA92" s="58"/>
      <c r="AB92" s="58"/>
      <c r="AC92" s="63" t="s">
        <v>124</v>
      </c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8"/>
      <c r="AS92" s="63">
        <v>1</v>
      </c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8"/>
      <c r="BI92" s="70">
        <v>1</v>
      </c>
      <c r="BJ92" s="71"/>
      <c r="BK92" s="71"/>
      <c r="BL92" s="72"/>
      <c r="BM92" s="70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2"/>
      <c r="CO92" s="78"/>
      <c r="CP92" s="78"/>
      <c r="CQ92" s="78"/>
    </row>
    <row r="93" s="48" customFormat="1" ht="22.5" customHeight="1" spans="1:95">
      <c r="A93" s="50"/>
      <c r="B93" s="50"/>
      <c r="C93" s="54">
        <v>125</v>
      </c>
      <c r="D93" s="55"/>
      <c r="E93" s="55"/>
      <c r="F93" s="55"/>
      <c r="G93" s="56"/>
      <c r="H93" s="57" t="str">
        <f>IFERROR(VLOOKUP(C93,コードグループ一覧!$C$5:$U$37,6,FALSE),"")</f>
        <v>棚卸確定</v>
      </c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60"/>
      <c r="V93" s="58">
        <v>2</v>
      </c>
      <c r="W93" s="58"/>
      <c r="X93" s="58"/>
      <c r="Y93" s="58"/>
      <c r="Z93" s="58"/>
      <c r="AA93" s="58"/>
      <c r="AB93" s="58"/>
      <c r="AC93" s="63" t="s">
        <v>125</v>
      </c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8"/>
      <c r="AS93" s="63">
        <v>1</v>
      </c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8"/>
      <c r="BI93" s="70">
        <v>2</v>
      </c>
      <c r="BJ93" s="71"/>
      <c r="BK93" s="71"/>
      <c r="BL93" s="72"/>
      <c r="BM93" s="70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2"/>
      <c r="CO93" s="78"/>
      <c r="CP93" s="78"/>
      <c r="CQ93" s="78"/>
    </row>
    <row r="94" s="48" customFormat="1" ht="22.5" customHeight="1" spans="1:95">
      <c r="A94" s="50"/>
      <c r="B94" s="50"/>
      <c r="C94" s="54">
        <v>126</v>
      </c>
      <c r="D94" s="55"/>
      <c r="E94" s="55"/>
      <c r="F94" s="55"/>
      <c r="G94" s="56"/>
      <c r="H94" s="57" t="str">
        <f>IFERROR(VLOOKUP(C94,コードグループ一覧!$C$5:$U$37,6,FALSE),"")</f>
        <v>差異チェック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60"/>
      <c r="V94" s="58">
        <v>1</v>
      </c>
      <c r="W94" s="58"/>
      <c r="X94" s="58"/>
      <c r="Y94" s="58"/>
      <c r="Z94" s="58"/>
      <c r="AA94" s="58"/>
      <c r="AB94" s="58"/>
      <c r="AC94" s="63" t="s">
        <v>124</v>
      </c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8"/>
      <c r="AS94" s="63">
        <v>1</v>
      </c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8"/>
      <c r="BI94" s="70">
        <v>1</v>
      </c>
      <c r="BJ94" s="71"/>
      <c r="BK94" s="71"/>
      <c r="BL94" s="72"/>
      <c r="BM94" s="70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2"/>
      <c r="CO94" s="78"/>
      <c r="CP94" s="78"/>
      <c r="CQ94" s="78"/>
    </row>
    <row r="95" s="48" customFormat="1" ht="22.5" customHeight="1" spans="1:95">
      <c r="A95" s="50"/>
      <c r="B95" s="50"/>
      <c r="C95" s="54">
        <v>126</v>
      </c>
      <c r="D95" s="55"/>
      <c r="E95" s="55"/>
      <c r="F95" s="55"/>
      <c r="G95" s="56"/>
      <c r="H95" s="57" t="str">
        <f>IFERROR(VLOOKUP(C95,コードグループ一覧!$C$5:$U$37,6,FALSE),"")</f>
        <v>差異チェック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60"/>
      <c r="V95" s="58">
        <v>2</v>
      </c>
      <c r="W95" s="58"/>
      <c r="X95" s="58"/>
      <c r="Y95" s="58"/>
      <c r="Z95" s="58"/>
      <c r="AA95" s="58"/>
      <c r="AB95" s="58"/>
      <c r="AC95" s="63" t="s">
        <v>148</v>
      </c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8"/>
      <c r="AS95" s="63">
        <v>1</v>
      </c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8"/>
      <c r="BI95" s="70">
        <v>2</v>
      </c>
      <c r="BJ95" s="71"/>
      <c r="BK95" s="71"/>
      <c r="BL95" s="72"/>
      <c r="BM95" s="70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2"/>
      <c r="CO95" s="78"/>
      <c r="CP95" s="78"/>
      <c r="CQ95" s="78"/>
    </row>
    <row r="96" s="48" customFormat="1" ht="22.5" customHeight="1" spans="1:95">
      <c r="A96" s="50"/>
      <c r="B96" s="50"/>
      <c r="C96" s="54">
        <v>127</v>
      </c>
      <c r="D96" s="55"/>
      <c r="E96" s="55"/>
      <c r="F96" s="55"/>
      <c r="G96" s="56"/>
      <c r="H96" s="57" t="str">
        <f>IFERROR(VLOOKUP(C96,コードグループ一覧!$C$5:$U$37,6,FALSE),"")</f>
        <v>完了チェック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60"/>
      <c r="V96" s="58">
        <v>1</v>
      </c>
      <c r="W96" s="58"/>
      <c r="X96" s="58"/>
      <c r="Y96" s="58"/>
      <c r="Z96" s="58"/>
      <c r="AA96" s="58"/>
      <c r="AB96" s="58"/>
      <c r="AC96" s="63" t="s">
        <v>124</v>
      </c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8"/>
      <c r="AS96" s="63">
        <v>1</v>
      </c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8"/>
      <c r="BI96" s="70">
        <v>1</v>
      </c>
      <c r="BJ96" s="71"/>
      <c r="BK96" s="71"/>
      <c r="BL96" s="72"/>
      <c r="BM96" s="70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2"/>
      <c r="CO96" s="78"/>
      <c r="CP96" s="78"/>
      <c r="CQ96" s="78"/>
    </row>
    <row r="97" s="48" customFormat="1" ht="22.5" customHeight="1" spans="1:95">
      <c r="A97" s="50"/>
      <c r="B97" s="50"/>
      <c r="C97" s="54">
        <v>127</v>
      </c>
      <c r="D97" s="55"/>
      <c r="E97" s="55"/>
      <c r="F97" s="55"/>
      <c r="G97" s="56"/>
      <c r="H97" s="57" t="str">
        <f>IFERROR(VLOOKUP(C97,コードグループ一覧!$C$5:$U$37,6,FALSE),"")</f>
        <v>完了チェック</v>
      </c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60"/>
      <c r="V97" s="58">
        <v>2</v>
      </c>
      <c r="W97" s="58"/>
      <c r="X97" s="58"/>
      <c r="Y97" s="58"/>
      <c r="Z97" s="58"/>
      <c r="AA97" s="58"/>
      <c r="AB97" s="58"/>
      <c r="AC97" s="63" t="s">
        <v>148</v>
      </c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8"/>
      <c r="AS97" s="63">
        <v>1</v>
      </c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8"/>
      <c r="BI97" s="70">
        <v>2</v>
      </c>
      <c r="BJ97" s="71"/>
      <c r="BK97" s="71"/>
      <c r="BL97" s="72"/>
      <c r="BM97" s="70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2"/>
      <c r="CO97" s="78"/>
      <c r="CP97" s="78"/>
      <c r="CQ97" s="78"/>
    </row>
    <row r="98" s="48" customFormat="1" ht="22.5" customHeight="1" spans="1:95">
      <c r="A98" s="50"/>
      <c r="B98" s="50"/>
      <c r="C98" s="54">
        <v>128</v>
      </c>
      <c r="D98" s="55"/>
      <c r="E98" s="55"/>
      <c r="F98" s="55"/>
      <c r="G98" s="56"/>
      <c r="H98" s="57" t="str">
        <f>IFERROR(VLOOKUP(C98,コードグループ一覧!$C$5:$U$37,6,FALSE),"")</f>
        <v>返品区分</v>
      </c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60"/>
      <c r="V98" s="58">
        <v>1</v>
      </c>
      <c r="W98" s="58"/>
      <c r="X98" s="58"/>
      <c r="Y98" s="58"/>
      <c r="Z98" s="58"/>
      <c r="AA98" s="58"/>
      <c r="AB98" s="58"/>
      <c r="AC98" s="63" t="s">
        <v>149</v>
      </c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8"/>
      <c r="AS98" s="63">
        <v>1</v>
      </c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8"/>
      <c r="BI98" s="70">
        <v>1</v>
      </c>
      <c r="BJ98" s="71"/>
      <c r="BK98" s="71"/>
      <c r="BL98" s="72"/>
      <c r="BM98" s="70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2"/>
      <c r="CO98" s="78"/>
      <c r="CP98" s="78"/>
      <c r="CQ98" s="78"/>
    </row>
    <row r="99" s="48" customFormat="1" ht="22.5" customHeight="1" spans="1:95">
      <c r="A99" s="50"/>
      <c r="B99" s="50"/>
      <c r="C99" s="54">
        <v>128</v>
      </c>
      <c r="D99" s="55"/>
      <c r="E99" s="55"/>
      <c r="F99" s="55"/>
      <c r="G99" s="56"/>
      <c r="H99" s="57" t="str">
        <f>IFERROR(VLOOKUP(C99,コードグループ一覧!$C$5:$U$37,6,FALSE),"")</f>
        <v>返品区分</v>
      </c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60"/>
      <c r="V99" s="58">
        <v>2</v>
      </c>
      <c r="W99" s="58"/>
      <c r="X99" s="58"/>
      <c r="Y99" s="58"/>
      <c r="Z99" s="58"/>
      <c r="AA99" s="58"/>
      <c r="AB99" s="58"/>
      <c r="AC99" s="63" t="s">
        <v>150</v>
      </c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8"/>
      <c r="AS99" s="63">
        <v>1</v>
      </c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8"/>
      <c r="BI99" s="70">
        <v>2</v>
      </c>
      <c r="BJ99" s="71"/>
      <c r="BK99" s="71"/>
      <c r="BL99" s="72"/>
      <c r="BM99" s="70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2"/>
      <c r="CO99" s="78"/>
      <c r="CP99" s="78"/>
      <c r="CQ99" s="78"/>
    </row>
    <row r="100" s="48" customFormat="1" ht="22.5" customHeight="1" spans="1:95">
      <c r="A100" s="50"/>
      <c r="B100" s="50"/>
      <c r="C100" s="54">
        <v>129</v>
      </c>
      <c r="D100" s="55"/>
      <c r="E100" s="55"/>
      <c r="F100" s="55"/>
      <c r="G100" s="56"/>
      <c r="H100" s="57" t="str">
        <f>IFERROR(VLOOKUP(C100,コードグループ一覧!$C$5:$U$37,6,FALSE),"")</f>
        <v>移動調整区分</v>
      </c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60"/>
      <c r="V100" s="58">
        <v>1</v>
      </c>
      <c r="W100" s="58"/>
      <c r="X100" s="58"/>
      <c r="Y100" s="58"/>
      <c r="Z100" s="58"/>
      <c r="AA100" s="58"/>
      <c r="AB100" s="58"/>
      <c r="AC100" s="63" t="s">
        <v>151</v>
      </c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8"/>
      <c r="AS100" s="63">
        <v>1</v>
      </c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8"/>
      <c r="BI100" s="70">
        <v>1</v>
      </c>
      <c r="BJ100" s="71"/>
      <c r="BK100" s="71"/>
      <c r="BL100" s="72"/>
      <c r="BM100" s="70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2"/>
      <c r="CO100" s="78"/>
      <c r="CP100" s="78"/>
      <c r="CQ100" s="78"/>
    </row>
    <row r="101" s="48" customFormat="1" ht="22.5" customHeight="1" spans="1:95">
      <c r="A101" s="50"/>
      <c r="B101" s="50"/>
      <c r="C101" s="54">
        <v>129</v>
      </c>
      <c r="D101" s="55"/>
      <c r="E101" s="55"/>
      <c r="F101" s="55"/>
      <c r="G101" s="56"/>
      <c r="H101" s="57" t="str">
        <f>IFERROR(VLOOKUP(C101,コードグループ一覧!$C$5:$U$37,6,FALSE),"")</f>
        <v>移動調整区分</v>
      </c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60"/>
      <c r="V101" s="58">
        <v>2</v>
      </c>
      <c r="W101" s="58"/>
      <c r="X101" s="58"/>
      <c r="Y101" s="58"/>
      <c r="Z101" s="58"/>
      <c r="AA101" s="58"/>
      <c r="AB101" s="58"/>
      <c r="AC101" s="63" t="s">
        <v>152</v>
      </c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8"/>
      <c r="AS101" s="63">
        <v>1</v>
      </c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8"/>
      <c r="BI101" s="70">
        <v>2</v>
      </c>
      <c r="BJ101" s="71"/>
      <c r="BK101" s="71"/>
      <c r="BL101" s="72"/>
      <c r="BM101" s="70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2"/>
      <c r="CO101" s="78"/>
      <c r="CP101" s="78"/>
      <c r="CQ101" s="78"/>
    </row>
    <row r="102" s="48" customFormat="1" ht="22.5" customHeight="1" spans="1:95">
      <c r="A102" s="50"/>
      <c r="B102" s="50"/>
      <c r="C102" s="54">
        <v>130</v>
      </c>
      <c r="D102" s="55"/>
      <c r="E102" s="55"/>
      <c r="F102" s="55"/>
      <c r="G102" s="56"/>
      <c r="H102" s="57" t="str">
        <f>IFERROR(VLOOKUP(C102,コードグループ一覧!$C$5:$U$37,6,FALSE),"")</f>
        <v>採番区分</v>
      </c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60"/>
      <c r="V102" s="58" t="s">
        <v>153</v>
      </c>
      <c r="W102" s="58"/>
      <c r="X102" s="58"/>
      <c r="Y102" s="58"/>
      <c r="Z102" s="58"/>
      <c r="AA102" s="58"/>
      <c r="AB102" s="58"/>
      <c r="AC102" s="63" t="s">
        <v>144</v>
      </c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8"/>
      <c r="AS102" s="63">
        <v>4</v>
      </c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8"/>
      <c r="BI102" s="70">
        <v>1</v>
      </c>
      <c r="BJ102" s="71"/>
      <c r="BK102" s="71"/>
      <c r="BL102" s="72"/>
      <c r="BM102" s="70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2"/>
      <c r="CO102" s="78"/>
      <c r="CP102" s="78"/>
      <c r="CQ102" s="78"/>
    </row>
    <row r="103" s="48" customFormat="1" ht="22.5" customHeight="1" spans="1:95">
      <c r="A103" s="50"/>
      <c r="B103" s="50"/>
      <c r="C103" s="54">
        <v>130</v>
      </c>
      <c r="D103" s="55"/>
      <c r="E103" s="55"/>
      <c r="F103" s="55"/>
      <c r="G103" s="56"/>
      <c r="H103" s="57" t="str">
        <f>IFERROR(VLOOKUP(C103,コードグループ一覧!$C$5:$U$37,6,FALSE),"")</f>
        <v>採番区分</v>
      </c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60"/>
      <c r="V103" s="58" t="s">
        <v>154</v>
      </c>
      <c r="W103" s="58"/>
      <c r="X103" s="58"/>
      <c r="Y103" s="58"/>
      <c r="Z103" s="58"/>
      <c r="AA103" s="58"/>
      <c r="AB103" s="58"/>
      <c r="AC103" s="63" t="s">
        <v>145</v>
      </c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8"/>
      <c r="AS103" s="63">
        <v>4</v>
      </c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8"/>
      <c r="BI103" s="70">
        <v>2</v>
      </c>
      <c r="BJ103" s="71"/>
      <c r="BK103" s="71"/>
      <c r="BL103" s="72"/>
      <c r="BM103" s="70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2"/>
      <c r="CO103" s="78"/>
      <c r="CP103" s="78"/>
      <c r="CQ103" s="78"/>
    </row>
    <row r="104" s="48" customFormat="1" ht="22.5" customHeight="1" spans="1:95">
      <c r="A104" s="50"/>
      <c r="B104" s="50"/>
      <c r="C104" s="54"/>
      <c r="D104" s="55"/>
      <c r="E104" s="55"/>
      <c r="F104" s="55"/>
      <c r="G104" s="56"/>
      <c r="H104" s="57" t="str">
        <f>IFERROR(VLOOKUP(C104,コードグループ一覧!$C$5:$U$37,6,FALSE),"")</f>
        <v/>
      </c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60"/>
      <c r="V104" s="58"/>
      <c r="W104" s="58"/>
      <c r="X104" s="58"/>
      <c r="Y104" s="58"/>
      <c r="Z104" s="58"/>
      <c r="AA104" s="58"/>
      <c r="AB104" s="58"/>
      <c r="AC104" s="63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8"/>
      <c r="AS104" s="63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8"/>
      <c r="BI104" s="70"/>
      <c r="BJ104" s="71"/>
      <c r="BK104" s="71"/>
      <c r="BL104" s="72"/>
      <c r="BM104" s="70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2"/>
      <c r="CO104" s="78"/>
      <c r="CP104" s="78"/>
      <c r="CQ104" s="78"/>
    </row>
    <row r="105" s="48" customFormat="1" ht="22.5" customHeight="1" spans="1:95">
      <c r="A105" s="50"/>
      <c r="B105" s="50"/>
      <c r="C105" s="54"/>
      <c r="D105" s="55"/>
      <c r="E105" s="55"/>
      <c r="F105" s="55"/>
      <c r="G105" s="56"/>
      <c r="H105" s="57" t="str">
        <f>IFERROR(VLOOKUP(C105,コードグループ一覧!$C$5:$U$37,6,FALSE),"")</f>
        <v/>
      </c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60"/>
      <c r="V105" s="58"/>
      <c r="W105" s="58"/>
      <c r="X105" s="58"/>
      <c r="Y105" s="58"/>
      <c r="Z105" s="58"/>
      <c r="AA105" s="58"/>
      <c r="AB105" s="58"/>
      <c r="AC105" s="63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8"/>
      <c r="AS105" s="63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8"/>
      <c r="BI105" s="70"/>
      <c r="BJ105" s="71"/>
      <c r="BK105" s="71"/>
      <c r="BL105" s="72"/>
      <c r="BM105" s="70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2"/>
      <c r="CO105" s="78"/>
      <c r="CP105" s="78"/>
      <c r="CQ105" s="78"/>
    </row>
    <row r="106" s="48" customFormat="1" ht="22.5" customHeight="1" spans="1:95">
      <c r="A106" s="50"/>
      <c r="B106" s="50"/>
      <c r="C106" s="54"/>
      <c r="D106" s="55"/>
      <c r="E106" s="55"/>
      <c r="F106" s="55"/>
      <c r="G106" s="56"/>
      <c r="H106" s="57" t="str">
        <f>IFERROR(VLOOKUP(C106,コードグループ一覧!$C$5:$U$37,6,FALSE),"")</f>
        <v/>
      </c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60"/>
      <c r="V106" s="58"/>
      <c r="W106" s="58"/>
      <c r="X106" s="58"/>
      <c r="Y106" s="58"/>
      <c r="Z106" s="58"/>
      <c r="AA106" s="58"/>
      <c r="AB106" s="58"/>
      <c r="AC106" s="63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8"/>
      <c r="AS106" s="63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8"/>
      <c r="BI106" s="70"/>
      <c r="BJ106" s="71"/>
      <c r="BK106" s="71"/>
      <c r="BL106" s="72"/>
      <c r="BM106" s="70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2"/>
      <c r="CO106" s="78"/>
      <c r="CP106" s="78"/>
      <c r="CQ106" s="78"/>
    </row>
    <row r="107" s="48" customFormat="1" ht="22.5" customHeight="1" spans="1:95">
      <c r="A107" s="50"/>
      <c r="B107" s="50"/>
      <c r="C107" s="54"/>
      <c r="D107" s="55"/>
      <c r="E107" s="55"/>
      <c r="F107" s="55"/>
      <c r="G107" s="56"/>
      <c r="H107" s="57" t="str">
        <f>IFERROR(VLOOKUP(C107,コードグループ一覧!$C$5:$U$37,6,FALSE),"")</f>
        <v/>
      </c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60"/>
      <c r="V107" s="58"/>
      <c r="W107" s="58"/>
      <c r="X107" s="58"/>
      <c r="Y107" s="58"/>
      <c r="Z107" s="58"/>
      <c r="AA107" s="58"/>
      <c r="AB107" s="58"/>
      <c r="AC107" s="63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8"/>
      <c r="AS107" s="63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8"/>
      <c r="BI107" s="70"/>
      <c r="BJ107" s="71"/>
      <c r="BK107" s="71"/>
      <c r="BL107" s="72"/>
      <c r="BM107" s="70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2"/>
      <c r="CO107" s="78"/>
      <c r="CP107" s="78"/>
      <c r="CQ107" s="78"/>
    </row>
    <row r="108" s="48" customFormat="1" ht="22.5" customHeight="1" spans="1:95">
      <c r="A108" s="50"/>
      <c r="B108" s="50"/>
      <c r="C108" s="54"/>
      <c r="D108" s="55"/>
      <c r="E108" s="55"/>
      <c r="F108" s="55"/>
      <c r="G108" s="56"/>
      <c r="H108" s="57" t="str">
        <f>IFERROR(VLOOKUP(C108,コードグループ一覧!$C$5:$U$37,6,FALSE),"")</f>
        <v/>
      </c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60"/>
      <c r="V108" s="58"/>
      <c r="W108" s="58"/>
      <c r="X108" s="58"/>
      <c r="Y108" s="58"/>
      <c r="Z108" s="58"/>
      <c r="AA108" s="58"/>
      <c r="AB108" s="58"/>
      <c r="AC108" s="63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8"/>
      <c r="AS108" s="63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8"/>
      <c r="BI108" s="70"/>
      <c r="BJ108" s="71"/>
      <c r="BK108" s="71"/>
      <c r="BL108" s="72"/>
      <c r="BM108" s="70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2"/>
      <c r="CO108" s="78"/>
      <c r="CP108" s="78"/>
      <c r="CQ108" s="78"/>
    </row>
    <row r="109" s="48" customFormat="1" ht="22.5" customHeight="1" spans="1:95">
      <c r="A109" s="50"/>
      <c r="B109" s="50"/>
      <c r="C109" s="54"/>
      <c r="D109" s="55"/>
      <c r="E109" s="55"/>
      <c r="F109" s="55"/>
      <c r="G109" s="56"/>
      <c r="H109" s="57" t="str">
        <f>IFERROR(VLOOKUP(C109,コードグループ一覧!$C$5:$U$37,6,FALSE),"")</f>
        <v/>
      </c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60"/>
      <c r="V109" s="58"/>
      <c r="W109" s="58"/>
      <c r="X109" s="58"/>
      <c r="Y109" s="58"/>
      <c r="Z109" s="58"/>
      <c r="AA109" s="58"/>
      <c r="AB109" s="58"/>
      <c r="AC109" s="63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8"/>
      <c r="AS109" s="63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8"/>
      <c r="BI109" s="70"/>
      <c r="BJ109" s="71"/>
      <c r="BK109" s="71"/>
      <c r="BL109" s="72"/>
      <c r="BM109" s="70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2"/>
      <c r="CO109" s="78"/>
      <c r="CP109" s="78"/>
      <c r="CQ109" s="78"/>
    </row>
    <row r="110" s="48" customFormat="1" ht="22.5" customHeight="1" spans="1:95">
      <c r="A110" s="50"/>
      <c r="B110" s="50"/>
      <c r="C110" s="54"/>
      <c r="D110" s="55"/>
      <c r="E110" s="55"/>
      <c r="F110" s="55"/>
      <c r="G110" s="56"/>
      <c r="H110" s="57" t="str">
        <f>IFERROR(VLOOKUP(C110,コードグループ一覧!$C$5:$U$37,6,FALSE),"")</f>
        <v/>
      </c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60"/>
      <c r="V110" s="58"/>
      <c r="W110" s="58"/>
      <c r="X110" s="58"/>
      <c r="Y110" s="58"/>
      <c r="Z110" s="58"/>
      <c r="AA110" s="58"/>
      <c r="AB110" s="58"/>
      <c r="AC110" s="63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8"/>
      <c r="AS110" s="63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8"/>
      <c r="BI110" s="70"/>
      <c r="BJ110" s="71"/>
      <c r="BK110" s="71"/>
      <c r="BL110" s="72"/>
      <c r="BM110" s="70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2"/>
      <c r="CO110" s="78"/>
      <c r="CP110" s="78"/>
      <c r="CQ110" s="78"/>
    </row>
    <row r="111" s="48" customFormat="1" ht="22.5" customHeight="1" spans="1:95">
      <c r="A111" s="50"/>
      <c r="B111" s="50"/>
      <c r="C111" s="54"/>
      <c r="D111" s="55"/>
      <c r="E111" s="55"/>
      <c r="F111" s="55"/>
      <c r="G111" s="56"/>
      <c r="H111" s="57" t="str">
        <f>IFERROR(VLOOKUP(C111,コードグループ一覧!$C$5:$U$37,6,FALSE),"")</f>
        <v/>
      </c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60"/>
      <c r="V111" s="58"/>
      <c r="W111" s="58"/>
      <c r="X111" s="58"/>
      <c r="Y111" s="58"/>
      <c r="Z111" s="58"/>
      <c r="AA111" s="58"/>
      <c r="AB111" s="58"/>
      <c r="AC111" s="63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8"/>
      <c r="AS111" s="63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8"/>
      <c r="BI111" s="70"/>
      <c r="BJ111" s="71"/>
      <c r="BK111" s="71"/>
      <c r="BL111" s="72"/>
      <c r="BM111" s="70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2"/>
      <c r="CO111" s="78"/>
      <c r="CP111" s="78"/>
      <c r="CQ111" s="78"/>
    </row>
    <row r="112" s="48" customFormat="1" ht="22.5" customHeight="1" spans="1:95">
      <c r="A112" s="50"/>
      <c r="B112" s="50"/>
      <c r="C112" s="54"/>
      <c r="D112" s="55"/>
      <c r="E112" s="55"/>
      <c r="F112" s="55"/>
      <c r="G112" s="56"/>
      <c r="H112" s="57" t="str">
        <f>IFERROR(VLOOKUP(C112,コードグループ一覧!$C$5:$U$37,6,FALSE),"")</f>
        <v/>
      </c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60"/>
      <c r="V112" s="58"/>
      <c r="W112" s="58"/>
      <c r="X112" s="58"/>
      <c r="Y112" s="58"/>
      <c r="Z112" s="58"/>
      <c r="AA112" s="58"/>
      <c r="AB112" s="58"/>
      <c r="AC112" s="63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8"/>
      <c r="AS112" s="63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8"/>
      <c r="BI112" s="70"/>
      <c r="BJ112" s="71"/>
      <c r="BK112" s="71"/>
      <c r="BL112" s="72"/>
      <c r="BM112" s="70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2"/>
      <c r="CO112" s="78"/>
      <c r="CP112" s="78"/>
      <c r="CQ112" s="78"/>
    </row>
    <row r="113" s="48" customFormat="1" ht="22.5" customHeight="1" spans="1:95">
      <c r="A113" s="50"/>
      <c r="B113" s="50"/>
      <c r="C113" s="54"/>
      <c r="D113" s="55"/>
      <c r="E113" s="55"/>
      <c r="F113" s="55"/>
      <c r="G113" s="56"/>
      <c r="H113" s="57" t="str">
        <f>IFERROR(VLOOKUP(C113,コードグループ一覧!$C$5:$U$37,6,FALSE),"")</f>
        <v/>
      </c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60"/>
      <c r="V113" s="58"/>
      <c r="W113" s="58"/>
      <c r="X113" s="58"/>
      <c r="Y113" s="58"/>
      <c r="Z113" s="58"/>
      <c r="AA113" s="58"/>
      <c r="AB113" s="58"/>
      <c r="AC113" s="63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8"/>
      <c r="AS113" s="63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8"/>
      <c r="BI113" s="70"/>
      <c r="BJ113" s="71"/>
      <c r="BK113" s="71"/>
      <c r="BL113" s="72"/>
      <c r="BM113" s="70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2"/>
      <c r="CO113" s="78"/>
      <c r="CP113" s="78"/>
      <c r="CQ113" s="78"/>
    </row>
    <row r="114" s="48" customFormat="1" ht="22.5" customHeight="1" spans="1:95">
      <c r="A114" s="50"/>
      <c r="B114" s="50"/>
      <c r="C114" s="54"/>
      <c r="D114" s="55"/>
      <c r="E114" s="55"/>
      <c r="F114" s="55"/>
      <c r="G114" s="56"/>
      <c r="H114" s="57" t="str">
        <f>IFERROR(VLOOKUP(C114,コードグループ一覧!$C$5:$U$37,6,FALSE),"")</f>
        <v/>
      </c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60"/>
      <c r="V114" s="58"/>
      <c r="W114" s="58"/>
      <c r="X114" s="58"/>
      <c r="Y114" s="58"/>
      <c r="Z114" s="58"/>
      <c r="AA114" s="58"/>
      <c r="AB114" s="58"/>
      <c r="AC114" s="63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8"/>
      <c r="AS114" s="63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8"/>
      <c r="BI114" s="70"/>
      <c r="BJ114" s="71"/>
      <c r="BK114" s="71"/>
      <c r="BL114" s="72"/>
      <c r="BM114" s="70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2"/>
      <c r="CO114" s="78"/>
      <c r="CP114" s="78"/>
      <c r="CQ114" s="78"/>
    </row>
    <row r="115" s="48" customFormat="1" ht="22.5" customHeight="1" spans="1:95">
      <c r="A115" s="50"/>
      <c r="B115" s="50"/>
      <c r="C115" s="54"/>
      <c r="D115" s="55"/>
      <c r="E115" s="55"/>
      <c r="F115" s="55"/>
      <c r="G115" s="56"/>
      <c r="H115" s="57" t="str">
        <f>IFERROR(VLOOKUP(C115,コードグループ一覧!$C$5:$U$37,6,FALSE),"")</f>
        <v/>
      </c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60"/>
      <c r="V115" s="58"/>
      <c r="W115" s="58"/>
      <c r="X115" s="58"/>
      <c r="Y115" s="58"/>
      <c r="Z115" s="58"/>
      <c r="AA115" s="58"/>
      <c r="AB115" s="58"/>
      <c r="AC115" s="63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8"/>
      <c r="AS115" s="63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8"/>
      <c r="BI115" s="70"/>
      <c r="BJ115" s="71"/>
      <c r="BK115" s="71"/>
      <c r="BL115" s="72"/>
      <c r="BM115" s="70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2"/>
      <c r="CO115" s="78"/>
      <c r="CP115" s="78"/>
      <c r="CQ115" s="78"/>
    </row>
    <row r="116" s="48" customFormat="1" ht="22.5" customHeight="1" spans="1:95">
      <c r="A116" s="50"/>
      <c r="B116" s="50"/>
      <c r="C116" s="79" t="str">
        <f t="shared" ref="C116:C117" si="0">IF(AND(G116="",I116="",K116=""),"","F"&amp;TEXT(CO116,"00")&amp;TEXT(CP116,"00")&amp;TEXT(CQ116,"00"))</f>
        <v/>
      </c>
      <c r="D116" s="79"/>
      <c r="E116" s="79"/>
      <c r="F116" s="79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2"/>
      <c r="CC116" s="82"/>
      <c r="CD116" s="82"/>
      <c r="CE116" s="82"/>
      <c r="CF116" s="82"/>
      <c r="CG116" s="82"/>
      <c r="CH116" s="82"/>
      <c r="CI116" s="82"/>
      <c r="CJ116" s="82"/>
      <c r="CO116" s="78"/>
      <c r="CP116" s="78"/>
      <c r="CQ116" s="78"/>
    </row>
    <row r="117" s="48" customFormat="1" ht="22.5" customHeight="1" spans="1:95">
      <c r="A117" s="50"/>
      <c r="B117" s="50"/>
      <c r="C117" s="79" t="str">
        <f t="shared" si="0"/>
        <v/>
      </c>
      <c r="D117" s="79"/>
      <c r="E117" s="79"/>
      <c r="F117" s="79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2"/>
      <c r="CC117" s="82"/>
      <c r="CD117" s="82"/>
      <c r="CE117" s="82"/>
      <c r="CF117" s="82"/>
      <c r="CG117" s="82"/>
      <c r="CH117" s="82"/>
      <c r="CI117" s="82"/>
      <c r="CJ117" s="82"/>
      <c r="CO117" s="78"/>
      <c r="CP117" s="78"/>
      <c r="CQ117" s="78"/>
    </row>
    <row r="118" customHeight="1"/>
    <row r="119" customHeight="1"/>
  </sheetData>
  <mergeCells count="785">
    <mergeCell ref="C4:G4"/>
    <mergeCell ref="H4:U4"/>
    <mergeCell ref="V4:AB4"/>
    <mergeCell ref="AC4:AR4"/>
    <mergeCell ref="AS4:BH4"/>
    <mergeCell ref="BI4:BL4"/>
    <mergeCell ref="BM4:CJ4"/>
    <mergeCell ref="CO4:CQ4"/>
    <mergeCell ref="C5:G5"/>
    <mergeCell ref="H5:U5"/>
    <mergeCell ref="V5:AB5"/>
    <mergeCell ref="AC5:AR5"/>
    <mergeCell ref="AS5:BH5"/>
    <mergeCell ref="BI5:BL5"/>
    <mergeCell ref="BM5:CJ5"/>
    <mergeCell ref="C6:G6"/>
    <mergeCell ref="H6:U6"/>
    <mergeCell ref="V6:AB6"/>
    <mergeCell ref="AC6:AR6"/>
    <mergeCell ref="AS6:BH6"/>
    <mergeCell ref="BI6:BL6"/>
    <mergeCell ref="BM6:CJ6"/>
    <mergeCell ref="C7:G7"/>
    <mergeCell ref="H7:U7"/>
    <mergeCell ref="V7:AB7"/>
    <mergeCell ref="AC7:AR7"/>
    <mergeCell ref="AS7:BH7"/>
    <mergeCell ref="BI7:BL7"/>
    <mergeCell ref="BM7:CJ7"/>
    <mergeCell ref="C8:G8"/>
    <mergeCell ref="H8:U8"/>
    <mergeCell ref="V8:AB8"/>
    <mergeCell ref="AC8:AR8"/>
    <mergeCell ref="AS8:BH8"/>
    <mergeCell ref="BI8:BL8"/>
    <mergeCell ref="BM8:CJ8"/>
    <mergeCell ref="C9:G9"/>
    <mergeCell ref="H9:U9"/>
    <mergeCell ref="V9:AB9"/>
    <mergeCell ref="AC9:AR9"/>
    <mergeCell ref="AS9:BH9"/>
    <mergeCell ref="BI9:BL9"/>
    <mergeCell ref="BM9:CJ9"/>
    <mergeCell ref="C10:G10"/>
    <mergeCell ref="H10:U10"/>
    <mergeCell ref="V10:AB10"/>
    <mergeCell ref="AC10:AR10"/>
    <mergeCell ref="AS10:BH10"/>
    <mergeCell ref="BI10:BL10"/>
    <mergeCell ref="BM10:CJ10"/>
    <mergeCell ref="C11:G11"/>
    <mergeCell ref="H11:U11"/>
    <mergeCell ref="V11:AB11"/>
    <mergeCell ref="AC11:AR11"/>
    <mergeCell ref="AS11:BH11"/>
    <mergeCell ref="BI11:BL11"/>
    <mergeCell ref="BM11:CJ11"/>
    <mergeCell ref="C12:G12"/>
    <mergeCell ref="H12:U12"/>
    <mergeCell ref="V12:AB12"/>
    <mergeCell ref="AC12:AR12"/>
    <mergeCell ref="AS12:BH12"/>
    <mergeCell ref="BI12:BL12"/>
    <mergeCell ref="BM12:CJ12"/>
    <mergeCell ref="C13:G13"/>
    <mergeCell ref="H13:U13"/>
    <mergeCell ref="V13:AB13"/>
    <mergeCell ref="AC13:AR13"/>
    <mergeCell ref="AS13:BH13"/>
    <mergeCell ref="BI13:BL13"/>
    <mergeCell ref="BM13:CJ13"/>
    <mergeCell ref="C14:G14"/>
    <mergeCell ref="H14:U14"/>
    <mergeCell ref="V14:AB14"/>
    <mergeCell ref="AC14:AR14"/>
    <mergeCell ref="AS14:BH14"/>
    <mergeCell ref="BI14:BL14"/>
    <mergeCell ref="BM14:CJ14"/>
    <mergeCell ref="C15:G15"/>
    <mergeCell ref="H15:U15"/>
    <mergeCell ref="V15:AB15"/>
    <mergeCell ref="AC15:AR15"/>
    <mergeCell ref="AS15:BH15"/>
    <mergeCell ref="BI15:BL15"/>
    <mergeCell ref="BM15:CJ15"/>
    <mergeCell ref="C16:G16"/>
    <mergeCell ref="H16:U16"/>
    <mergeCell ref="V16:AB16"/>
    <mergeCell ref="AC16:AR16"/>
    <mergeCell ref="AS16:BH16"/>
    <mergeCell ref="BI16:BL16"/>
    <mergeCell ref="BM16:CJ16"/>
    <mergeCell ref="C17:G17"/>
    <mergeCell ref="H17:U17"/>
    <mergeCell ref="V17:AB17"/>
    <mergeCell ref="AC17:AR17"/>
    <mergeCell ref="AS17:BH17"/>
    <mergeCell ref="BI17:BL17"/>
    <mergeCell ref="BM17:CJ17"/>
    <mergeCell ref="C18:G18"/>
    <mergeCell ref="H18:U18"/>
    <mergeCell ref="V18:AB18"/>
    <mergeCell ref="AC18:AR18"/>
    <mergeCell ref="AS18:BH18"/>
    <mergeCell ref="BI18:BL18"/>
    <mergeCell ref="BM18:CJ18"/>
    <mergeCell ref="C19:G19"/>
    <mergeCell ref="H19:U19"/>
    <mergeCell ref="V19:AB19"/>
    <mergeCell ref="AC19:AR19"/>
    <mergeCell ref="AS19:BH19"/>
    <mergeCell ref="BI19:BL19"/>
    <mergeCell ref="BM19:CJ19"/>
    <mergeCell ref="C20:G20"/>
    <mergeCell ref="H20:U20"/>
    <mergeCell ref="V20:AB20"/>
    <mergeCell ref="AC20:AR20"/>
    <mergeCell ref="AS20:BH20"/>
    <mergeCell ref="BI20:BL20"/>
    <mergeCell ref="BM20:CJ20"/>
    <mergeCell ref="C21:G21"/>
    <mergeCell ref="H21:U21"/>
    <mergeCell ref="V21:AB21"/>
    <mergeCell ref="AC21:AR21"/>
    <mergeCell ref="AS21:BH21"/>
    <mergeCell ref="BI21:BL21"/>
    <mergeCell ref="BM21:CJ21"/>
    <mergeCell ref="C22:G22"/>
    <mergeCell ref="H22:U22"/>
    <mergeCell ref="V22:AB22"/>
    <mergeCell ref="AC22:AR22"/>
    <mergeCell ref="AS22:BH22"/>
    <mergeCell ref="BI22:BL22"/>
    <mergeCell ref="BM22:CJ22"/>
    <mergeCell ref="C23:G23"/>
    <mergeCell ref="H23:U23"/>
    <mergeCell ref="V23:AB23"/>
    <mergeCell ref="AC23:AR23"/>
    <mergeCell ref="AS23:BH23"/>
    <mergeCell ref="BI23:BL23"/>
    <mergeCell ref="BM23:CJ23"/>
    <mergeCell ref="C24:G24"/>
    <mergeCell ref="H24:U24"/>
    <mergeCell ref="V24:AB24"/>
    <mergeCell ref="AC24:AR24"/>
    <mergeCell ref="AS24:BH24"/>
    <mergeCell ref="BI24:BL24"/>
    <mergeCell ref="BM24:CJ24"/>
    <mergeCell ref="C25:G25"/>
    <mergeCell ref="H25:U25"/>
    <mergeCell ref="V25:AB25"/>
    <mergeCell ref="AC25:AR25"/>
    <mergeCell ref="AS25:BH25"/>
    <mergeCell ref="BI25:BL25"/>
    <mergeCell ref="BM25:CJ25"/>
    <mergeCell ref="C26:G26"/>
    <mergeCell ref="H26:U26"/>
    <mergeCell ref="V26:AB26"/>
    <mergeCell ref="AC26:AR26"/>
    <mergeCell ref="AS26:BH26"/>
    <mergeCell ref="BI26:BL26"/>
    <mergeCell ref="BM26:CJ26"/>
    <mergeCell ref="C27:G27"/>
    <mergeCell ref="H27:U27"/>
    <mergeCell ref="V27:AB27"/>
    <mergeCell ref="AC27:AR27"/>
    <mergeCell ref="AS27:BH27"/>
    <mergeCell ref="BI27:BL27"/>
    <mergeCell ref="BM27:CJ27"/>
    <mergeCell ref="C28:G28"/>
    <mergeCell ref="H28:U28"/>
    <mergeCell ref="V28:AB28"/>
    <mergeCell ref="AC28:AR28"/>
    <mergeCell ref="AS28:BH28"/>
    <mergeCell ref="BI28:BL28"/>
    <mergeCell ref="BM28:CJ28"/>
    <mergeCell ref="C29:G29"/>
    <mergeCell ref="H29:U29"/>
    <mergeCell ref="V29:AB29"/>
    <mergeCell ref="AC29:AR29"/>
    <mergeCell ref="AS29:BH29"/>
    <mergeCell ref="BI29:BL29"/>
    <mergeCell ref="BM29:CJ29"/>
    <mergeCell ref="C30:G30"/>
    <mergeCell ref="H30:U30"/>
    <mergeCell ref="V30:AB30"/>
    <mergeCell ref="AC30:AR30"/>
    <mergeCell ref="AS30:BH30"/>
    <mergeCell ref="BI30:BL30"/>
    <mergeCell ref="BM30:CJ30"/>
    <mergeCell ref="C31:G31"/>
    <mergeCell ref="H31:U31"/>
    <mergeCell ref="V31:AB31"/>
    <mergeCell ref="AC31:AR31"/>
    <mergeCell ref="AS31:BH31"/>
    <mergeCell ref="BI31:BL31"/>
    <mergeCell ref="BM31:CJ31"/>
    <mergeCell ref="C32:G32"/>
    <mergeCell ref="H32:U32"/>
    <mergeCell ref="V32:AB32"/>
    <mergeCell ref="AC32:AR32"/>
    <mergeCell ref="AS32:BH32"/>
    <mergeCell ref="BI32:BL32"/>
    <mergeCell ref="BM32:CJ32"/>
    <mergeCell ref="C33:G33"/>
    <mergeCell ref="H33:U33"/>
    <mergeCell ref="V33:AB33"/>
    <mergeCell ref="AC33:AR33"/>
    <mergeCell ref="AS33:BH33"/>
    <mergeCell ref="BI33:BL33"/>
    <mergeCell ref="BM33:CJ33"/>
    <mergeCell ref="C34:G34"/>
    <mergeCell ref="H34:U34"/>
    <mergeCell ref="V34:AB34"/>
    <mergeCell ref="AC34:AR34"/>
    <mergeCell ref="AS34:BH34"/>
    <mergeCell ref="BI34:BL34"/>
    <mergeCell ref="BM34:CJ34"/>
    <mergeCell ref="C35:G35"/>
    <mergeCell ref="H35:U35"/>
    <mergeCell ref="V35:AB35"/>
    <mergeCell ref="AC35:AR35"/>
    <mergeCell ref="AS35:BH35"/>
    <mergeCell ref="BI35:BL35"/>
    <mergeCell ref="BM35:CJ35"/>
    <mergeCell ref="C36:G36"/>
    <mergeCell ref="H36:U36"/>
    <mergeCell ref="V36:AB36"/>
    <mergeCell ref="AC36:AR36"/>
    <mergeCell ref="AS36:BH36"/>
    <mergeCell ref="BI36:BL36"/>
    <mergeCell ref="BM36:CJ36"/>
    <mergeCell ref="C37:G37"/>
    <mergeCell ref="H37:U37"/>
    <mergeCell ref="V37:AB37"/>
    <mergeCell ref="AC37:AR37"/>
    <mergeCell ref="AS37:BH37"/>
    <mergeCell ref="BI37:BL37"/>
    <mergeCell ref="BM37:CJ37"/>
    <mergeCell ref="C38:G38"/>
    <mergeCell ref="H38:U38"/>
    <mergeCell ref="V38:AB38"/>
    <mergeCell ref="AC38:AR38"/>
    <mergeCell ref="AS38:BH38"/>
    <mergeCell ref="BI38:BL38"/>
    <mergeCell ref="BM38:CJ38"/>
    <mergeCell ref="C39:G39"/>
    <mergeCell ref="H39:U39"/>
    <mergeCell ref="V39:AB39"/>
    <mergeCell ref="AC39:AR39"/>
    <mergeCell ref="AS39:BH39"/>
    <mergeCell ref="BI39:BL39"/>
    <mergeCell ref="BM39:CJ39"/>
    <mergeCell ref="C40:G40"/>
    <mergeCell ref="H40:U40"/>
    <mergeCell ref="V40:AB40"/>
    <mergeCell ref="AC40:AR40"/>
    <mergeCell ref="AS40:BH40"/>
    <mergeCell ref="BI40:BL40"/>
    <mergeCell ref="BM40:CJ40"/>
    <mergeCell ref="C41:G41"/>
    <mergeCell ref="H41:U41"/>
    <mergeCell ref="V41:AB41"/>
    <mergeCell ref="AC41:AR41"/>
    <mergeCell ref="AS41:BH41"/>
    <mergeCell ref="BI41:BL41"/>
    <mergeCell ref="BM41:CJ41"/>
    <mergeCell ref="C42:G42"/>
    <mergeCell ref="H42:U42"/>
    <mergeCell ref="V42:AB42"/>
    <mergeCell ref="AC42:AR42"/>
    <mergeCell ref="AS42:BH42"/>
    <mergeCell ref="BI42:BL42"/>
    <mergeCell ref="BM42:CJ42"/>
    <mergeCell ref="C43:G43"/>
    <mergeCell ref="H43:U43"/>
    <mergeCell ref="V43:AB43"/>
    <mergeCell ref="AC43:AR43"/>
    <mergeCell ref="AS43:BH43"/>
    <mergeCell ref="BI43:BL43"/>
    <mergeCell ref="BM43:CJ43"/>
    <mergeCell ref="C44:G44"/>
    <mergeCell ref="H44:U44"/>
    <mergeCell ref="V44:AB44"/>
    <mergeCell ref="AC44:AR44"/>
    <mergeCell ref="AS44:BH44"/>
    <mergeCell ref="BI44:BL44"/>
    <mergeCell ref="BM44:CJ44"/>
    <mergeCell ref="C45:G45"/>
    <mergeCell ref="H45:U45"/>
    <mergeCell ref="V45:AB45"/>
    <mergeCell ref="AC45:AR45"/>
    <mergeCell ref="AS45:BH45"/>
    <mergeCell ref="BI45:BL45"/>
    <mergeCell ref="BM45:CJ45"/>
    <mergeCell ref="C46:G46"/>
    <mergeCell ref="H46:U46"/>
    <mergeCell ref="V46:AB46"/>
    <mergeCell ref="AC46:AR46"/>
    <mergeCell ref="AS46:BH46"/>
    <mergeCell ref="BI46:BL46"/>
    <mergeCell ref="BM46:CJ46"/>
    <mergeCell ref="C47:G47"/>
    <mergeCell ref="H47:U47"/>
    <mergeCell ref="V47:AB47"/>
    <mergeCell ref="AC47:AR47"/>
    <mergeCell ref="AS47:BH47"/>
    <mergeCell ref="BI47:BL47"/>
    <mergeCell ref="BM47:CJ47"/>
    <mergeCell ref="C48:G48"/>
    <mergeCell ref="H48:U48"/>
    <mergeCell ref="V48:AB48"/>
    <mergeCell ref="AC48:AR48"/>
    <mergeCell ref="AS48:BH48"/>
    <mergeCell ref="BI48:BL48"/>
    <mergeCell ref="BM48:CJ48"/>
    <mergeCell ref="C49:G49"/>
    <mergeCell ref="H49:U49"/>
    <mergeCell ref="V49:AB49"/>
    <mergeCell ref="AC49:AR49"/>
    <mergeCell ref="AS49:BH49"/>
    <mergeCell ref="BI49:BL49"/>
    <mergeCell ref="BM49:CJ49"/>
    <mergeCell ref="C50:G50"/>
    <mergeCell ref="H50:U50"/>
    <mergeCell ref="V50:AB50"/>
    <mergeCell ref="AC50:AR50"/>
    <mergeCell ref="AS50:BH50"/>
    <mergeCell ref="BI50:BL50"/>
    <mergeCell ref="BM50:CJ50"/>
    <mergeCell ref="C51:G51"/>
    <mergeCell ref="H51:U51"/>
    <mergeCell ref="V51:AB51"/>
    <mergeCell ref="AC51:AR51"/>
    <mergeCell ref="AS51:BH51"/>
    <mergeCell ref="BI51:BL51"/>
    <mergeCell ref="BM51:CJ51"/>
    <mergeCell ref="C52:G52"/>
    <mergeCell ref="H52:U52"/>
    <mergeCell ref="V52:AB52"/>
    <mergeCell ref="AC52:AR52"/>
    <mergeCell ref="AS52:BH52"/>
    <mergeCell ref="BI52:BL52"/>
    <mergeCell ref="BM52:CJ52"/>
    <mergeCell ref="C53:G53"/>
    <mergeCell ref="H53:U53"/>
    <mergeCell ref="V53:AB53"/>
    <mergeCell ref="AC53:AR53"/>
    <mergeCell ref="AS53:BH53"/>
    <mergeCell ref="BI53:BL53"/>
    <mergeCell ref="BM53:CJ53"/>
    <mergeCell ref="C54:G54"/>
    <mergeCell ref="H54:U54"/>
    <mergeCell ref="V54:AB54"/>
    <mergeCell ref="AC54:AR54"/>
    <mergeCell ref="AS54:BH54"/>
    <mergeCell ref="BI54:BL54"/>
    <mergeCell ref="BM54:CJ54"/>
    <mergeCell ref="C55:G55"/>
    <mergeCell ref="H55:U55"/>
    <mergeCell ref="V55:AB55"/>
    <mergeCell ref="AC55:AR55"/>
    <mergeCell ref="AS55:BH55"/>
    <mergeCell ref="BI55:BL55"/>
    <mergeCell ref="BM55:CJ55"/>
    <mergeCell ref="C56:G56"/>
    <mergeCell ref="H56:U56"/>
    <mergeCell ref="V56:AB56"/>
    <mergeCell ref="AC56:AR56"/>
    <mergeCell ref="AS56:BH56"/>
    <mergeCell ref="BI56:BL56"/>
    <mergeCell ref="BM56:CJ56"/>
    <mergeCell ref="C57:G57"/>
    <mergeCell ref="H57:U57"/>
    <mergeCell ref="V57:AB57"/>
    <mergeCell ref="AC57:AR57"/>
    <mergeCell ref="AS57:BH57"/>
    <mergeCell ref="BI57:BL57"/>
    <mergeCell ref="BM57:CJ57"/>
    <mergeCell ref="C58:G58"/>
    <mergeCell ref="H58:U58"/>
    <mergeCell ref="V58:AB58"/>
    <mergeCell ref="AC58:AR58"/>
    <mergeCell ref="AS58:BH58"/>
    <mergeCell ref="BI58:BL58"/>
    <mergeCell ref="BM58:CJ58"/>
    <mergeCell ref="C59:G59"/>
    <mergeCell ref="H59:U59"/>
    <mergeCell ref="V59:AB59"/>
    <mergeCell ref="AC59:AR59"/>
    <mergeCell ref="AS59:BH59"/>
    <mergeCell ref="BI59:BL59"/>
    <mergeCell ref="BM59:CJ59"/>
    <mergeCell ref="C60:G60"/>
    <mergeCell ref="H60:U60"/>
    <mergeCell ref="V60:AB60"/>
    <mergeCell ref="AC60:AR60"/>
    <mergeCell ref="AS60:BH60"/>
    <mergeCell ref="BI60:BL60"/>
    <mergeCell ref="BM60:CJ60"/>
    <mergeCell ref="C61:G61"/>
    <mergeCell ref="H61:U61"/>
    <mergeCell ref="V61:AB61"/>
    <mergeCell ref="AC61:AR61"/>
    <mergeCell ref="AS61:BH61"/>
    <mergeCell ref="BI61:BL61"/>
    <mergeCell ref="BM61:CJ61"/>
    <mergeCell ref="C62:G62"/>
    <mergeCell ref="H62:U62"/>
    <mergeCell ref="V62:AB62"/>
    <mergeCell ref="AC62:AR62"/>
    <mergeCell ref="AS62:BH62"/>
    <mergeCell ref="BI62:BL62"/>
    <mergeCell ref="BM62:CJ62"/>
    <mergeCell ref="C63:G63"/>
    <mergeCell ref="H63:U63"/>
    <mergeCell ref="V63:AB63"/>
    <mergeCell ref="AC63:AR63"/>
    <mergeCell ref="AS63:BH63"/>
    <mergeCell ref="BI63:BL63"/>
    <mergeCell ref="BM63:CJ63"/>
    <mergeCell ref="C64:G64"/>
    <mergeCell ref="H64:U64"/>
    <mergeCell ref="V64:AB64"/>
    <mergeCell ref="AC64:AR64"/>
    <mergeCell ref="AS64:BH64"/>
    <mergeCell ref="BI64:BL64"/>
    <mergeCell ref="BM64:CJ64"/>
    <mergeCell ref="C65:G65"/>
    <mergeCell ref="H65:U65"/>
    <mergeCell ref="V65:AB65"/>
    <mergeCell ref="AC65:AR65"/>
    <mergeCell ref="AS65:BH65"/>
    <mergeCell ref="BI65:BL65"/>
    <mergeCell ref="BM65:CJ65"/>
    <mergeCell ref="C66:G66"/>
    <mergeCell ref="H66:U66"/>
    <mergeCell ref="V66:AB66"/>
    <mergeCell ref="AC66:AR66"/>
    <mergeCell ref="AS66:BH66"/>
    <mergeCell ref="BI66:BL66"/>
    <mergeCell ref="BM66:CJ66"/>
    <mergeCell ref="C67:G67"/>
    <mergeCell ref="H67:U67"/>
    <mergeCell ref="V67:AB67"/>
    <mergeCell ref="AC67:AR67"/>
    <mergeCell ref="AS67:BH67"/>
    <mergeCell ref="BI67:BL67"/>
    <mergeCell ref="BM67:CJ67"/>
    <mergeCell ref="C68:G68"/>
    <mergeCell ref="H68:U68"/>
    <mergeCell ref="V68:AB68"/>
    <mergeCell ref="AC68:AR68"/>
    <mergeCell ref="AS68:BH68"/>
    <mergeCell ref="BI68:BL68"/>
    <mergeCell ref="BM68:CJ68"/>
    <mergeCell ref="C69:G69"/>
    <mergeCell ref="H69:U69"/>
    <mergeCell ref="V69:AB69"/>
    <mergeCell ref="AC69:AR69"/>
    <mergeCell ref="AS69:BH69"/>
    <mergeCell ref="BI69:BL69"/>
    <mergeCell ref="BM69:CJ69"/>
    <mergeCell ref="C70:G70"/>
    <mergeCell ref="H70:U70"/>
    <mergeCell ref="V70:AB70"/>
    <mergeCell ref="AC70:AR70"/>
    <mergeCell ref="AS70:BH70"/>
    <mergeCell ref="BI70:BL70"/>
    <mergeCell ref="BM70:CJ70"/>
    <mergeCell ref="C71:G71"/>
    <mergeCell ref="H71:U71"/>
    <mergeCell ref="V71:AB71"/>
    <mergeCell ref="AC71:AR71"/>
    <mergeCell ref="AS71:BH71"/>
    <mergeCell ref="BI71:BL71"/>
    <mergeCell ref="BM71:CJ71"/>
    <mergeCell ref="C72:G72"/>
    <mergeCell ref="H72:U72"/>
    <mergeCell ref="V72:AB72"/>
    <mergeCell ref="AC72:AR72"/>
    <mergeCell ref="AS72:BH72"/>
    <mergeCell ref="BI72:BL72"/>
    <mergeCell ref="BM72:CJ72"/>
    <mergeCell ref="C73:G73"/>
    <mergeCell ref="H73:U73"/>
    <mergeCell ref="V73:AB73"/>
    <mergeCell ref="AC73:AR73"/>
    <mergeCell ref="AS73:BH73"/>
    <mergeCell ref="BI73:BL73"/>
    <mergeCell ref="BM73:CJ73"/>
    <mergeCell ref="C74:G74"/>
    <mergeCell ref="H74:U74"/>
    <mergeCell ref="V74:AB74"/>
    <mergeCell ref="AC74:AR74"/>
    <mergeCell ref="AS74:BH74"/>
    <mergeCell ref="BI74:BL74"/>
    <mergeCell ref="BM74:CJ74"/>
    <mergeCell ref="C75:G75"/>
    <mergeCell ref="H75:U75"/>
    <mergeCell ref="V75:AB75"/>
    <mergeCell ref="AC75:AR75"/>
    <mergeCell ref="AS75:BH75"/>
    <mergeCell ref="BI75:BL75"/>
    <mergeCell ref="BM75:CJ75"/>
    <mergeCell ref="C76:G76"/>
    <mergeCell ref="H76:U76"/>
    <mergeCell ref="V76:AB76"/>
    <mergeCell ref="AC76:AR76"/>
    <mergeCell ref="AS76:BH76"/>
    <mergeCell ref="BI76:BL76"/>
    <mergeCell ref="BM76:CJ76"/>
    <mergeCell ref="C77:G77"/>
    <mergeCell ref="H77:U77"/>
    <mergeCell ref="V77:AB77"/>
    <mergeCell ref="AC77:AR77"/>
    <mergeCell ref="AS77:BH77"/>
    <mergeCell ref="BI77:BL77"/>
    <mergeCell ref="BM77:CJ77"/>
    <mergeCell ref="C78:G78"/>
    <mergeCell ref="H78:U78"/>
    <mergeCell ref="V78:AB78"/>
    <mergeCell ref="AC78:AR78"/>
    <mergeCell ref="AS78:BH78"/>
    <mergeCell ref="BI78:BL78"/>
    <mergeCell ref="BM78:CJ78"/>
    <mergeCell ref="C79:G79"/>
    <mergeCell ref="H79:U79"/>
    <mergeCell ref="V79:AB79"/>
    <mergeCell ref="AC79:AR79"/>
    <mergeCell ref="AS79:BH79"/>
    <mergeCell ref="BI79:BL79"/>
    <mergeCell ref="BM79:CJ79"/>
    <mergeCell ref="C80:G80"/>
    <mergeCell ref="H80:U80"/>
    <mergeCell ref="V80:AB80"/>
    <mergeCell ref="AC80:AR80"/>
    <mergeCell ref="AS80:BH80"/>
    <mergeCell ref="BI80:BL80"/>
    <mergeCell ref="BM80:CJ80"/>
    <mergeCell ref="C81:G81"/>
    <mergeCell ref="H81:U81"/>
    <mergeCell ref="V81:AB81"/>
    <mergeCell ref="AC81:AR81"/>
    <mergeCell ref="AS81:BH81"/>
    <mergeCell ref="BI81:BL81"/>
    <mergeCell ref="BM81:CJ81"/>
    <mergeCell ref="C82:G82"/>
    <mergeCell ref="H82:U82"/>
    <mergeCell ref="V82:AB82"/>
    <mergeCell ref="AC82:AR82"/>
    <mergeCell ref="AS82:BH82"/>
    <mergeCell ref="BI82:BL82"/>
    <mergeCell ref="BM82:CJ82"/>
    <mergeCell ref="C83:G83"/>
    <mergeCell ref="H83:U83"/>
    <mergeCell ref="V83:AB83"/>
    <mergeCell ref="AC83:AR83"/>
    <mergeCell ref="AS83:BH83"/>
    <mergeCell ref="BI83:BL83"/>
    <mergeCell ref="BM83:CJ83"/>
    <mergeCell ref="C84:G84"/>
    <mergeCell ref="H84:U84"/>
    <mergeCell ref="V84:AB84"/>
    <mergeCell ref="AC84:AR84"/>
    <mergeCell ref="AS84:BH84"/>
    <mergeCell ref="BI84:BL84"/>
    <mergeCell ref="BM84:CJ84"/>
    <mergeCell ref="C85:G85"/>
    <mergeCell ref="H85:U85"/>
    <mergeCell ref="V85:AB85"/>
    <mergeCell ref="AC85:AR85"/>
    <mergeCell ref="AS85:BH85"/>
    <mergeCell ref="BI85:BL85"/>
    <mergeCell ref="BM85:CJ85"/>
    <mergeCell ref="C86:G86"/>
    <mergeCell ref="H86:U86"/>
    <mergeCell ref="V86:AB86"/>
    <mergeCell ref="AC86:AR86"/>
    <mergeCell ref="AS86:BH86"/>
    <mergeCell ref="BI86:BL86"/>
    <mergeCell ref="BM86:CJ86"/>
    <mergeCell ref="C87:G87"/>
    <mergeCell ref="H87:U87"/>
    <mergeCell ref="V87:AB87"/>
    <mergeCell ref="AC87:AR87"/>
    <mergeCell ref="AS87:BH87"/>
    <mergeCell ref="BI87:BL87"/>
    <mergeCell ref="BM87:CJ87"/>
    <mergeCell ref="C88:G88"/>
    <mergeCell ref="H88:U88"/>
    <mergeCell ref="V88:AB88"/>
    <mergeCell ref="AC88:AR88"/>
    <mergeCell ref="AS88:BH88"/>
    <mergeCell ref="BI88:BL88"/>
    <mergeCell ref="BM88:CJ88"/>
    <mergeCell ref="C89:G89"/>
    <mergeCell ref="H89:U89"/>
    <mergeCell ref="V89:AB89"/>
    <mergeCell ref="AC89:AR89"/>
    <mergeCell ref="AS89:BH89"/>
    <mergeCell ref="BI89:BL89"/>
    <mergeCell ref="BM89:CJ89"/>
    <mergeCell ref="C90:G90"/>
    <mergeCell ref="H90:U90"/>
    <mergeCell ref="V90:AB90"/>
    <mergeCell ref="AC90:AR90"/>
    <mergeCell ref="AS90:BH90"/>
    <mergeCell ref="BI90:BL90"/>
    <mergeCell ref="BM90:CJ90"/>
    <mergeCell ref="C91:G91"/>
    <mergeCell ref="H91:U91"/>
    <mergeCell ref="V91:AB91"/>
    <mergeCell ref="AC91:AR91"/>
    <mergeCell ref="AS91:BH91"/>
    <mergeCell ref="BI91:BL91"/>
    <mergeCell ref="BM91:CJ91"/>
    <mergeCell ref="C92:G92"/>
    <mergeCell ref="H92:U92"/>
    <mergeCell ref="V92:AB92"/>
    <mergeCell ref="AC92:AR92"/>
    <mergeCell ref="AS92:BH92"/>
    <mergeCell ref="BI92:BL92"/>
    <mergeCell ref="BM92:CJ92"/>
    <mergeCell ref="C93:G93"/>
    <mergeCell ref="H93:U93"/>
    <mergeCell ref="V93:AB93"/>
    <mergeCell ref="AC93:AR93"/>
    <mergeCell ref="AS93:BH93"/>
    <mergeCell ref="BI93:BL93"/>
    <mergeCell ref="BM93:CJ93"/>
    <mergeCell ref="C94:G94"/>
    <mergeCell ref="H94:U94"/>
    <mergeCell ref="V94:AB94"/>
    <mergeCell ref="AC94:AR94"/>
    <mergeCell ref="AS94:BH94"/>
    <mergeCell ref="BI94:BL94"/>
    <mergeCell ref="BM94:CJ94"/>
    <mergeCell ref="C95:G95"/>
    <mergeCell ref="H95:U95"/>
    <mergeCell ref="V95:AB95"/>
    <mergeCell ref="AC95:AR95"/>
    <mergeCell ref="AS95:BH95"/>
    <mergeCell ref="BI95:BL95"/>
    <mergeCell ref="BM95:CJ95"/>
    <mergeCell ref="C96:G96"/>
    <mergeCell ref="H96:U96"/>
    <mergeCell ref="V96:AB96"/>
    <mergeCell ref="AC96:AR96"/>
    <mergeCell ref="AS96:BH96"/>
    <mergeCell ref="BI96:BL96"/>
    <mergeCell ref="BM96:CJ96"/>
    <mergeCell ref="C97:G97"/>
    <mergeCell ref="H97:U97"/>
    <mergeCell ref="V97:AB97"/>
    <mergeCell ref="AC97:AR97"/>
    <mergeCell ref="AS97:BH97"/>
    <mergeCell ref="BI97:BL97"/>
    <mergeCell ref="BM97:CJ97"/>
    <mergeCell ref="C98:G98"/>
    <mergeCell ref="H98:U98"/>
    <mergeCell ref="V98:AB98"/>
    <mergeCell ref="AC98:AR98"/>
    <mergeCell ref="AS98:BH98"/>
    <mergeCell ref="BI98:BL98"/>
    <mergeCell ref="BM98:CJ98"/>
    <mergeCell ref="C99:G99"/>
    <mergeCell ref="H99:U99"/>
    <mergeCell ref="V99:AB99"/>
    <mergeCell ref="AC99:AR99"/>
    <mergeCell ref="AS99:BH99"/>
    <mergeCell ref="BI99:BL99"/>
    <mergeCell ref="BM99:CJ99"/>
    <mergeCell ref="C100:G100"/>
    <mergeCell ref="H100:U100"/>
    <mergeCell ref="V100:AB100"/>
    <mergeCell ref="AC100:AR100"/>
    <mergeCell ref="AS100:BH100"/>
    <mergeCell ref="BI100:BL100"/>
    <mergeCell ref="BM100:CJ100"/>
    <mergeCell ref="C101:G101"/>
    <mergeCell ref="H101:U101"/>
    <mergeCell ref="V101:AB101"/>
    <mergeCell ref="AC101:AR101"/>
    <mergeCell ref="AS101:BH101"/>
    <mergeCell ref="BI101:BL101"/>
    <mergeCell ref="BM101:CJ101"/>
    <mergeCell ref="C102:G102"/>
    <mergeCell ref="H102:U102"/>
    <mergeCell ref="V102:AB102"/>
    <mergeCell ref="AC102:AR102"/>
    <mergeCell ref="AS102:BH102"/>
    <mergeCell ref="BI102:BL102"/>
    <mergeCell ref="BM102:CJ102"/>
    <mergeCell ref="C103:G103"/>
    <mergeCell ref="H103:U103"/>
    <mergeCell ref="V103:AB103"/>
    <mergeCell ref="AC103:AR103"/>
    <mergeCell ref="AS103:BH103"/>
    <mergeCell ref="BI103:BL103"/>
    <mergeCell ref="BM103:CJ103"/>
    <mergeCell ref="C104:G104"/>
    <mergeCell ref="H104:U104"/>
    <mergeCell ref="V104:AB104"/>
    <mergeCell ref="AC104:AR104"/>
    <mergeCell ref="AS104:BH104"/>
    <mergeCell ref="BI104:BL104"/>
    <mergeCell ref="BM104:CJ104"/>
    <mergeCell ref="C105:G105"/>
    <mergeCell ref="H105:U105"/>
    <mergeCell ref="V105:AB105"/>
    <mergeCell ref="AC105:AR105"/>
    <mergeCell ref="AS105:BH105"/>
    <mergeCell ref="BI105:BL105"/>
    <mergeCell ref="BM105:CJ105"/>
    <mergeCell ref="C106:G106"/>
    <mergeCell ref="H106:U106"/>
    <mergeCell ref="V106:AB106"/>
    <mergeCell ref="AC106:AR106"/>
    <mergeCell ref="AS106:BH106"/>
    <mergeCell ref="BI106:BL106"/>
    <mergeCell ref="BM106:CJ106"/>
    <mergeCell ref="C107:G107"/>
    <mergeCell ref="H107:U107"/>
    <mergeCell ref="V107:AB107"/>
    <mergeCell ref="AC107:AR107"/>
    <mergeCell ref="AS107:BH107"/>
    <mergeCell ref="BI107:BL107"/>
    <mergeCell ref="BM107:CJ107"/>
    <mergeCell ref="C108:G108"/>
    <mergeCell ref="H108:U108"/>
    <mergeCell ref="V108:AB108"/>
    <mergeCell ref="AC108:AR108"/>
    <mergeCell ref="AS108:BH108"/>
    <mergeCell ref="BI108:BL108"/>
    <mergeCell ref="BM108:CJ108"/>
    <mergeCell ref="C109:G109"/>
    <mergeCell ref="H109:U109"/>
    <mergeCell ref="V109:AB109"/>
    <mergeCell ref="AC109:AR109"/>
    <mergeCell ref="AS109:BH109"/>
    <mergeCell ref="BI109:BL109"/>
    <mergeCell ref="BM109:CJ109"/>
    <mergeCell ref="C110:G110"/>
    <mergeCell ref="H110:U110"/>
    <mergeCell ref="V110:AB110"/>
    <mergeCell ref="AC110:AR110"/>
    <mergeCell ref="AS110:BH110"/>
    <mergeCell ref="BI110:BL110"/>
    <mergeCell ref="BM110:CJ110"/>
    <mergeCell ref="C111:G111"/>
    <mergeCell ref="H111:U111"/>
    <mergeCell ref="V111:AB111"/>
    <mergeCell ref="AC111:AR111"/>
    <mergeCell ref="AS111:BH111"/>
    <mergeCell ref="BI111:BL111"/>
    <mergeCell ref="BM111:CJ111"/>
    <mergeCell ref="C112:G112"/>
    <mergeCell ref="H112:U112"/>
    <mergeCell ref="V112:AB112"/>
    <mergeCell ref="AC112:AR112"/>
    <mergeCell ref="AS112:BH112"/>
    <mergeCell ref="BI112:BL112"/>
    <mergeCell ref="BM112:CJ112"/>
    <mergeCell ref="C113:G113"/>
    <mergeCell ref="H113:U113"/>
    <mergeCell ref="V113:AB113"/>
    <mergeCell ref="AC113:AR113"/>
    <mergeCell ref="AS113:BH113"/>
    <mergeCell ref="BI113:BL113"/>
    <mergeCell ref="BM113:CJ113"/>
    <mergeCell ref="C114:G114"/>
    <mergeCell ref="H114:U114"/>
    <mergeCell ref="V114:AB114"/>
    <mergeCell ref="AC114:AR114"/>
    <mergeCell ref="AS114:BH114"/>
    <mergeCell ref="BI114:BL114"/>
    <mergeCell ref="BM114:CJ114"/>
    <mergeCell ref="C115:G115"/>
    <mergeCell ref="H115:U115"/>
    <mergeCell ref="V115:AB115"/>
    <mergeCell ref="AC115:AR115"/>
    <mergeCell ref="AS115:BH115"/>
    <mergeCell ref="BI115:BL115"/>
    <mergeCell ref="BM115:CJ115"/>
  </mergeCells>
  <pageMargins left="0.393700787401575" right="0.393700787401575" top="0.78740157480315" bottom="0.393700787401575" header="0.196850393700787" footer="0.196850393700787"/>
  <pageSetup paperSize="9" scale="73" fitToHeight="0" orientation="landscape"/>
  <headerFooter>
    <oddFooter>&amp;L&amp;"ＭＳ ゴシック,標準"&amp;9四国電力およびSTNet内利用に限定する&amp;C&amp;"ＭＳ ゴシック,標準"&amp;9&amp;P/&amp;N&amp;R&amp;"ＭＳ ゴシック,標準"&amp;9Copyright(C) 2024 YONDEN. All Rights Reserved.</oddFooter>
  </headerFooter>
  <rowBreaks count="1" manualBreakCount="1">
    <brk id="117" max="8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63"/>
  <sheetViews>
    <sheetView view="pageBreakPreview" zoomScaleNormal="85" workbookViewId="0">
      <selection activeCell="A1" sqref="A1"/>
    </sheetView>
  </sheetViews>
  <sheetFormatPr defaultColWidth="2.25" defaultRowHeight="13.5"/>
  <cols>
    <col min="1" max="16384" width="2.25" style="1"/>
  </cols>
  <sheetData>
    <row r="1" spans="1:9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9" t="s">
        <v>2</v>
      </c>
      <c r="BT1" s="40"/>
      <c r="BU1" s="40"/>
      <c r="BV1" s="40"/>
      <c r="BW1" s="43"/>
      <c r="BX1" s="39" t="s">
        <v>3</v>
      </c>
      <c r="BY1" s="40"/>
      <c r="BZ1" s="40"/>
      <c r="CA1" s="40"/>
      <c r="CB1" s="43"/>
      <c r="CC1" s="39" t="s">
        <v>4</v>
      </c>
      <c r="CD1" s="40"/>
      <c r="CE1" s="40"/>
      <c r="CF1" s="40"/>
      <c r="CG1" s="40"/>
      <c r="CH1" s="43"/>
      <c r="CI1" s="39" t="s">
        <v>5</v>
      </c>
      <c r="CJ1" s="40"/>
      <c r="CK1" s="40"/>
      <c r="CL1" s="43"/>
    </row>
    <row r="2" spans="1:90">
      <c r="A2" s="3">
        <f>変更履歴!$A$2</f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tr">
        <f>変更履歴!$J$2</f>
        <v>マスタコード体系／一覧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41">
        <f>変更履歴!AU2</f>
        <v>45518</v>
      </c>
      <c r="BT2" s="42"/>
      <c r="BU2" s="42"/>
      <c r="BV2" s="42"/>
      <c r="BW2" s="44"/>
      <c r="BX2" s="41" t="str">
        <f>変更履歴!AZ2</f>
        <v/>
      </c>
      <c r="BY2" s="42"/>
      <c r="BZ2" s="42"/>
      <c r="CA2" s="42"/>
      <c r="CB2" s="44"/>
      <c r="CC2" s="45" t="str">
        <f>変更履歴!BE2</f>
        <v>穆政道</v>
      </c>
      <c r="CD2" s="42"/>
      <c r="CE2" s="42"/>
      <c r="CF2" s="42"/>
      <c r="CG2" s="42"/>
      <c r="CH2" s="44"/>
      <c r="CI2" s="46">
        <f>変更履歴!BK2</f>
        <v>1</v>
      </c>
      <c r="CJ2" s="42"/>
      <c r="CK2" s="42"/>
      <c r="CL2" s="44"/>
    </row>
    <row r="3" ht="24" customHeight="1" spans="1:90">
      <c r="A3" s="4"/>
      <c r="B3" s="5" t="s">
        <v>155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r="4" ht="24" customHeight="1" spans="1:90">
      <c r="A4" s="4"/>
      <c r="B4" s="5"/>
      <c r="C4" s="4"/>
      <c r="D4" s="4" t="s">
        <v>156</v>
      </c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r="5" ht="24" customHeight="1" spans="1:90">
      <c r="A5" s="4"/>
      <c r="B5" s="5"/>
      <c r="C5" s="4"/>
      <c r="D5" s="4"/>
      <c r="E5" s="8" t="s">
        <v>157</v>
      </c>
      <c r="F5" s="9"/>
      <c r="G5" s="9"/>
      <c r="H5" s="9"/>
      <c r="I5" s="9"/>
      <c r="J5" s="9"/>
      <c r="K5" s="9"/>
      <c r="L5" s="9"/>
      <c r="M5" s="9"/>
      <c r="N5" s="9"/>
      <c r="O5" s="9"/>
      <c r="P5" s="13"/>
      <c r="Q5" s="8" t="s">
        <v>158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3"/>
      <c r="AY5" s="8" t="s">
        <v>159</v>
      </c>
      <c r="AZ5" s="9"/>
      <c r="BA5" s="9"/>
      <c r="BB5" s="9"/>
      <c r="BC5" s="9"/>
      <c r="BD5" s="9"/>
      <c r="BE5" s="9"/>
      <c r="BF5" s="13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ht="24" customHeight="1" spans="1:90">
      <c r="A6" s="4"/>
      <c r="B6" s="5"/>
      <c r="C6" s="4"/>
      <c r="D6" s="4"/>
      <c r="E6" s="10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9"/>
      <c r="Q6" s="10">
        <v>2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9"/>
      <c r="AY6" s="10">
        <v>3</v>
      </c>
      <c r="AZ6" s="11"/>
      <c r="BA6" s="11"/>
      <c r="BB6" s="11"/>
      <c r="BC6" s="11"/>
      <c r="BD6" s="11"/>
      <c r="BE6" s="11"/>
      <c r="BF6" s="19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</row>
    <row r="7" ht="24" customHeight="1" spans="1:90">
      <c r="A7" s="4"/>
      <c r="B7" s="5"/>
      <c r="C7" s="4"/>
      <c r="D7" s="6"/>
      <c r="E7" s="12" t="s">
        <v>160</v>
      </c>
      <c r="F7" s="12"/>
      <c r="G7" s="12" t="s">
        <v>161</v>
      </c>
      <c r="H7" s="12"/>
      <c r="I7" s="12" t="s">
        <v>162</v>
      </c>
      <c r="J7" s="12"/>
      <c r="K7" s="12" t="s">
        <v>163</v>
      </c>
      <c r="L7" s="12"/>
      <c r="M7" s="12" t="s">
        <v>161</v>
      </c>
      <c r="N7" s="12"/>
      <c r="O7" s="12" t="s">
        <v>164</v>
      </c>
      <c r="P7" s="12"/>
      <c r="Q7" s="12" t="s">
        <v>165</v>
      </c>
      <c r="R7" s="12"/>
      <c r="S7" s="12" t="s">
        <v>165</v>
      </c>
      <c r="T7" s="12"/>
      <c r="U7" s="12" t="s">
        <v>165</v>
      </c>
      <c r="V7" s="12"/>
      <c r="W7" s="12" t="s">
        <v>165</v>
      </c>
      <c r="X7" s="12"/>
      <c r="Y7" s="12" t="s">
        <v>166</v>
      </c>
      <c r="Z7" s="12"/>
      <c r="AA7" s="12" t="s">
        <v>166</v>
      </c>
      <c r="AB7" s="12"/>
      <c r="AC7" s="12" t="s">
        <v>162</v>
      </c>
      <c r="AD7" s="12"/>
      <c r="AE7" s="12" t="s">
        <v>162</v>
      </c>
      <c r="AF7" s="12"/>
      <c r="AG7" s="12" t="s">
        <v>167</v>
      </c>
      <c r="AH7" s="12"/>
      <c r="AI7" s="12" t="s">
        <v>167</v>
      </c>
      <c r="AJ7" s="12"/>
      <c r="AK7" s="12" t="s">
        <v>168</v>
      </c>
      <c r="AL7" s="12"/>
      <c r="AM7" s="12" t="s">
        <v>168</v>
      </c>
      <c r="AN7" s="12"/>
      <c r="AO7" s="12" t="s">
        <v>169</v>
      </c>
      <c r="AP7" s="12"/>
      <c r="AQ7" s="12" t="s">
        <v>169</v>
      </c>
      <c r="AR7" s="12"/>
      <c r="AS7" s="12" t="s">
        <v>170</v>
      </c>
      <c r="AT7" s="12"/>
      <c r="AU7" s="12" t="s">
        <v>170</v>
      </c>
      <c r="AV7" s="12"/>
      <c r="AW7" s="12" t="s">
        <v>170</v>
      </c>
      <c r="AX7" s="12"/>
      <c r="AY7" s="12">
        <v>9</v>
      </c>
      <c r="AZ7" s="12"/>
      <c r="BA7" s="12">
        <v>9</v>
      </c>
      <c r="BB7" s="12"/>
      <c r="BC7" s="12">
        <v>9</v>
      </c>
      <c r="BD7" s="12"/>
      <c r="BE7" s="12">
        <v>9</v>
      </c>
      <c r="BF7" s="12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</row>
    <row r="8" ht="24" customHeight="1" spans="1:90">
      <c r="A8" s="4"/>
      <c r="B8" s="5"/>
      <c r="C8" s="4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38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</row>
    <row r="9" ht="24" customHeight="1" spans="1:90">
      <c r="A9" s="4"/>
      <c r="B9" s="5"/>
      <c r="C9" s="4"/>
      <c r="D9" s="6"/>
      <c r="E9" s="8" t="s">
        <v>171</v>
      </c>
      <c r="F9" s="13"/>
      <c r="G9" s="8" t="s">
        <v>172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3"/>
      <c r="X9" s="8" t="s">
        <v>20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3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</row>
    <row r="10" ht="24" customHeight="1" spans="1:90">
      <c r="A10" s="4"/>
      <c r="B10" s="5"/>
      <c r="C10" s="4"/>
      <c r="D10" s="6"/>
      <c r="E10" s="14">
        <v>1</v>
      </c>
      <c r="F10" s="15"/>
      <c r="G10" s="16" t="s">
        <v>157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33"/>
      <c r="X10" s="16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33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</row>
    <row r="11" ht="24" customHeight="1" spans="1:90">
      <c r="A11" s="4"/>
      <c r="B11" s="5"/>
      <c r="C11" s="4"/>
      <c r="D11" s="6"/>
      <c r="E11" s="14">
        <v>2</v>
      </c>
      <c r="F11" s="15"/>
      <c r="G11" s="16" t="s">
        <v>173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33"/>
      <c r="X11" s="16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33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</row>
    <row r="12" ht="24" customHeight="1" spans="1:90">
      <c r="A12" s="4"/>
      <c r="B12" s="5"/>
      <c r="C12" s="4"/>
      <c r="D12" s="4"/>
      <c r="E12" s="14">
        <v>3</v>
      </c>
      <c r="F12" s="15"/>
      <c r="G12" s="16" t="s">
        <v>174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33"/>
      <c r="X12" s="16" t="s">
        <v>175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33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</row>
    <row r="13" ht="24" customHeight="1" spans="1:90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</row>
    <row r="14" ht="24" customHeight="1" spans="1:90">
      <c r="A14" s="4"/>
      <c r="B14" s="4"/>
      <c r="C14" s="4"/>
      <c r="D14" s="4" t="s">
        <v>176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4"/>
    </row>
    <row r="15" ht="24" customHeight="1" spans="1:90">
      <c r="A15" s="4"/>
      <c r="B15" s="4"/>
      <c r="C15" s="4"/>
      <c r="D15" s="6"/>
      <c r="E15" s="18" t="s">
        <v>177</v>
      </c>
      <c r="F15" s="18"/>
      <c r="G15" s="18"/>
      <c r="H15" s="18"/>
      <c r="I15" s="18"/>
      <c r="J15" s="18"/>
      <c r="K15" s="18" t="s">
        <v>178</v>
      </c>
      <c r="L15" s="18"/>
      <c r="M15" s="18"/>
      <c r="N15" s="18"/>
      <c r="O15" s="9" t="s">
        <v>179</v>
      </c>
      <c r="P15" s="9"/>
      <c r="Q15" s="9"/>
      <c r="R15" s="13"/>
      <c r="S15" s="18"/>
      <c r="T15" s="18"/>
      <c r="U15" s="9" t="s">
        <v>180</v>
      </c>
      <c r="V15" s="9"/>
      <c r="W15" s="9"/>
      <c r="X15" s="13"/>
      <c r="Y15" s="18"/>
      <c r="Z15" s="18"/>
      <c r="AA15" s="9" t="s">
        <v>181</v>
      </c>
      <c r="AB15" s="9"/>
      <c r="AC15" s="9"/>
      <c r="AD15" s="13"/>
      <c r="AE15" s="18"/>
      <c r="AF15" s="18"/>
      <c r="AG15" s="9" t="s">
        <v>182</v>
      </c>
      <c r="AH15" s="9"/>
      <c r="AI15" s="9"/>
      <c r="AJ15" s="13"/>
      <c r="AK15" s="38"/>
      <c r="AL15" s="38"/>
      <c r="AM15" s="7" t="s">
        <v>183</v>
      </c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4"/>
    </row>
    <row r="16" ht="24" customHeight="1" spans="1:90">
      <c r="A16" s="4"/>
      <c r="B16" s="4"/>
      <c r="C16" s="4"/>
      <c r="D16" s="6"/>
      <c r="E16" s="12">
        <v>1</v>
      </c>
      <c r="F16" s="12"/>
      <c r="G16" s="12"/>
      <c r="H16" s="12"/>
      <c r="I16" s="12"/>
      <c r="J16" s="12"/>
      <c r="K16" s="12">
        <v>2</v>
      </c>
      <c r="L16" s="12"/>
      <c r="M16" s="12"/>
      <c r="N16" s="12"/>
      <c r="O16" s="11">
        <v>3</v>
      </c>
      <c r="P16" s="11"/>
      <c r="Q16" s="11"/>
      <c r="R16" s="19"/>
      <c r="S16" s="12"/>
      <c r="T16" s="12"/>
      <c r="U16" s="11">
        <v>4</v>
      </c>
      <c r="V16" s="11"/>
      <c r="W16" s="11"/>
      <c r="X16" s="19"/>
      <c r="Y16" s="12"/>
      <c r="Z16" s="12"/>
      <c r="AA16" s="11">
        <v>5</v>
      </c>
      <c r="AB16" s="11"/>
      <c r="AC16" s="11"/>
      <c r="AD16" s="19"/>
      <c r="AE16" s="12"/>
      <c r="AF16" s="12"/>
      <c r="AG16" s="11">
        <v>6</v>
      </c>
      <c r="AH16" s="11"/>
      <c r="AI16" s="11"/>
      <c r="AJ16" s="19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4"/>
    </row>
    <row r="17" ht="24" customHeight="1" spans="1:90">
      <c r="A17" s="4"/>
      <c r="B17" s="4"/>
      <c r="C17" s="4"/>
      <c r="D17" s="6"/>
      <c r="E17" s="10" t="s">
        <v>184</v>
      </c>
      <c r="F17" s="11"/>
      <c r="G17" s="11"/>
      <c r="H17" s="19"/>
      <c r="I17" s="121" t="s">
        <v>185</v>
      </c>
      <c r="J17" s="12"/>
      <c r="K17" s="12" t="s">
        <v>184</v>
      </c>
      <c r="L17" s="12"/>
      <c r="M17" s="121" t="s">
        <v>185</v>
      </c>
      <c r="N17" s="12"/>
      <c r="O17" s="10" t="s">
        <v>184</v>
      </c>
      <c r="P17" s="11"/>
      <c r="Q17" s="11"/>
      <c r="R17" s="19"/>
      <c r="S17" s="121" t="s">
        <v>185</v>
      </c>
      <c r="T17" s="12"/>
      <c r="U17" s="10" t="s">
        <v>184</v>
      </c>
      <c r="V17" s="11"/>
      <c r="W17" s="11"/>
      <c r="X17" s="19"/>
      <c r="Y17" s="121" t="s">
        <v>185</v>
      </c>
      <c r="Z17" s="12"/>
      <c r="AA17" s="10" t="s">
        <v>184</v>
      </c>
      <c r="AB17" s="11"/>
      <c r="AC17" s="11"/>
      <c r="AD17" s="19"/>
      <c r="AE17" s="121" t="s">
        <v>185</v>
      </c>
      <c r="AF17" s="12"/>
      <c r="AG17" s="10" t="s">
        <v>184</v>
      </c>
      <c r="AH17" s="11"/>
      <c r="AI17" s="11"/>
      <c r="AJ17" s="19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4"/>
    </row>
    <row r="18" ht="24" customHeight="1" spans="1:90">
      <c r="A18" s="4"/>
      <c r="B18" s="4"/>
      <c r="C18" s="4"/>
      <c r="D18" s="6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4"/>
    </row>
    <row r="19" ht="24" customHeight="1" spans="1:90">
      <c r="A19" s="4"/>
      <c r="B19" s="4"/>
      <c r="C19" s="4"/>
      <c r="D19" s="6"/>
      <c r="E19" s="8" t="s">
        <v>171</v>
      </c>
      <c r="F19" s="13"/>
      <c r="G19" s="8" t="s">
        <v>172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3"/>
      <c r="X19" s="8" t="s">
        <v>20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13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4"/>
    </row>
    <row r="20" ht="24" customHeight="1" spans="1:90">
      <c r="A20" s="4"/>
      <c r="B20" s="4"/>
      <c r="C20" s="4"/>
      <c r="D20" s="6"/>
      <c r="E20" s="14">
        <v>1</v>
      </c>
      <c r="F20" s="15"/>
      <c r="G20" s="16" t="s">
        <v>177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33"/>
      <c r="X20" s="16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33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4"/>
    </row>
    <row r="21" ht="24" customHeight="1" spans="1:90">
      <c r="A21" s="4"/>
      <c r="B21" s="4"/>
      <c r="C21" s="4"/>
      <c r="D21" s="6"/>
      <c r="E21" s="14">
        <v>2</v>
      </c>
      <c r="F21" s="15"/>
      <c r="G21" s="16" t="s">
        <v>178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33"/>
      <c r="X21" s="16" t="s">
        <v>186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33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4"/>
    </row>
    <row r="22" ht="24" customHeight="1" spans="1:90">
      <c r="A22" s="4"/>
      <c r="B22" s="4"/>
      <c r="C22" s="4"/>
      <c r="D22" s="6"/>
      <c r="E22" s="14">
        <v>3</v>
      </c>
      <c r="F22" s="15"/>
      <c r="G22" s="16" t="s">
        <v>179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33"/>
      <c r="X22" s="16" t="s">
        <v>187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33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4"/>
    </row>
    <row r="23" ht="24" customHeight="1" spans="1:90">
      <c r="A23" s="4"/>
      <c r="B23" s="4"/>
      <c r="C23" s="4"/>
      <c r="D23" s="6"/>
      <c r="E23" s="14">
        <v>4</v>
      </c>
      <c r="F23" s="15"/>
      <c r="G23" s="16" t="s">
        <v>188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33"/>
      <c r="X23" s="16" t="s">
        <v>189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33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4"/>
    </row>
    <row r="24" ht="24" customHeight="1" spans="1:90">
      <c r="A24" s="4"/>
      <c r="B24" s="4"/>
      <c r="C24" s="4"/>
      <c r="D24" s="6"/>
      <c r="E24" s="14">
        <v>5</v>
      </c>
      <c r="F24" s="15"/>
      <c r="G24" s="16" t="s">
        <v>190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33"/>
      <c r="X24" s="16" t="s">
        <v>191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33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4"/>
    </row>
    <row r="25" ht="24" customHeight="1" spans="1:90">
      <c r="A25" s="4"/>
      <c r="B25" s="4"/>
      <c r="C25" s="4"/>
      <c r="D25" s="6"/>
      <c r="E25" s="14">
        <v>6</v>
      </c>
      <c r="F25" s="15"/>
      <c r="G25" s="16" t="s">
        <v>192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33"/>
      <c r="X25" s="16" t="s">
        <v>193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33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4"/>
    </row>
    <row r="26" ht="24" customHeight="1" spans="1:90">
      <c r="A26" s="4"/>
      <c r="B26" s="4"/>
      <c r="C26" s="4"/>
      <c r="D26" s="6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4"/>
    </row>
    <row r="27" ht="24" customHeight="1" spans="1:90">
      <c r="A27" s="4"/>
      <c r="B27" s="4"/>
      <c r="C27" s="4"/>
      <c r="D27" s="4" t="s">
        <v>194</v>
      </c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4"/>
    </row>
    <row r="28" ht="24" customHeight="1" spans="1:90">
      <c r="A28" s="4"/>
      <c r="B28" s="4"/>
      <c r="C28" s="4"/>
      <c r="D28" s="6"/>
      <c r="E28" s="8" t="s">
        <v>195</v>
      </c>
      <c r="F28" s="9"/>
      <c r="G28" s="9"/>
      <c r="H28" s="9"/>
      <c r="I28" s="9"/>
      <c r="J28" s="9"/>
      <c r="K28" s="9"/>
      <c r="L28" s="13"/>
      <c r="M28" s="8"/>
      <c r="N28" s="13"/>
      <c r="O28" s="24" t="s">
        <v>55</v>
      </c>
      <c r="P28" s="28"/>
      <c r="Q28" s="18"/>
      <c r="R28" s="18"/>
      <c r="S28" s="8" t="s">
        <v>158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13"/>
      <c r="AE28" s="32"/>
      <c r="AF28" s="35"/>
      <c r="AG28" s="8" t="s">
        <v>196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3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4"/>
    </row>
    <row r="29" ht="24" customHeight="1" spans="1:90">
      <c r="A29" s="4"/>
      <c r="B29" s="4"/>
      <c r="C29" s="4"/>
      <c r="D29" s="6"/>
      <c r="E29" s="10">
        <v>1</v>
      </c>
      <c r="F29" s="11"/>
      <c r="G29" s="11"/>
      <c r="H29" s="11"/>
      <c r="I29" s="11"/>
      <c r="J29" s="11"/>
      <c r="K29" s="11"/>
      <c r="L29" s="19"/>
      <c r="M29" s="10"/>
      <c r="N29" s="19"/>
      <c r="O29" s="29">
        <v>2</v>
      </c>
      <c r="P29" s="30"/>
      <c r="Q29" s="20"/>
      <c r="R29" s="21"/>
      <c r="S29" s="10">
        <v>3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9"/>
      <c r="AE29" s="36"/>
      <c r="AF29" s="37"/>
      <c r="AG29" s="10">
        <v>4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9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4"/>
      <c r="BI29" s="6"/>
      <c r="BJ29" s="7"/>
      <c r="BK29" s="38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4"/>
    </row>
    <row r="30" ht="24" customHeight="1" spans="1:90">
      <c r="A30" s="4"/>
      <c r="B30" s="4"/>
      <c r="C30" s="4"/>
      <c r="D30" s="6"/>
      <c r="E30" s="20" t="s">
        <v>184</v>
      </c>
      <c r="F30" s="21"/>
      <c r="G30" s="20" t="s">
        <v>184</v>
      </c>
      <c r="H30" s="21"/>
      <c r="I30" s="20" t="s">
        <v>184</v>
      </c>
      <c r="J30" s="21"/>
      <c r="K30" s="20" t="s">
        <v>184</v>
      </c>
      <c r="L30" s="21"/>
      <c r="M30" s="121" t="s">
        <v>185</v>
      </c>
      <c r="N30" s="12"/>
      <c r="O30" s="20" t="s">
        <v>184</v>
      </c>
      <c r="P30" s="21"/>
      <c r="Q30" s="122" t="s">
        <v>185</v>
      </c>
      <c r="R30" s="21"/>
      <c r="S30" s="20" t="s">
        <v>165</v>
      </c>
      <c r="T30" s="21"/>
      <c r="U30" s="20" t="s">
        <v>165</v>
      </c>
      <c r="V30" s="21"/>
      <c r="W30" s="20" t="s">
        <v>165</v>
      </c>
      <c r="X30" s="21"/>
      <c r="Y30" s="20" t="s">
        <v>165</v>
      </c>
      <c r="Z30" s="21"/>
      <c r="AA30" s="20" t="s">
        <v>166</v>
      </c>
      <c r="AB30" s="21"/>
      <c r="AC30" s="20" t="s">
        <v>166</v>
      </c>
      <c r="AD30" s="21"/>
      <c r="AE30" s="122" t="s">
        <v>185</v>
      </c>
      <c r="AF30" s="21"/>
      <c r="AG30" s="20">
        <v>9</v>
      </c>
      <c r="AH30" s="21"/>
      <c r="AI30" s="20">
        <v>9</v>
      </c>
      <c r="AJ30" s="21"/>
      <c r="AK30" s="20">
        <v>9</v>
      </c>
      <c r="AL30" s="21"/>
      <c r="AM30" s="20">
        <v>9</v>
      </c>
      <c r="AN30" s="21"/>
      <c r="AO30" s="20">
        <v>9</v>
      </c>
      <c r="AP30" s="21"/>
      <c r="AQ30" s="20">
        <v>9</v>
      </c>
      <c r="AR30" s="21"/>
      <c r="AS30" s="20">
        <v>9</v>
      </c>
      <c r="AT30" s="21"/>
      <c r="AU30" s="20">
        <v>9</v>
      </c>
      <c r="AV30" s="21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6"/>
      <c r="BI30" s="6"/>
      <c r="BJ30" s="7"/>
      <c r="BK30" s="38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4"/>
    </row>
    <row r="31" ht="24" customHeight="1" spans="1:90">
      <c r="A31" s="4"/>
      <c r="B31" s="4"/>
      <c r="C31" s="4"/>
      <c r="D31" s="6"/>
      <c r="E31" s="22"/>
      <c r="F31" s="23"/>
      <c r="G31" s="22"/>
      <c r="H31" s="23"/>
      <c r="I31" s="22"/>
      <c r="J31" s="23"/>
      <c r="K31" s="22"/>
      <c r="L31" s="23"/>
      <c r="M31" s="12"/>
      <c r="N31" s="12"/>
      <c r="O31" s="22"/>
      <c r="P31" s="23"/>
      <c r="Q31" s="22"/>
      <c r="R31" s="23"/>
      <c r="S31" s="22"/>
      <c r="T31" s="23"/>
      <c r="U31" s="22"/>
      <c r="V31" s="23"/>
      <c r="W31" s="22"/>
      <c r="X31" s="23"/>
      <c r="Y31" s="22"/>
      <c r="Z31" s="23"/>
      <c r="AA31" s="22"/>
      <c r="AB31" s="23"/>
      <c r="AC31" s="22"/>
      <c r="AD31" s="23"/>
      <c r="AE31" s="22"/>
      <c r="AF31" s="23"/>
      <c r="AG31" s="22"/>
      <c r="AH31" s="23"/>
      <c r="AI31" s="22"/>
      <c r="AJ31" s="23"/>
      <c r="AK31" s="22"/>
      <c r="AL31" s="23"/>
      <c r="AM31" s="22"/>
      <c r="AN31" s="23"/>
      <c r="AO31" s="22"/>
      <c r="AP31" s="23"/>
      <c r="AQ31" s="22"/>
      <c r="AR31" s="23"/>
      <c r="AS31" s="22"/>
      <c r="AT31" s="23"/>
      <c r="AU31" s="22"/>
      <c r="AV31" s="23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6"/>
      <c r="BI31" s="7"/>
      <c r="BJ31" s="7"/>
      <c r="BK31" s="38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4"/>
    </row>
    <row r="32" ht="24" customHeight="1" spans="1:90">
      <c r="A32" s="4"/>
      <c r="B32" s="4"/>
      <c r="C32" s="4"/>
      <c r="D32" s="4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4"/>
    </row>
    <row r="33" ht="24" customHeight="1" spans="1:90">
      <c r="A33" s="4"/>
      <c r="B33" s="4"/>
      <c r="C33" s="4"/>
      <c r="D33" s="4"/>
      <c r="E33" s="8" t="s">
        <v>171</v>
      </c>
      <c r="F33" s="13"/>
      <c r="G33" s="8" t="s">
        <v>172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3"/>
      <c r="X33" s="8" t="s">
        <v>20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13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4"/>
    </row>
    <row r="34" ht="24" customHeight="1" spans="1:90">
      <c r="A34" s="4"/>
      <c r="B34" s="4"/>
      <c r="C34" s="4"/>
      <c r="D34" s="4"/>
      <c r="E34" s="14">
        <v>1</v>
      </c>
      <c r="F34" s="15"/>
      <c r="G34" s="16" t="s">
        <v>195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33"/>
      <c r="X34" s="16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33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4"/>
    </row>
    <row r="35" ht="24" customHeight="1" spans="1:90">
      <c r="A35" s="4"/>
      <c r="B35" s="4"/>
      <c r="C35" s="4"/>
      <c r="D35" s="4"/>
      <c r="E35" s="14">
        <v>2</v>
      </c>
      <c r="F35" s="15"/>
      <c r="G35" s="16" t="s">
        <v>55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33"/>
      <c r="X35" s="16" t="s">
        <v>197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33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4"/>
    </row>
    <row r="36" ht="24" customHeight="1" spans="1:90">
      <c r="A36" s="4"/>
      <c r="B36" s="4"/>
      <c r="C36" s="4"/>
      <c r="D36" s="4"/>
      <c r="E36" s="14">
        <v>3</v>
      </c>
      <c r="F36" s="15"/>
      <c r="G36" s="16" t="s">
        <v>158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33"/>
      <c r="X36" s="16" t="s">
        <v>198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33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4"/>
    </row>
    <row r="37" ht="24" customHeight="1" spans="1:90">
      <c r="A37" s="4"/>
      <c r="B37" s="4"/>
      <c r="C37" s="4"/>
      <c r="D37" s="4"/>
      <c r="E37" s="14">
        <v>4</v>
      </c>
      <c r="F37" s="15"/>
      <c r="G37" s="16" t="s">
        <v>196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33"/>
      <c r="X37" s="16" t="s">
        <v>199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33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4"/>
    </row>
    <row r="38" ht="24" customHeight="1"/>
    <row r="39" ht="24" customHeight="1" spans="4:4">
      <c r="D39" s="4" t="s">
        <v>200</v>
      </c>
    </row>
    <row r="40" ht="24" customHeight="1" spans="5:18">
      <c r="E40" s="24" t="s">
        <v>201</v>
      </c>
      <c r="F40" s="25"/>
      <c r="G40" s="25"/>
      <c r="H40" s="25"/>
      <c r="I40" s="25"/>
      <c r="J40" s="25"/>
      <c r="K40" s="25"/>
      <c r="L40" s="28"/>
      <c r="M40" s="8" t="s">
        <v>202</v>
      </c>
      <c r="N40" s="9"/>
      <c r="O40" s="9"/>
      <c r="P40" s="9"/>
      <c r="Q40" s="9"/>
      <c r="R40" s="13"/>
    </row>
    <row r="41" ht="24" customHeight="1" spans="5:18">
      <c r="E41" s="20" t="s">
        <v>203</v>
      </c>
      <c r="F41" s="26"/>
      <c r="G41" s="26"/>
      <c r="H41" s="26"/>
      <c r="I41" s="26"/>
      <c r="J41" s="26"/>
      <c r="K41" s="26"/>
      <c r="L41" s="21"/>
      <c r="M41" s="20">
        <v>9</v>
      </c>
      <c r="N41" s="21"/>
      <c r="O41" s="20">
        <v>9</v>
      </c>
      <c r="P41" s="21"/>
      <c r="Q41" s="20">
        <v>9</v>
      </c>
      <c r="R41" s="21"/>
    </row>
    <row r="42" ht="24" customHeight="1" spans="5:23">
      <c r="E42" s="22"/>
      <c r="F42" s="27"/>
      <c r="G42" s="27"/>
      <c r="H42" s="27"/>
      <c r="I42" s="27"/>
      <c r="J42" s="27"/>
      <c r="K42" s="27"/>
      <c r="L42" s="23"/>
      <c r="M42" s="22"/>
      <c r="N42" s="23"/>
      <c r="O42" s="22"/>
      <c r="P42" s="23"/>
      <c r="Q42" s="22"/>
      <c r="R42" s="23"/>
      <c r="W42" s="34" t="s">
        <v>204</v>
      </c>
    </row>
    <row r="43" ht="24" customHeight="1"/>
    <row r="44" ht="24" customHeight="1" spans="4:4">
      <c r="D44" s="4" t="s">
        <v>205</v>
      </c>
    </row>
    <row r="45" ht="24" customHeight="1" spans="5:20">
      <c r="E45" s="8" t="s">
        <v>206</v>
      </c>
      <c r="F45" s="9"/>
      <c r="G45" s="9"/>
      <c r="H45" s="9"/>
      <c r="I45" s="9"/>
      <c r="J45" s="9"/>
      <c r="K45" s="9"/>
      <c r="L45" s="13"/>
      <c r="M45" s="31"/>
      <c r="N45" s="32"/>
      <c r="O45" s="8" t="s">
        <v>202</v>
      </c>
      <c r="P45" s="9"/>
      <c r="Q45" s="9"/>
      <c r="R45" s="9"/>
      <c r="S45" s="9"/>
      <c r="T45" s="13"/>
    </row>
    <row r="46" ht="24" customHeight="1" spans="5:20">
      <c r="E46" s="20" t="s">
        <v>203</v>
      </c>
      <c r="F46" s="26"/>
      <c r="G46" s="26"/>
      <c r="H46" s="26"/>
      <c r="I46" s="26"/>
      <c r="J46" s="26"/>
      <c r="K46" s="26"/>
      <c r="L46" s="21"/>
      <c r="M46" s="122" t="s">
        <v>185</v>
      </c>
      <c r="N46" s="21"/>
      <c r="O46" s="20">
        <v>9</v>
      </c>
      <c r="P46" s="21"/>
      <c r="Q46" s="20">
        <v>9</v>
      </c>
      <c r="R46" s="21"/>
      <c r="S46" s="20">
        <v>9</v>
      </c>
      <c r="T46" s="21"/>
    </row>
    <row r="47" ht="24" customHeight="1" spans="5:23">
      <c r="E47" s="22"/>
      <c r="F47" s="27"/>
      <c r="G47" s="27"/>
      <c r="H47" s="27"/>
      <c r="I47" s="27"/>
      <c r="J47" s="27"/>
      <c r="K47" s="27"/>
      <c r="L47" s="23"/>
      <c r="M47" s="22"/>
      <c r="N47" s="23"/>
      <c r="O47" s="22"/>
      <c r="P47" s="23"/>
      <c r="Q47" s="22"/>
      <c r="R47" s="23"/>
      <c r="S47" s="22"/>
      <c r="T47" s="23"/>
      <c r="W47" s="34" t="s">
        <v>204</v>
      </c>
    </row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</sheetData>
  <mergeCells count="159">
    <mergeCell ref="E5:P5"/>
    <mergeCell ref="Q5:AX5"/>
    <mergeCell ref="AY5:BF5"/>
    <mergeCell ref="E6:P6"/>
    <mergeCell ref="Q6:AX6"/>
    <mergeCell ref="AY6:BF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E9:F9"/>
    <mergeCell ref="G9:W9"/>
    <mergeCell ref="X9:AQ9"/>
    <mergeCell ref="E10:F10"/>
    <mergeCell ref="G10:W10"/>
    <mergeCell ref="X10:AQ10"/>
    <mergeCell ref="E11:F11"/>
    <mergeCell ref="G11:W11"/>
    <mergeCell ref="X11:AQ11"/>
    <mergeCell ref="E12:F12"/>
    <mergeCell ref="G12:W12"/>
    <mergeCell ref="X12:AQ12"/>
    <mergeCell ref="E15:H15"/>
    <mergeCell ref="I15:J15"/>
    <mergeCell ref="K15:L15"/>
    <mergeCell ref="M15:N15"/>
    <mergeCell ref="O15:R15"/>
    <mergeCell ref="S15:T15"/>
    <mergeCell ref="U15:X15"/>
    <mergeCell ref="Y15:Z15"/>
    <mergeCell ref="AA15:AD15"/>
    <mergeCell ref="AE15:AF15"/>
    <mergeCell ref="AG15:AJ15"/>
    <mergeCell ref="E16:H16"/>
    <mergeCell ref="I16:J16"/>
    <mergeCell ref="K16:L16"/>
    <mergeCell ref="M16:N16"/>
    <mergeCell ref="O16:R16"/>
    <mergeCell ref="S16:T16"/>
    <mergeCell ref="U16:X16"/>
    <mergeCell ref="Y16:Z16"/>
    <mergeCell ref="AA16:AD16"/>
    <mergeCell ref="AE16:AF16"/>
    <mergeCell ref="AG16:AJ16"/>
    <mergeCell ref="E17:H17"/>
    <mergeCell ref="I17:J17"/>
    <mergeCell ref="K17:L17"/>
    <mergeCell ref="M17:N17"/>
    <mergeCell ref="O17:R17"/>
    <mergeCell ref="S17:T17"/>
    <mergeCell ref="U17:X17"/>
    <mergeCell ref="Y17:Z17"/>
    <mergeCell ref="AA17:AD17"/>
    <mergeCell ref="AE17:AF17"/>
    <mergeCell ref="AG17:AJ17"/>
    <mergeCell ref="E19:F19"/>
    <mergeCell ref="G19:W19"/>
    <mergeCell ref="X19:AQ19"/>
    <mergeCell ref="E20:F20"/>
    <mergeCell ref="G20:W20"/>
    <mergeCell ref="X20:AQ20"/>
    <mergeCell ref="E21:F21"/>
    <mergeCell ref="G21:W21"/>
    <mergeCell ref="X21:AQ21"/>
    <mergeCell ref="E22:F22"/>
    <mergeCell ref="G22:W22"/>
    <mergeCell ref="X22:AQ22"/>
    <mergeCell ref="E23:F23"/>
    <mergeCell ref="G23:W23"/>
    <mergeCell ref="X23:AQ23"/>
    <mergeCell ref="E24:F24"/>
    <mergeCell ref="G24:W24"/>
    <mergeCell ref="X24:AQ24"/>
    <mergeCell ref="E25:F25"/>
    <mergeCell ref="G25:W25"/>
    <mergeCell ref="X25:AQ25"/>
    <mergeCell ref="E28:L28"/>
    <mergeCell ref="M28:N28"/>
    <mergeCell ref="O28:P28"/>
    <mergeCell ref="Q28:R28"/>
    <mergeCell ref="S28:AD28"/>
    <mergeCell ref="AG28:AV28"/>
    <mergeCell ref="E29:L29"/>
    <mergeCell ref="O29:P29"/>
    <mergeCell ref="S29:AD29"/>
    <mergeCell ref="AG29:AV29"/>
    <mergeCell ref="E33:F33"/>
    <mergeCell ref="G33:W33"/>
    <mergeCell ref="X33:AQ33"/>
    <mergeCell ref="E34:F34"/>
    <mergeCell ref="G34:W34"/>
    <mergeCell ref="X34:AQ34"/>
    <mergeCell ref="E35:F35"/>
    <mergeCell ref="G35:W35"/>
    <mergeCell ref="X35:AQ35"/>
    <mergeCell ref="E36:F36"/>
    <mergeCell ref="G36:W36"/>
    <mergeCell ref="X36:AQ36"/>
    <mergeCell ref="E37:F37"/>
    <mergeCell ref="G37:W37"/>
    <mergeCell ref="X37:AQ37"/>
    <mergeCell ref="E40:L40"/>
    <mergeCell ref="M40:R40"/>
    <mergeCell ref="E45:L45"/>
    <mergeCell ref="O45:T45"/>
    <mergeCell ref="E30:F31"/>
    <mergeCell ref="G30:H31"/>
    <mergeCell ref="I30:J31"/>
    <mergeCell ref="K30:L31"/>
    <mergeCell ref="M30:N31"/>
    <mergeCell ref="O30:P31"/>
    <mergeCell ref="Q30:R31"/>
    <mergeCell ref="S30:T31"/>
    <mergeCell ref="U30:V31"/>
    <mergeCell ref="W30:X31"/>
    <mergeCell ref="Y30:Z31"/>
    <mergeCell ref="AA30:AB31"/>
    <mergeCell ref="AC30:AD31"/>
    <mergeCell ref="AE30:AF31"/>
    <mergeCell ref="AG30:AH31"/>
    <mergeCell ref="AI30:AJ31"/>
    <mergeCell ref="AK30:AL31"/>
    <mergeCell ref="AM30:AN31"/>
    <mergeCell ref="AO30:AP31"/>
    <mergeCell ref="AQ30:AR31"/>
    <mergeCell ref="AS30:AT31"/>
    <mergeCell ref="AU30:AV31"/>
    <mergeCell ref="E46:L47"/>
    <mergeCell ref="M46:N47"/>
    <mergeCell ref="O46:P47"/>
    <mergeCell ref="Q46:R47"/>
    <mergeCell ref="S46:T47"/>
    <mergeCell ref="M41:N42"/>
    <mergeCell ref="O41:P42"/>
    <mergeCell ref="Q41:R42"/>
    <mergeCell ref="E41:L42"/>
  </mergeCells>
  <pageMargins left="0.7" right="0.7" top="0.75" bottom="0.75" header="0.3" footer="0.3"/>
  <pageSetup paperSize="9" scale="3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変更履歴</vt:lpstr>
      <vt:lpstr>コードグループ一覧</vt:lpstr>
      <vt:lpstr>マスタコード一覧</vt:lpstr>
      <vt:lpstr>コード体系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鬼彻</cp:lastModifiedBy>
  <dcterms:created xsi:type="dcterms:W3CDTF">2017-01-20T07:15:00Z</dcterms:created>
  <dcterms:modified xsi:type="dcterms:W3CDTF">2024-08-16T06:26:29Z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C5D9A9570D7C4C4F94C920A5495C4EDE_12</vt:lpwstr>
  </property>
  <property fmtid="{D5CDD505-2E9C-101B-9397-08002B2CF9AE}" pid="3" name="KSOProductBuildVer">
    <vt:lpwstr>2052-12.1.0.17827</vt:lpwstr>
  </property>
</Properties>
</file>